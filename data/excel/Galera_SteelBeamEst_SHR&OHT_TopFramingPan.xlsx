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bha_Analysis_2\Steel Beam\"/>
    </mc:Choice>
  </mc:AlternateContent>
  <xr:revisionPtr revIDLastSave="0" documentId="13_ncr:1_{B2C83620-9EEE-4DDC-961D-EB2E0A94248E}" xr6:coauthVersionLast="47" xr6:coauthVersionMax="47" xr10:uidLastSave="{00000000-0000-0000-0000-000000000000}"/>
  <bookViews>
    <workbookView xWindow="-108" yWindow="-108" windowWidth="23256" windowHeight="12456" tabRatio="552" xr2:uid="{A4954CF2-C128-42FA-93E6-356D6C4A93E7}"/>
  </bookViews>
  <sheets>
    <sheet name="Beam - Clubhous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C" localSheetId="0">#REF!</definedName>
    <definedName name="\C">#REF!</definedName>
    <definedName name="\kl" localSheetId="0">#REF!</definedName>
    <definedName name="\kl">#REF!</definedName>
    <definedName name="\l" localSheetId="0">#REF!</definedName>
    <definedName name="\l">#REF!</definedName>
    <definedName name="\p" localSheetId="0">#REF!</definedName>
    <definedName name="\p">#REF!</definedName>
    <definedName name="_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 localSheetId="0">#REF!</definedName>
    <definedName name="______________________________________________iv66666">#REF!</definedName>
    <definedName name="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 localSheetId="0">#REF!</definedName>
    <definedName name="_____________________________________________iv66666">#REF!</definedName>
    <definedName name="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 localSheetId="0">#REF!</definedName>
    <definedName name="____________________________________________iv66666">#REF!</definedName>
    <definedName name="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 localSheetId="0">#REF!</definedName>
    <definedName name="___________________________________________iv66666">#REF!</definedName>
    <definedName name="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 localSheetId="0">#REF!</definedName>
    <definedName name="__________________________________________iv66666">#REF!</definedName>
    <definedName name="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 localSheetId="0">#REF!</definedName>
    <definedName name="_________________________________________aj1">#REF!</definedName>
    <definedName name="_________________________________________b1" localSheetId="0">#REF!</definedName>
    <definedName name="_________________________________________b1">#REF!</definedName>
    <definedName name="_________________________________________B100000" localSheetId="0">#REF!</definedName>
    <definedName name="_________________________________________B100000">#REF!</definedName>
    <definedName name="_________________________________________bol1" localSheetId="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 localSheetId="0">#REF!</definedName>
    <definedName name="_________________________________________iv66666">#REF!</definedName>
    <definedName name="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 localSheetId="0">#REF!</definedName>
    <definedName name="_________________________________________sdb2">#REF!</definedName>
    <definedName name="________________________________________aj1" localSheetId="0">#REF!</definedName>
    <definedName name="________________________________________aj1">#REF!</definedName>
    <definedName name="________________________________________b1" localSheetId="0">#REF!</definedName>
    <definedName name="________________________________________b1">#REF!</definedName>
    <definedName name="________________________________________B100000" localSheetId="0">#REF!</definedName>
    <definedName name="________________________________________B100000">#REF!</definedName>
    <definedName name="________________________________________bol1" localSheetId="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 localSheetId="0">#REF!</definedName>
    <definedName name="________________________________________iv66666">#REF!</definedName>
    <definedName name="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 localSheetId="0">#REF!</definedName>
    <definedName name="________________________________________sdb2">#REF!</definedName>
    <definedName name="_______________________________________aj1" localSheetId="0">#REF!</definedName>
    <definedName name="_______________________________________aj1">#REF!</definedName>
    <definedName name="_______________________________________b1" localSheetId="0">#REF!</definedName>
    <definedName name="_______________________________________b1">#REF!</definedName>
    <definedName name="_______________________________________B100000" localSheetId="0">#REF!</definedName>
    <definedName name="_______________________________________B100000">#REF!</definedName>
    <definedName name="_______________________________________bol1" localSheetId="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 localSheetId="0">#REF!</definedName>
    <definedName name="_______________________________________iv66666">#REF!</definedName>
    <definedName name="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 localSheetId="0">#REF!</definedName>
    <definedName name="_______________________________________sdb2">#REF!</definedName>
    <definedName name="______________________________________aj1" localSheetId="0">#REF!</definedName>
    <definedName name="______________________________________aj1">#REF!</definedName>
    <definedName name="______________________________________b1" localSheetId="0">#REF!</definedName>
    <definedName name="______________________________________b1">#REF!</definedName>
    <definedName name="______________________________________B100000" localSheetId="0">#REF!</definedName>
    <definedName name="______________________________________B100000">#REF!</definedName>
    <definedName name="______________________________________bol1" localSheetId="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 localSheetId="0">#REF!</definedName>
    <definedName name="______________________________________iv66666">#REF!</definedName>
    <definedName name="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 localSheetId="0">#REF!</definedName>
    <definedName name="______________________________________sdb2">#REF!</definedName>
    <definedName name="_____________________________________aj1" localSheetId="0">#REF!</definedName>
    <definedName name="_____________________________________aj1">#REF!</definedName>
    <definedName name="_____________________________________b1" localSheetId="0">#REF!</definedName>
    <definedName name="_____________________________________b1">#REF!</definedName>
    <definedName name="_____________________________________B100000" localSheetId="0">#REF!</definedName>
    <definedName name="_____________________________________B100000">#REF!</definedName>
    <definedName name="_____________________________________bol1" localSheetId="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 localSheetId="0">#REF!</definedName>
    <definedName name="_____________________________________iv66666">#REF!</definedName>
    <definedName name="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 localSheetId="0">#REF!</definedName>
    <definedName name="_____________________________________sdb2">#REF!</definedName>
    <definedName name="____________________________________aj1" localSheetId="0">#REF!</definedName>
    <definedName name="____________________________________aj1">#REF!</definedName>
    <definedName name="____________________________________b1" localSheetId="0">#REF!</definedName>
    <definedName name="____________________________________b1">#REF!</definedName>
    <definedName name="____________________________________B100000" localSheetId="0">#REF!</definedName>
    <definedName name="____________________________________B100000">#REF!</definedName>
    <definedName name="____________________________________bol1" localSheetId="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 localSheetId="0">#REF!</definedName>
    <definedName name="____________________________________iv66666">#REF!</definedName>
    <definedName name="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 localSheetId="0">#REF!</definedName>
    <definedName name="____________________________________sdb2">#REF!</definedName>
    <definedName name="___________________________________aj1" localSheetId="0">#REF!</definedName>
    <definedName name="___________________________________aj1">#REF!</definedName>
    <definedName name="___________________________________b1" localSheetId="0">#REF!</definedName>
    <definedName name="___________________________________b1">#REF!</definedName>
    <definedName name="___________________________________B100000" localSheetId="0">#REF!</definedName>
    <definedName name="___________________________________B100000">#REF!</definedName>
    <definedName name="___________________________________bol1" localSheetId="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 localSheetId="0">#REF!</definedName>
    <definedName name="___________________________________iv66666">#REF!</definedName>
    <definedName name="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 localSheetId="0">#REF!</definedName>
    <definedName name="___________________________________sdb2">#REF!</definedName>
    <definedName name="__________________________________aj1" localSheetId="0">#REF!</definedName>
    <definedName name="__________________________________aj1">#REF!</definedName>
    <definedName name="__________________________________b1" localSheetId="0">#REF!</definedName>
    <definedName name="__________________________________b1">#REF!</definedName>
    <definedName name="__________________________________B100000" localSheetId="0">#REF!</definedName>
    <definedName name="__________________________________B100000">#REF!</definedName>
    <definedName name="__________________________________bol1" localSheetId="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 localSheetId="0">#REF!</definedName>
    <definedName name="__________________________________iv66666">#REF!</definedName>
    <definedName name="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 localSheetId="0">#REF!</definedName>
    <definedName name="__________________________________sdb2">#REF!</definedName>
    <definedName name="_________________________________aj1" localSheetId="0">#REF!</definedName>
    <definedName name="_________________________________aj1">#REF!</definedName>
    <definedName name="_________________________________b1" localSheetId="0">#REF!</definedName>
    <definedName name="_________________________________b1">#REF!</definedName>
    <definedName name="_________________________________B100000" localSheetId="0">#REF!</definedName>
    <definedName name="_________________________________B100000">#REF!</definedName>
    <definedName name="_________________________________bol1" localSheetId="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 localSheetId="0">#REF!</definedName>
    <definedName name="_________________________________iv66666">#REF!</definedName>
    <definedName name="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 localSheetId="0">#REF!</definedName>
    <definedName name="_________________________________PO1">#REF!</definedName>
    <definedName name="_________________________________PO2" localSheetId="0">#REF!</definedName>
    <definedName name="_________________________________PO2">#REF!</definedName>
    <definedName name="_________________________________sdb2" localSheetId="0">#REF!</definedName>
    <definedName name="_________________________________sdb2">#REF!</definedName>
    <definedName name="________________________________aj1" localSheetId="0">#REF!</definedName>
    <definedName name="________________________________aj1">#REF!</definedName>
    <definedName name="________________________________b1" localSheetId="0">#REF!</definedName>
    <definedName name="________________________________b1">#REF!</definedName>
    <definedName name="________________________________B100000" localSheetId="0">#REF!</definedName>
    <definedName name="________________________________B100000">#REF!</definedName>
    <definedName name="________________________________bol1" localSheetId="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 localSheetId="0">#REF!</definedName>
    <definedName name="________________________________iv66666">#REF!</definedName>
    <definedName name="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 localSheetId="0">#REF!</definedName>
    <definedName name="________________________________PO1">#REF!</definedName>
    <definedName name="________________________________PO2" localSheetId="0">#REF!</definedName>
    <definedName name="________________________________PO2">#REF!</definedName>
    <definedName name="________________________________sdb2" localSheetId="0">#REF!</definedName>
    <definedName name="________________________________sdb2">#REF!</definedName>
    <definedName name="_______________________________aj1" localSheetId="0">#REF!</definedName>
    <definedName name="_______________________________aj1">#REF!</definedName>
    <definedName name="_______________________________b1" localSheetId="0">#REF!</definedName>
    <definedName name="_______________________________b1">#REF!</definedName>
    <definedName name="_______________________________B100000" localSheetId="0">#REF!</definedName>
    <definedName name="_______________________________B100000">#REF!</definedName>
    <definedName name="_______________________________bol1" localSheetId="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 localSheetId="0">#REF!</definedName>
    <definedName name="_______________________________iv66666">#REF!</definedName>
    <definedName name="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 localSheetId="0">#REF!</definedName>
    <definedName name="_______________________________sdb2">#REF!</definedName>
    <definedName name="______________________________aj1" localSheetId="0">#REF!</definedName>
    <definedName name="______________________________aj1">#REF!</definedName>
    <definedName name="______________________________b1" localSheetId="0">#REF!</definedName>
    <definedName name="______________________________b1">#REF!</definedName>
    <definedName name="______________________________B100000" localSheetId="0">#REF!</definedName>
    <definedName name="______________________________B100000">#REF!</definedName>
    <definedName name="______________________________bol1" localSheetId="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 localSheetId="0">#REF!</definedName>
    <definedName name="______________________________iv66666">#REF!</definedName>
    <definedName name="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 localSheetId="0">#REF!</definedName>
    <definedName name="______________________________PO1">#REF!</definedName>
    <definedName name="______________________________PO2" localSheetId="0">#REF!</definedName>
    <definedName name="______________________________PO2">#REF!</definedName>
    <definedName name="______________________________sdb2" localSheetId="0">#REF!</definedName>
    <definedName name="______________________________sdb2">#REF!</definedName>
    <definedName name="_____________________________aj1" localSheetId="0">#REF!</definedName>
    <definedName name="_____________________________aj1">#REF!</definedName>
    <definedName name="_____________________________b1" localSheetId="0">#REF!</definedName>
    <definedName name="_____________________________b1">#REF!</definedName>
    <definedName name="_____________________________B100000" localSheetId="0">#REF!</definedName>
    <definedName name="_____________________________B100000">#REF!</definedName>
    <definedName name="_____________________________bol1" localSheetId="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 localSheetId="0">#REF!</definedName>
    <definedName name="_____________________________iv66666">#REF!</definedName>
    <definedName name="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 localSheetId="0">#REF!</definedName>
    <definedName name="_____________________________PO1">#REF!</definedName>
    <definedName name="_____________________________PO2" localSheetId="0">#REF!</definedName>
    <definedName name="_____________________________PO2">#REF!</definedName>
    <definedName name="_____________________________sdb2" localSheetId="0">#REF!</definedName>
    <definedName name="_____________________________sdb2">#REF!</definedName>
    <definedName name="____________________________aj1" localSheetId="0">#REF!</definedName>
    <definedName name="____________________________aj1">#REF!</definedName>
    <definedName name="____________________________b1" localSheetId="0">#REF!</definedName>
    <definedName name="____________________________b1">#REF!</definedName>
    <definedName name="____________________________B100000" localSheetId="0">#REF!</definedName>
    <definedName name="____________________________B100000">#REF!</definedName>
    <definedName name="____________________________bol1" localSheetId="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iv66666" localSheetId="0">#REF!</definedName>
    <definedName name="____________________________iv66666">#REF!</definedName>
    <definedName name="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 localSheetId="0">#REF!</definedName>
    <definedName name="____________________________PO1">#REF!</definedName>
    <definedName name="____________________________PO2" localSheetId="0">#REF!</definedName>
    <definedName name="____________________________PO2">#REF!</definedName>
    <definedName name="____________________________sdb2" localSheetId="0">#REF!</definedName>
    <definedName name="____________________________sdb2">#REF!</definedName>
    <definedName name="____________________________zz65536" localSheetId="0">#REF!</definedName>
    <definedName name="____________________________zz65536">'[1]B &amp; C class items '!#REF!</definedName>
    <definedName name="___________________________aj1" localSheetId="0">#REF!</definedName>
    <definedName name="___________________________aj1">#REF!</definedName>
    <definedName name="___________________________b1" localSheetId="0">#REF!</definedName>
    <definedName name="___________________________b1">#REF!</definedName>
    <definedName name="___________________________B100000" localSheetId="0">#REF!</definedName>
    <definedName name="___________________________B100000">#REF!</definedName>
    <definedName name="___________________________bol1" localSheetId="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 localSheetId="0">#REF!</definedName>
    <definedName name="___________________________dfS2">'[2]Estimate for approval'!$BQ:$BQ</definedName>
    <definedName name="___________________________iv66666" localSheetId="0">#REF!</definedName>
    <definedName name="___________________________iv66666">#REF!</definedName>
    <definedName name="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 localSheetId="0">#REF!</definedName>
    <definedName name="___________________________PO1">#REF!</definedName>
    <definedName name="___________________________PO2" localSheetId="0">#REF!</definedName>
    <definedName name="___________________________PO2">#REF!</definedName>
    <definedName name="___________________________sdb2" localSheetId="0">#REF!</definedName>
    <definedName name="___________________________sdb2">#REF!</definedName>
    <definedName name="___________________________zz65536" localSheetId="0">#REF!</definedName>
    <definedName name="___________________________zz65536">'[1]B &amp; C class items '!#REF!</definedName>
    <definedName name="__________________________aj1" localSheetId="0">#REF!</definedName>
    <definedName name="__________________________aj1">#REF!</definedName>
    <definedName name="__________________________b1" localSheetId="0">#REF!</definedName>
    <definedName name="__________________________b1">#REF!</definedName>
    <definedName name="__________________________B100000" localSheetId="0">#REF!</definedName>
    <definedName name="__________________________B100000">#REF!</definedName>
    <definedName name="__________________________bol1" localSheetId="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 localSheetId="0">#REF!</definedName>
    <definedName name="__________________________dfS2">'[2]Estimate for approval'!$BQ:$BQ</definedName>
    <definedName name="__________________________DIA1" localSheetId="0">#REF!</definedName>
    <definedName name="__________________________DIA1">#REF!</definedName>
    <definedName name="__________________________DIA2" localSheetId="0">#REF!</definedName>
    <definedName name="__________________________DIA2">#REF!</definedName>
    <definedName name="__________________________iv66666" localSheetId="0">#REF!</definedName>
    <definedName name="__________________________iv66666">#REF!</definedName>
    <definedName name="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 localSheetId="0">#REF!</definedName>
    <definedName name="__________________________PO1">#REF!</definedName>
    <definedName name="__________________________PO2" localSheetId="0">#REF!</definedName>
    <definedName name="__________________________PO2">#REF!</definedName>
    <definedName name="__________________________sdb2" localSheetId="0">#REF!</definedName>
    <definedName name="__________________________sdb2">#REF!</definedName>
    <definedName name="__________________________zz65536" localSheetId="0">#REF!</definedName>
    <definedName name="__________________________zz65536">'[1]B &amp; C class items '!#REF!</definedName>
    <definedName name="_________________________A1" localSheetId="0">#REF!</definedName>
    <definedName name="_________________________A1">'[3]Rate analysis'!$C$2</definedName>
    <definedName name="_________________________aj1" localSheetId="0">#REF!</definedName>
    <definedName name="_________________________aj1">#REF!</definedName>
    <definedName name="_________________________b1" localSheetId="0">#REF!</definedName>
    <definedName name="_________________________b1">#REF!</definedName>
    <definedName name="_________________________B100000" localSheetId="0">#REF!</definedName>
    <definedName name="_________________________B100000">#REF!</definedName>
    <definedName name="_________________________bol1" localSheetId="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 localSheetId="0">#REF!</definedName>
    <definedName name="_________________________dfS2">'[2]Estimate for approval'!$BQ:$BQ</definedName>
    <definedName name="_________________________iv66666" localSheetId="0">#REF!</definedName>
    <definedName name="_________________________iv66666">#REF!</definedName>
    <definedName name="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 localSheetId="0">#REF!</definedName>
    <definedName name="_________________________PO1">#REF!</definedName>
    <definedName name="_________________________PO2" localSheetId="0">#REF!</definedName>
    <definedName name="_________________________PO2">#REF!</definedName>
    <definedName name="_________________________sdb2" localSheetId="0">#REF!</definedName>
    <definedName name="_________________________sdb2">#REF!</definedName>
    <definedName name="_________________________TB2" localSheetId="0">#REF!</definedName>
    <definedName name="_________________________TB2">'[4]SPT vs PHI'!$B$2:$C$65</definedName>
    <definedName name="_________________________zz65536" localSheetId="0">#REF!</definedName>
    <definedName name="_________________________zz65536">'[1]B &amp; C class items '!#REF!</definedName>
    <definedName name="________________________A1" localSheetId="0">#REF!</definedName>
    <definedName name="________________________A1">'[3]Rate analysis'!$C$2</definedName>
    <definedName name="________________________aj1" localSheetId="0">#REF!</definedName>
    <definedName name="________________________aj1">#REF!</definedName>
    <definedName name="________________________b1" localSheetId="0">#REF!</definedName>
    <definedName name="________________________b1">#REF!</definedName>
    <definedName name="________________________B100000" localSheetId="0">#REF!</definedName>
    <definedName name="________________________B100000">#REF!</definedName>
    <definedName name="________________________bak151" localSheetId="0">#REF!</definedName>
    <definedName name="________________________bak151">'[5]BILL COV'!#REF!</definedName>
    <definedName name="________________________bol1" localSheetId="0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 localSheetId="0">#REF!</definedName>
    <definedName name="________________________cbd148">'[5]BILL COV'!#REF!</definedName>
    <definedName name="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 localSheetId="0">#REF!</definedName>
    <definedName name="________________________dfS2">'[2]Estimate for approval'!$BQ:$BQ</definedName>
    <definedName name="________________________DIA1" localSheetId="0">#REF!</definedName>
    <definedName name="________________________DIA1">#REF!</definedName>
    <definedName name="________________________DIA2" localSheetId="0">#REF!</definedName>
    <definedName name="________________________DIA2">#REF!</definedName>
    <definedName name="________________________iv66666" localSheetId="0">#REF!</definedName>
    <definedName name="________________________iv66666">#REF!</definedName>
    <definedName name="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 localSheetId="0">#REF!</definedName>
    <definedName name="________________________PO1">#REF!</definedName>
    <definedName name="________________________PO2" localSheetId="0">#REF!</definedName>
    <definedName name="________________________PO2">#REF!</definedName>
    <definedName name="________________________sdb2" localSheetId="0">#REF!</definedName>
    <definedName name="________________________sdb2">#REF!</definedName>
    <definedName name="________________________TB2" localSheetId="0">#REF!</definedName>
    <definedName name="________________________TB2">'[4]SPT vs PHI'!$B$2:$C$65</definedName>
    <definedName name="________________________zz65536" localSheetId="0">#REF!</definedName>
    <definedName name="________________________zz65536">'[1]B &amp; C class items '!#REF!</definedName>
    <definedName name="_______________________A1" localSheetId="0">#REF!</definedName>
    <definedName name="_______________________A1">'[3]Rate analysis'!$C$2</definedName>
    <definedName name="_______________________aj1" localSheetId="0">#REF!</definedName>
    <definedName name="_______________________aj1">#REF!</definedName>
    <definedName name="_______________________b1" localSheetId="0">#REF!</definedName>
    <definedName name="_______________________b1">#REF!</definedName>
    <definedName name="_______________________B100000" localSheetId="0">#REF!</definedName>
    <definedName name="_______________________B100000">#REF!</definedName>
    <definedName name="_______________________bak151" localSheetId="0">#REF!</definedName>
    <definedName name="_______________________bak151">'[5]BILL COV'!#REF!</definedName>
    <definedName name="_______________________bol1" localSheetId="0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 localSheetId="0">#REF!</definedName>
    <definedName name="_______________________cbd148">'[5]BILL COV'!#REF!</definedName>
    <definedName name="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 localSheetId="0">#REF!</definedName>
    <definedName name="_______________________dfS2">'[2]Estimate for approval'!$BQ:$BQ</definedName>
    <definedName name="_______________________DIA1" localSheetId="0">#REF!</definedName>
    <definedName name="_______________________DIA1">#REF!</definedName>
    <definedName name="_______________________DIA2" localSheetId="0">#REF!</definedName>
    <definedName name="_______________________DIA2">#REF!</definedName>
    <definedName name="_______________________iv66666" localSheetId="0">#REF!</definedName>
    <definedName name="_______________________iv66666">#REF!</definedName>
    <definedName name="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 localSheetId="0">#REF!</definedName>
    <definedName name="_______________________PO1">#REF!</definedName>
    <definedName name="_______________________PO2" localSheetId="0">#REF!</definedName>
    <definedName name="_______________________PO2">#REF!</definedName>
    <definedName name="_______________________sdb2" localSheetId="0">#REF!</definedName>
    <definedName name="_______________________sdb2">#REF!</definedName>
    <definedName name="_______________________TB2" localSheetId="0">#REF!</definedName>
    <definedName name="_______________________TB2">'[4]SPT vs PHI'!$B$2:$C$65</definedName>
    <definedName name="_______________________zz65536" localSheetId="0">#REF!</definedName>
    <definedName name="_______________________zz65536">'[1]B &amp; C class items '!#REF!</definedName>
    <definedName name="______________________A1" localSheetId="0">#REF!</definedName>
    <definedName name="______________________A1">'[3]Rate analysis'!$C$2</definedName>
    <definedName name="______________________aj1" localSheetId="0">#REF!</definedName>
    <definedName name="______________________aj1">#REF!</definedName>
    <definedName name="______________________b1" localSheetId="0">#REF!</definedName>
    <definedName name="______________________b1">#REF!</definedName>
    <definedName name="______________________B100000" localSheetId="0">#REF!</definedName>
    <definedName name="______________________B100000">#REF!</definedName>
    <definedName name="______________________bak151" localSheetId="0">#REF!</definedName>
    <definedName name="______________________bak151">'[6]BILL COV'!#REF!</definedName>
    <definedName name="______________________bol1" localSheetId="0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 localSheetId="0">#REF!</definedName>
    <definedName name="______________________cbd148">'[6]BILL COV'!#REF!</definedName>
    <definedName name="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 localSheetId="0">#REF!</definedName>
    <definedName name="______________________dfS2">'[2]Estimate for approval'!$BQ:$BQ</definedName>
    <definedName name="______________________DIA1" localSheetId="0">#REF!</definedName>
    <definedName name="______________________DIA1">#REF!</definedName>
    <definedName name="______________________DIA2" localSheetId="0">#REF!</definedName>
    <definedName name="______________________DIA2">#REF!</definedName>
    <definedName name="______________________fab1" localSheetId="0">#REF!</definedName>
    <definedName name="______________________fab1">'[6]intr stool brkup'!$A$8:$D$53</definedName>
    <definedName name="______________________iv66666" localSheetId="0">#REF!</definedName>
    <definedName name="______________________iv66666">#REF!</definedName>
    <definedName name="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 localSheetId="0">#REF!</definedName>
    <definedName name="______________________PO1">#REF!</definedName>
    <definedName name="______________________PO2" localSheetId="0">#REF!</definedName>
    <definedName name="______________________PO2">#REF!</definedName>
    <definedName name="______________________sdb2" localSheetId="0">#REF!</definedName>
    <definedName name="______________________sdb2">#REF!</definedName>
    <definedName name="______________________TB2" localSheetId="0">#REF!</definedName>
    <definedName name="______________________TB2">'[4]SPT vs PHI'!$B$2:$C$65</definedName>
    <definedName name="______________________zz65536" localSheetId="0">#REF!</definedName>
    <definedName name="______________________zz65536">'[1]B &amp; C class items '!#REF!</definedName>
    <definedName name="_____________________A1" localSheetId="0">#REF!</definedName>
    <definedName name="_____________________A1">'[3]Rate analysis'!$C$2</definedName>
    <definedName name="_____________________aj1" localSheetId="0">#REF!</definedName>
    <definedName name="_____________________aj1">#REF!</definedName>
    <definedName name="_____________________b1" localSheetId="0">#REF!</definedName>
    <definedName name="_____________________b1">#REF!</definedName>
    <definedName name="_____________________B100000" localSheetId="0">#REF!</definedName>
    <definedName name="_____________________B100000">#REF!</definedName>
    <definedName name="_____________________bak151" localSheetId="0">#REF!</definedName>
    <definedName name="_____________________bak151">'[5]BILL COV'!#REF!</definedName>
    <definedName name="_____________________bol1" localSheetId="0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 localSheetId="0">#REF!</definedName>
    <definedName name="_____________________cbd148">'[5]BILL COV'!#REF!</definedName>
    <definedName name="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 localSheetId="0">#REF!</definedName>
    <definedName name="_____________________dfS2">'[2]Estimate for approval'!$BQ:$BQ</definedName>
    <definedName name="_____________________DIA1" localSheetId="0">#REF!</definedName>
    <definedName name="_____________________DIA1">#REF!</definedName>
    <definedName name="_____________________DIA2" localSheetId="0">#REF!</definedName>
    <definedName name="_____________________DIA2">#REF!</definedName>
    <definedName name="_____________________fab1" localSheetId="0">#REF!</definedName>
    <definedName name="_____________________fab1">'[6]intr stool brkup'!$A$8:$D$53</definedName>
    <definedName name="_____________________iv66666" localSheetId="0">#REF!</definedName>
    <definedName name="_____________________iv66666">#REF!</definedName>
    <definedName name="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 localSheetId="0">#REF!</definedName>
    <definedName name="_____________________MS010">#REF!</definedName>
    <definedName name="_____________________PO1" localSheetId="0">#REF!</definedName>
    <definedName name="_____________________PO1">#REF!</definedName>
    <definedName name="_____________________PO2" localSheetId="0">#REF!</definedName>
    <definedName name="_____________________PO2">#REF!</definedName>
    <definedName name="_____________________sdb2" localSheetId="0">#REF!</definedName>
    <definedName name="_____________________sdb2">#REF!</definedName>
    <definedName name="_____________________TB2" localSheetId="0">#REF!</definedName>
    <definedName name="_____________________TB2">'[4]SPT vs PHI'!$B$2:$C$65</definedName>
    <definedName name="_____________________zz65536" localSheetId="0">#REF!</definedName>
    <definedName name="_____________________zz65536">'[1]B &amp; C class items '!#REF!</definedName>
    <definedName name="____________________A1" localSheetId="0">#REF!</definedName>
    <definedName name="____________________A1">'[3]Rate analysis'!$C$2</definedName>
    <definedName name="____________________aj1" localSheetId="0">#REF!</definedName>
    <definedName name="____________________aj1">#REF!</definedName>
    <definedName name="____________________b1" localSheetId="0">#REF!</definedName>
    <definedName name="____________________b1">#REF!</definedName>
    <definedName name="____________________B100000" localSheetId="0">#REF!</definedName>
    <definedName name="____________________B100000">#REF!</definedName>
    <definedName name="____________________bak151" localSheetId="0">#REF!</definedName>
    <definedName name="____________________bak151">'[5]BILL COV'!#REF!</definedName>
    <definedName name="____________________bol1" localSheetId="0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 localSheetId="0">#REF!</definedName>
    <definedName name="____________________cbd148">'[5]BILL COV'!#REF!</definedName>
    <definedName name="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 localSheetId="0">#REF!</definedName>
    <definedName name="____________________dfS2">'[2]Estimate for approval'!$BQ:$BQ</definedName>
    <definedName name="____________________DIA1" localSheetId="0">#REF!</definedName>
    <definedName name="____________________DIA1">#REF!</definedName>
    <definedName name="____________________DIA2" localSheetId="0">#REF!</definedName>
    <definedName name="____________________DIA2">#REF!</definedName>
    <definedName name="____________________fab1" localSheetId="0">#REF!</definedName>
    <definedName name="____________________fab1">'[6]intr stool brkup'!$A$8:$D$53</definedName>
    <definedName name="____________________iv66666" localSheetId="0">#REF!</definedName>
    <definedName name="____________________iv66666">#REF!</definedName>
    <definedName name="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 localSheetId="0">#REF!</definedName>
    <definedName name="____________________PO1">#REF!</definedName>
    <definedName name="____________________PO2" localSheetId="0">#REF!</definedName>
    <definedName name="____________________PO2">#REF!</definedName>
    <definedName name="____________________sdb2" localSheetId="0">#REF!</definedName>
    <definedName name="____________________sdb2">#REF!</definedName>
    <definedName name="____________________TB2" localSheetId="0">#REF!</definedName>
    <definedName name="____________________TB2">'[4]SPT vs PHI'!$B$2:$C$65</definedName>
    <definedName name="____________________zz65536" localSheetId="0">#REF!</definedName>
    <definedName name="____________________zz65536">'[1]B &amp; C class items '!#REF!</definedName>
    <definedName name="___________________A1" localSheetId="0">#REF!</definedName>
    <definedName name="___________________A1">'[3]Rate analysis'!$C$2</definedName>
    <definedName name="___________________aj1" localSheetId="0">#REF!</definedName>
    <definedName name="___________________aj1">#REF!</definedName>
    <definedName name="___________________b1" localSheetId="0">#REF!</definedName>
    <definedName name="___________________b1">#REF!</definedName>
    <definedName name="___________________B100000" localSheetId="0">#REF!</definedName>
    <definedName name="___________________B100000">#REF!</definedName>
    <definedName name="___________________bak151" localSheetId="0">#REF!</definedName>
    <definedName name="___________________bak151">'[5]BILL COV'!#REF!</definedName>
    <definedName name="___________________bol1" localSheetId="0">#REF!</definedName>
    <definedName name="___________________bol1">#REF!</definedName>
    <definedName name="___________________can430">40.73</definedName>
    <definedName name="___________________can435">43.3</definedName>
    <definedName name="___________________cbd148" localSheetId="0">#REF!</definedName>
    <definedName name="___________________cbd148">'[5]BILL COV'!#REF!</definedName>
    <definedName name="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 localSheetId="0">#REF!</definedName>
    <definedName name="___________________dfS2">'[2]Estimate for approval'!$BQ:$BQ</definedName>
    <definedName name="___________________DIA1" localSheetId="0">#REF!</definedName>
    <definedName name="___________________DIA1">#REF!</definedName>
    <definedName name="___________________DIA2" localSheetId="0">#REF!</definedName>
    <definedName name="___________________DIA2">#REF!</definedName>
    <definedName name="___________________fab1" localSheetId="0">#REF!</definedName>
    <definedName name="___________________fab1">'[6]intr stool brkup'!$A$8:$D$53</definedName>
    <definedName name="___________________FLG2" localSheetId="0">#REF!</definedName>
    <definedName name="___________________FLG2">'[7]Column Blk 1'!#REF!</definedName>
    <definedName name="___________________iv66666" localSheetId="0">#REF!</definedName>
    <definedName name="___________________iv66666">#REF!</definedName>
    <definedName name="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 localSheetId="0">#REF!</definedName>
    <definedName name="___________________MS010">#REF!</definedName>
    <definedName name="___________________PO1" localSheetId="0">#REF!</definedName>
    <definedName name="___________________PO1">#REF!</definedName>
    <definedName name="___________________PO2" localSheetId="0">#REF!</definedName>
    <definedName name="___________________PO2">#REF!</definedName>
    <definedName name="___________________sdb2" localSheetId="0">#REF!</definedName>
    <definedName name="___________________sdb2">#REF!</definedName>
    <definedName name="___________________TB2" localSheetId="0">#REF!</definedName>
    <definedName name="___________________TB2">'[4]SPT vs PHI'!$B$2:$C$65</definedName>
    <definedName name="___________________zz65536" localSheetId="0">#REF!</definedName>
    <definedName name="___________________zz65536">'[1]B &amp; C class items '!#REF!</definedName>
    <definedName name="__________________A1" localSheetId="0">#REF!</definedName>
    <definedName name="__________________A1">'[3]Rate analysis'!$C$2</definedName>
    <definedName name="__________________aj1" localSheetId="0">#REF!</definedName>
    <definedName name="__________________aj1">#REF!</definedName>
    <definedName name="__________________b1" localSheetId="0">#REF!</definedName>
    <definedName name="__________________b1">#REF!</definedName>
    <definedName name="__________________B100000" localSheetId="0">#REF!</definedName>
    <definedName name="__________________B100000">#REF!</definedName>
    <definedName name="__________________bak151" localSheetId="0">#REF!</definedName>
    <definedName name="__________________bak151">'[5]BILL COV'!#REF!</definedName>
    <definedName name="__________________bol1" localSheetId="0">#REF!</definedName>
    <definedName name="__________________bol1">#REF!</definedName>
    <definedName name="__________________can430">40.73</definedName>
    <definedName name="__________________can435">43.3</definedName>
    <definedName name="__________________cbd148" localSheetId="0">#REF!</definedName>
    <definedName name="__________________cbd148">'[5]BILL COV'!#REF!</definedName>
    <definedName name="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 localSheetId="0">#REF!</definedName>
    <definedName name="__________________dfS2">'[2]Estimate for approval'!$BQ$1:$BQ$65536</definedName>
    <definedName name="__________________DIA1" localSheetId="0">#REF!</definedName>
    <definedName name="__________________DIA1">#REF!</definedName>
    <definedName name="__________________DIA2" localSheetId="0">#REF!</definedName>
    <definedName name="__________________DIA2">#REF!</definedName>
    <definedName name="__________________fab1" localSheetId="0">#REF!</definedName>
    <definedName name="__________________fab1">'[6]intr stool brkup'!$A$8:$D$53</definedName>
    <definedName name="__________________FLG2" localSheetId="0">#REF!</definedName>
    <definedName name="__________________FLG2">'[7]Column Blk 1'!#REF!</definedName>
    <definedName name="__________________iv66666" localSheetId="0">#REF!</definedName>
    <definedName name="__________________iv66666">#REF!</definedName>
    <definedName name="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 localSheetId="0">#REF!</definedName>
    <definedName name="__________________MS010">#REF!</definedName>
    <definedName name="__________________PO1" localSheetId="0">#REF!</definedName>
    <definedName name="__________________PO1">#REF!</definedName>
    <definedName name="__________________PO2" localSheetId="0">#REF!</definedName>
    <definedName name="__________________PO2">#REF!</definedName>
    <definedName name="__________________sdb2" localSheetId="0">#REF!</definedName>
    <definedName name="__________________sdb2">#REF!</definedName>
    <definedName name="__________________TB2" localSheetId="0">#REF!</definedName>
    <definedName name="__________________TB2">'[4]SPT vs PHI'!$B$2:$C$65</definedName>
    <definedName name="__________________zz65536" localSheetId="0">#REF!</definedName>
    <definedName name="__________________zz65536">'[1]B &amp; C class items '!#REF!</definedName>
    <definedName name="_________________A1" localSheetId="0">#REF!</definedName>
    <definedName name="_________________A1">'[3]Rate analysis'!$C$2</definedName>
    <definedName name="_________________aj1" localSheetId="0">#REF!</definedName>
    <definedName name="_________________aj1">#REF!</definedName>
    <definedName name="_________________b1" localSheetId="0">#REF!</definedName>
    <definedName name="_________________b1">#REF!</definedName>
    <definedName name="_________________B100000" localSheetId="0">#REF!</definedName>
    <definedName name="_________________B100000">#REF!</definedName>
    <definedName name="_________________bak151" localSheetId="0">#REF!</definedName>
    <definedName name="_________________bak151">'[5]BILL COV'!#REF!</definedName>
    <definedName name="_________________bol1" localSheetId="0">#REF!</definedName>
    <definedName name="_________________bol1">#REF!</definedName>
    <definedName name="_________________can430">40.73</definedName>
    <definedName name="_________________can435">43.3</definedName>
    <definedName name="_________________cbd148" localSheetId="0">#REF!</definedName>
    <definedName name="_________________cbd148">'[5]BILL COV'!#REF!</definedName>
    <definedName name="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 localSheetId="0">#REF!</definedName>
    <definedName name="_________________dfS2">'[2]Estimate for approval'!$BQ$1:$BQ$65536</definedName>
    <definedName name="_________________DIA1" localSheetId="0">#REF!</definedName>
    <definedName name="_________________DIA1">#REF!</definedName>
    <definedName name="_________________dia10" localSheetId="0">#REF!</definedName>
    <definedName name="_________________dia10">'[7]Rft Footing Blk 1'!$L$26</definedName>
    <definedName name="_________________dia12" localSheetId="0">#REF!</definedName>
    <definedName name="_________________dia12">'[7]Rft Footing Blk 1'!$M$26</definedName>
    <definedName name="_________________dia16" localSheetId="0">#REF!</definedName>
    <definedName name="_________________dia16">'[7]Rft Footing Blk 1'!$N$26</definedName>
    <definedName name="_________________DIA2" localSheetId="0">#REF!</definedName>
    <definedName name="_________________DIA2">#REF!</definedName>
    <definedName name="_________________dia20" localSheetId="0">#REF!</definedName>
    <definedName name="_________________dia20">'[7]Rft Footing Blk 1'!$O$26</definedName>
    <definedName name="_________________dia25" localSheetId="0">#REF!</definedName>
    <definedName name="_________________dia25">'[7]Rft Footing Blk 1'!$P$26</definedName>
    <definedName name="_________________dia8" localSheetId="0">#REF!</definedName>
    <definedName name="_________________dia8">'[7]Rft Footing Blk 1'!$K$26</definedName>
    <definedName name="_________________fab1" localSheetId="0">#REF!</definedName>
    <definedName name="_________________fab1">'[6]intr stool brkup'!$A$8:$D$53</definedName>
    <definedName name="_________________FLG2" localSheetId="0">#REF!</definedName>
    <definedName name="_________________FLG2">'[7]Column Blk 1'!#REF!</definedName>
    <definedName name="_________________iv66666" localSheetId="0">#REF!</definedName>
    <definedName name="_________________iv66666">#REF!</definedName>
    <definedName name="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 localSheetId="0">#REF!</definedName>
    <definedName name="_________________MS010">#REF!</definedName>
    <definedName name="_________________PO1" localSheetId="0">#REF!</definedName>
    <definedName name="_________________PO1">#REF!</definedName>
    <definedName name="_________________PO2" localSheetId="0">#REF!</definedName>
    <definedName name="_________________PO2">#REF!</definedName>
    <definedName name="_________________sdb2" localSheetId="0">#REF!</definedName>
    <definedName name="_________________sdb2">#REF!</definedName>
    <definedName name="_________________TB2" localSheetId="0">#REF!</definedName>
    <definedName name="_________________TB2">'[4]SPT vs PHI'!$B$2:$C$65</definedName>
    <definedName name="_________________UGF1" localSheetId="0">#REF!</definedName>
    <definedName name="_________________UGF1">'[7]Column Blk 1'!$C$651</definedName>
    <definedName name="_________________zz65536" localSheetId="0">#REF!</definedName>
    <definedName name="_________________zz65536">'[1]B &amp; C class items '!#REF!</definedName>
    <definedName name="________________A1" localSheetId="0">#REF!</definedName>
    <definedName name="________________A1">'[3]Rate analysis'!$C$2</definedName>
    <definedName name="________________aj1" localSheetId="0">#REF!</definedName>
    <definedName name="________________aj1">#REF!</definedName>
    <definedName name="________________b1" localSheetId="0">#REF!</definedName>
    <definedName name="________________b1">#REF!</definedName>
    <definedName name="________________B100000" localSheetId="0">#REF!</definedName>
    <definedName name="________________B100000">#REF!</definedName>
    <definedName name="________________bak151" localSheetId="0">#REF!</definedName>
    <definedName name="________________bak151">'[5]BILL COV'!#REF!</definedName>
    <definedName name="________________bol1" localSheetId="0">#REF!</definedName>
    <definedName name="________________bol1">#REF!</definedName>
    <definedName name="________________can430">40.73</definedName>
    <definedName name="________________can435">43.3</definedName>
    <definedName name="________________cbd148" localSheetId="0">#REF!</definedName>
    <definedName name="________________cbd148">'[5]BILL COV'!#REF!</definedName>
    <definedName name="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 localSheetId="0">#REF!</definedName>
    <definedName name="________________dfS2">'[2]Estimate for approval'!$BQ$1:$BQ$65536</definedName>
    <definedName name="________________DIA1" localSheetId="0">#REF!</definedName>
    <definedName name="________________DIA1">#REF!</definedName>
    <definedName name="________________dia10" localSheetId="0">#REF!</definedName>
    <definedName name="________________dia10">'[7]Rft Footing Blk 1'!$L$26</definedName>
    <definedName name="________________dia12" localSheetId="0">#REF!</definedName>
    <definedName name="________________dia12">'[7]Rft Footing Blk 1'!$M$26</definedName>
    <definedName name="________________dia16" localSheetId="0">#REF!</definedName>
    <definedName name="________________dia16">'[7]Rft Footing Blk 1'!$N$26</definedName>
    <definedName name="________________DIA2" localSheetId="0">#REF!</definedName>
    <definedName name="________________DIA2">#REF!</definedName>
    <definedName name="________________dia20" localSheetId="0">#REF!</definedName>
    <definedName name="________________dia20">'[7]Rft Footing Blk 1'!$O$26</definedName>
    <definedName name="________________dia25" localSheetId="0">#REF!</definedName>
    <definedName name="________________dia25">'[7]Rft Footing Blk 1'!$P$26</definedName>
    <definedName name="________________dia8" localSheetId="0">#REF!</definedName>
    <definedName name="________________dia8">'[7]Rft Footing Blk 1'!$K$26</definedName>
    <definedName name="________________fab1" localSheetId="0">#REF!</definedName>
    <definedName name="________________fab1">'[6]intr stool brkup'!$A$8:$D$53</definedName>
    <definedName name="________________FLG2" localSheetId="0">#REF!</definedName>
    <definedName name="________________FLG2">'[7]Column Blk 1'!#REF!</definedName>
    <definedName name="________________iv66666" localSheetId="0">#REF!</definedName>
    <definedName name="________________iv66666">#REF!</definedName>
    <definedName name="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 localSheetId="0">#REF!</definedName>
    <definedName name="________________MS010">#REF!</definedName>
    <definedName name="________________PO1" localSheetId="0">#REF!</definedName>
    <definedName name="________________PO1">#REF!</definedName>
    <definedName name="________________PO2" localSheetId="0">#REF!</definedName>
    <definedName name="________________PO2">#REF!</definedName>
    <definedName name="________________sdb2" localSheetId="0">#REF!</definedName>
    <definedName name="________________sdb2">#REF!</definedName>
    <definedName name="________________TB2" localSheetId="0">#REF!</definedName>
    <definedName name="________________TB2">'[4]SPT vs PHI'!$B$2:$C$65</definedName>
    <definedName name="________________UGF1" localSheetId="0">#REF!</definedName>
    <definedName name="________________UGF1">'[7]Column Blk 1'!$C$651</definedName>
    <definedName name="________________zz65536" localSheetId="0">#REF!</definedName>
    <definedName name="________________zz65536">'[1]B &amp; C class items '!#REF!</definedName>
    <definedName name="_______________A1" localSheetId="0">#REF!</definedName>
    <definedName name="_______________A1">'[3]Rate analysis'!$C$2</definedName>
    <definedName name="_______________aj1" localSheetId="0">#REF!</definedName>
    <definedName name="_______________aj1">#REF!</definedName>
    <definedName name="_______________b1" localSheetId="0">#REF!</definedName>
    <definedName name="_______________b1">#REF!</definedName>
    <definedName name="_______________B100000" localSheetId="0">#REF!</definedName>
    <definedName name="_______________B100000">#REF!</definedName>
    <definedName name="_______________bak151" localSheetId="0">#REF!</definedName>
    <definedName name="_______________bak151">'[6]BILL COV'!#REF!</definedName>
    <definedName name="_______________bol1" localSheetId="0">#REF!</definedName>
    <definedName name="_______________bol1">#REF!</definedName>
    <definedName name="_______________can430">40.73</definedName>
    <definedName name="_______________can435">43.3</definedName>
    <definedName name="_______________cbd148" localSheetId="0">#REF!</definedName>
    <definedName name="_______________cbd148">'[6]BILL COV'!#REF!</definedName>
    <definedName name="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 localSheetId="0">#REF!</definedName>
    <definedName name="_______________dfS2">'[2]Estimate for approval'!$BQ$1:$BQ$65536</definedName>
    <definedName name="_______________DIA1" localSheetId="0">#REF!</definedName>
    <definedName name="_______________DIA1">#REF!</definedName>
    <definedName name="_______________dia10" localSheetId="0">#REF!</definedName>
    <definedName name="_______________dia10">'[7]Rft Footing Blk 1'!$L$26</definedName>
    <definedName name="_______________dia12" localSheetId="0">#REF!</definedName>
    <definedName name="_______________dia12">'[7]Rft Footing Blk 1'!$M$26</definedName>
    <definedName name="_______________dia16" localSheetId="0">#REF!</definedName>
    <definedName name="_______________dia16">'[7]Rft Footing Blk 1'!$N$26</definedName>
    <definedName name="_______________DIA2" localSheetId="0">#REF!</definedName>
    <definedName name="_______________DIA2">#REF!</definedName>
    <definedName name="_______________dia20" localSheetId="0">#REF!</definedName>
    <definedName name="_______________dia20">'[7]Rft Footing Blk 1'!$O$26</definedName>
    <definedName name="_______________dia25" localSheetId="0">#REF!</definedName>
    <definedName name="_______________dia25">'[7]Rft Footing Blk 1'!$P$26</definedName>
    <definedName name="_______________dia8" localSheetId="0">#REF!</definedName>
    <definedName name="_______________dia8">'[7]Rft Footing Blk 1'!$K$26</definedName>
    <definedName name="_______________fab1" localSheetId="0">#REF!</definedName>
    <definedName name="_______________fab1">'[6]intr stool brkup'!$A$8:$D$53</definedName>
    <definedName name="_______________FLG2" localSheetId="0">#REF!</definedName>
    <definedName name="_______________FLG2">'[7]Column Blk 1'!#REF!</definedName>
    <definedName name="_______________iv66666" localSheetId="0">#REF!</definedName>
    <definedName name="_______________iv66666">#REF!</definedName>
    <definedName name="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 localSheetId="0">#REF!</definedName>
    <definedName name="_______________MS010">#REF!</definedName>
    <definedName name="_______________PO1" localSheetId="0">#REF!</definedName>
    <definedName name="_______________PO1">#REF!</definedName>
    <definedName name="_______________PO2" localSheetId="0">#REF!</definedName>
    <definedName name="_______________PO2">#REF!</definedName>
    <definedName name="_______________sdb2" localSheetId="0">#REF!</definedName>
    <definedName name="_______________sdb2">#REF!</definedName>
    <definedName name="_______________TB2" localSheetId="0">#REF!</definedName>
    <definedName name="_______________TB2">'[4]SPT vs PHI'!$B$2:$C$65</definedName>
    <definedName name="_______________UGF1" localSheetId="0">#REF!</definedName>
    <definedName name="_______________UGF1">'[7]Column Blk 1'!$C$651</definedName>
    <definedName name="_______________zz65536" localSheetId="0">#REF!</definedName>
    <definedName name="_______________zz65536">'[1]B &amp; C class items '!#REF!</definedName>
    <definedName name="______________A1" localSheetId="0">#REF!</definedName>
    <definedName name="______________A1">'[3]Rate analysis'!$C$2</definedName>
    <definedName name="______________aj1" localSheetId="0">#REF!</definedName>
    <definedName name="______________aj1">#REF!</definedName>
    <definedName name="______________b1" localSheetId="0">#REF!</definedName>
    <definedName name="______________b1">#REF!</definedName>
    <definedName name="______________B100000" localSheetId="0">#REF!</definedName>
    <definedName name="______________B100000">#REF!</definedName>
    <definedName name="______________bak151" localSheetId="0">#REF!</definedName>
    <definedName name="______________bak151">'[5]BILL COV'!#REF!</definedName>
    <definedName name="______________bol1" localSheetId="0">#REF!</definedName>
    <definedName name="______________bol1">#REF!</definedName>
    <definedName name="______________can430">40.73</definedName>
    <definedName name="______________can435">43.3</definedName>
    <definedName name="______________cbd148" localSheetId="0">#REF!</definedName>
    <definedName name="______________cbd148">'[5]BILL COV'!#REF!</definedName>
    <definedName name="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 localSheetId="0">#REF!</definedName>
    <definedName name="______________dfS2">'[2]Estimate for approval'!$BQ:$BQ</definedName>
    <definedName name="______________DIA1" localSheetId="0">#REF!</definedName>
    <definedName name="______________DIA1">#REF!</definedName>
    <definedName name="______________dia10" localSheetId="0">#REF!</definedName>
    <definedName name="______________dia10">'[7]Rft Footing Blk 1'!$L$26</definedName>
    <definedName name="______________dia12" localSheetId="0">#REF!</definedName>
    <definedName name="______________dia12">'[7]Rft Footing Blk 1'!$M$26</definedName>
    <definedName name="______________dia16" localSheetId="0">#REF!</definedName>
    <definedName name="______________dia16">'[7]Rft Footing Blk 1'!$N$26</definedName>
    <definedName name="______________DIA2" localSheetId="0">#REF!</definedName>
    <definedName name="______________DIA2">#REF!</definedName>
    <definedName name="______________dia20" localSheetId="0">#REF!</definedName>
    <definedName name="______________dia20">'[7]Rft Footing Blk 1'!$O$26</definedName>
    <definedName name="______________dia25" localSheetId="0">#REF!</definedName>
    <definedName name="______________dia25">'[7]Rft Footing Blk 1'!$P$26</definedName>
    <definedName name="______________dia8" localSheetId="0">#REF!</definedName>
    <definedName name="______________dia8">'[7]Rft Footing Blk 1'!$K$26</definedName>
    <definedName name="______________fab1" localSheetId="0">#REF!</definedName>
    <definedName name="______________fab1">'[6]intr stool brkup'!$A$8:$D$53</definedName>
    <definedName name="______________iv66666" localSheetId="0">#REF!</definedName>
    <definedName name="______________iv66666">#REF!</definedName>
    <definedName name="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 localSheetId="0">#REF!</definedName>
    <definedName name="______________MS010">#REF!</definedName>
    <definedName name="______________PO1" localSheetId="0">#REF!</definedName>
    <definedName name="______________PO1">#REF!</definedName>
    <definedName name="______________PO2" localSheetId="0">#REF!</definedName>
    <definedName name="______________PO2">#REF!</definedName>
    <definedName name="______________sdb2" localSheetId="0">#REF!</definedName>
    <definedName name="______________sdb2">#REF!</definedName>
    <definedName name="______________TB2" localSheetId="0">#REF!</definedName>
    <definedName name="______________TB2">'[4]SPT vs PHI'!$B$2:$C$65</definedName>
    <definedName name="______________UGF1" localSheetId="0">#REF!</definedName>
    <definedName name="______________UGF1">'[7]Column Blk 1'!$C$651</definedName>
    <definedName name="______________zz65536" localSheetId="0">#REF!</definedName>
    <definedName name="______________zz65536">'[1]B &amp; C class items '!#REF!</definedName>
    <definedName name="_____________A1" localSheetId="0">#REF!</definedName>
    <definedName name="_____________A1">'[3]Rate analysis'!$C$2</definedName>
    <definedName name="_____________aj1" localSheetId="0">#REF!</definedName>
    <definedName name="_____________aj1">#REF!</definedName>
    <definedName name="_____________b1" localSheetId="0">#REF!</definedName>
    <definedName name="_____________b1">#REF!</definedName>
    <definedName name="_____________B100000" localSheetId="0">#REF!</definedName>
    <definedName name="_____________B100000">#REF!</definedName>
    <definedName name="_____________bak151" localSheetId="0">#REF!</definedName>
    <definedName name="_____________bak151">'[5]BILL COV'!#REF!</definedName>
    <definedName name="_____________bol1" localSheetId="0">#REF!</definedName>
    <definedName name="_____________bol1">#REF!</definedName>
    <definedName name="_____________can430">40.73</definedName>
    <definedName name="_____________can435">43.3</definedName>
    <definedName name="_____________cbd148" localSheetId="0">#REF!</definedName>
    <definedName name="_____________cbd148">'[5]BILL COV'!#REF!</definedName>
    <definedName name="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 localSheetId="0">#REF!</definedName>
    <definedName name="_____________dfS2">'[2]Estimate for approval'!$BQ$1:$BQ$65536</definedName>
    <definedName name="_____________DIA1" localSheetId="0">#REF!</definedName>
    <definedName name="_____________DIA1">#REF!</definedName>
    <definedName name="_____________dia10" localSheetId="0">#REF!</definedName>
    <definedName name="_____________dia10">'[7]Rft Footing Blk 1'!$L$26</definedName>
    <definedName name="_____________dia12" localSheetId="0">#REF!</definedName>
    <definedName name="_____________dia12">'[7]Rft Footing Blk 1'!$M$26</definedName>
    <definedName name="_____________dia16" localSheetId="0">#REF!</definedName>
    <definedName name="_____________dia16">'[7]Rft Footing Blk 1'!$N$26</definedName>
    <definedName name="_____________DIA2" localSheetId="0">#REF!</definedName>
    <definedName name="_____________DIA2">#REF!</definedName>
    <definedName name="_____________dia20" localSheetId="0">#REF!</definedName>
    <definedName name="_____________dia20">'[7]Rft Footing Blk 1'!$O$26</definedName>
    <definedName name="_____________dia25" localSheetId="0">#REF!</definedName>
    <definedName name="_____________dia25">'[7]Rft Footing Blk 1'!$P$26</definedName>
    <definedName name="_____________dia8" localSheetId="0">#REF!</definedName>
    <definedName name="_____________dia8">'[7]Rft Footing Blk 1'!$K$26</definedName>
    <definedName name="_____________fab1" localSheetId="0">#REF!</definedName>
    <definedName name="_____________fab1">'[6]intr stool brkup'!$A$8:$D$53</definedName>
    <definedName name="_____________FLG2" localSheetId="0">#REF!</definedName>
    <definedName name="_____________FLG2">'[7]Column Blk 1'!#REF!</definedName>
    <definedName name="_____________iv66666" localSheetId="0">#REF!</definedName>
    <definedName name="_____________iv66666">#REF!</definedName>
    <definedName name="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 localSheetId="0">#REF!</definedName>
    <definedName name="_____________MS010">#REF!</definedName>
    <definedName name="_____________PO1" localSheetId="0">#REF!</definedName>
    <definedName name="_____________PO1">#REF!</definedName>
    <definedName name="_____________PO2" localSheetId="0">#REF!</definedName>
    <definedName name="_____________PO2">#REF!</definedName>
    <definedName name="_____________sdb2" localSheetId="0">#REF!</definedName>
    <definedName name="_____________sdb2">#REF!</definedName>
    <definedName name="_____________TB2" localSheetId="0">#REF!</definedName>
    <definedName name="_____________TB2">'[6]SPT vs PHI'!$B$2:$C$65</definedName>
    <definedName name="_____________UGF1" localSheetId="0">#REF!</definedName>
    <definedName name="_____________UGF1">'[7]Column Blk 1'!$C$651</definedName>
    <definedName name="_____________zz65536" localSheetId="0">#REF!</definedName>
    <definedName name="_____________zz65536">'[1]B &amp; C class items '!#REF!</definedName>
    <definedName name="____________A1" localSheetId="0">#REF!</definedName>
    <definedName name="____________A1">'[3]Rate analysis'!$C$2</definedName>
    <definedName name="____________aj1" localSheetId="0">#REF!</definedName>
    <definedName name="____________aj1">#REF!</definedName>
    <definedName name="____________b1" localSheetId="0">#REF!</definedName>
    <definedName name="____________b1">#REF!</definedName>
    <definedName name="____________B100000" localSheetId="0">#REF!</definedName>
    <definedName name="____________B100000">#REF!</definedName>
    <definedName name="____________bak151" localSheetId="0">#REF!</definedName>
    <definedName name="____________bak151">'[5]BILL COV'!#REF!</definedName>
    <definedName name="____________bol1" localSheetId="0">#REF!</definedName>
    <definedName name="____________bol1">#REF!</definedName>
    <definedName name="____________can430">40.73</definedName>
    <definedName name="____________can435">43.3</definedName>
    <definedName name="____________cbd148" localSheetId="0">#REF!</definedName>
    <definedName name="____________cbd148">'[5]BILL COV'!#REF!</definedName>
    <definedName name="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 localSheetId="0">#REF!</definedName>
    <definedName name="____________dfS2">'[2]Estimate for approval'!$BQ$1:$BQ$65536</definedName>
    <definedName name="____________DIA1" localSheetId="0">#REF!</definedName>
    <definedName name="____________DIA1">#REF!</definedName>
    <definedName name="____________dia10" localSheetId="0">#REF!</definedName>
    <definedName name="____________dia10">'[7]Rft Footing Blk 1'!$L$26</definedName>
    <definedName name="____________dia12" localSheetId="0">#REF!</definedName>
    <definedName name="____________dia12">'[7]Rft Footing Blk 1'!$M$26</definedName>
    <definedName name="____________dia16" localSheetId="0">#REF!</definedName>
    <definedName name="____________dia16">'[7]Rft Footing Blk 1'!$N$26</definedName>
    <definedName name="____________DIA2" localSheetId="0">#REF!</definedName>
    <definedName name="____________DIA2">#REF!</definedName>
    <definedName name="____________dia20" localSheetId="0">#REF!</definedName>
    <definedName name="____________dia20">'[7]Rft Footing Blk 1'!$O$26</definedName>
    <definedName name="____________dia25" localSheetId="0">#REF!</definedName>
    <definedName name="____________dia25">'[7]Rft Footing Blk 1'!$P$26</definedName>
    <definedName name="____________dia8" localSheetId="0">#REF!</definedName>
    <definedName name="____________dia8">'[7]Rft Footing Blk 1'!$K$26</definedName>
    <definedName name="____________fab1" localSheetId="0">#REF!</definedName>
    <definedName name="____________fab1">'[6]intr stool brkup'!$A$8:$D$53</definedName>
    <definedName name="____________FLG2" localSheetId="0">#REF!</definedName>
    <definedName name="____________FLG2">'[7]Column Blk 1'!#REF!</definedName>
    <definedName name="____________iv66666" localSheetId="0">#REF!</definedName>
    <definedName name="____________iv66666">#REF!</definedName>
    <definedName name="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 localSheetId="0">#REF!</definedName>
    <definedName name="____________MS010">#REF!</definedName>
    <definedName name="____________PO1" localSheetId="0">#REF!</definedName>
    <definedName name="____________PO1">#REF!</definedName>
    <definedName name="____________PO2" localSheetId="0">#REF!</definedName>
    <definedName name="____________PO2">#REF!</definedName>
    <definedName name="____________sdb2" localSheetId="0">#REF!</definedName>
    <definedName name="____________sdb2">#REF!</definedName>
    <definedName name="____________TB2" localSheetId="0">#REF!</definedName>
    <definedName name="____________TB2">'[4]SPT vs PHI'!$B$2:$C$65</definedName>
    <definedName name="____________UGF1" localSheetId="0">#REF!</definedName>
    <definedName name="____________UGF1">'[7]Column Blk 1'!$C$651</definedName>
    <definedName name="____________zz65536" localSheetId="0">#REF!</definedName>
    <definedName name="____________zz65536">'[1]B &amp; C class items '!#REF!</definedName>
    <definedName name="___________A1" localSheetId="0">#REF!</definedName>
    <definedName name="___________A1">'[3]Rate analysis'!$C$2</definedName>
    <definedName name="___________aj1" localSheetId="0">#REF!</definedName>
    <definedName name="___________aj1">#REF!</definedName>
    <definedName name="___________b1" localSheetId="0">#REF!</definedName>
    <definedName name="___________b1">#REF!</definedName>
    <definedName name="___________B100000" localSheetId="0">#REF!</definedName>
    <definedName name="___________B100000">#REF!</definedName>
    <definedName name="___________bak151" localSheetId="0">#REF!</definedName>
    <definedName name="___________bak151">'[5]BILL COV'!#REF!</definedName>
    <definedName name="___________bol1" localSheetId="0">#REF!</definedName>
    <definedName name="___________bol1">#REF!</definedName>
    <definedName name="___________can430">40.73</definedName>
    <definedName name="___________can435">43.3</definedName>
    <definedName name="___________cbd148" localSheetId="0">#REF!</definedName>
    <definedName name="___________cbd148">'[5]BILL COV'!#REF!</definedName>
    <definedName name="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 localSheetId="0">#REF!</definedName>
    <definedName name="___________dfS2">'[2]Estimate for approval'!$BQ$1:$BQ$65536</definedName>
    <definedName name="___________DIA1" localSheetId="0">#REF!</definedName>
    <definedName name="___________DIA1">#REF!</definedName>
    <definedName name="___________dia10" localSheetId="0">#REF!</definedName>
    <definedName name="___________dia10">'[7]Rft Footing Blk 1'!$L$26</definedName>
    <definedName name="___________dia12" localSheetId="0">#REF!</definedName>
    <definedName name="___________dia12">'[7]Rft Footing Blk 1'!$M$26</definedName>
    <definedName name="___________dia16" localSheetId="0">#REF!</definedName>
    <definedName name="___________dia16">'[7]Rft Footing Blk 1'!$N$26</definedName>
    <definedName name="___________DIA2" localSheetId="0">#REF!</definedName>
    <definedName name="___________DIA2">#REF!</definedName>
    <definedName name="___________dia20" localSheetId="0">#REF!</definedName>
    <definedName name="___________dia20">'[7]Rft Footing Blk 1'!$O$26</definedName>
    <definedName name="___________dia25" localSheetId="0">#REF!</definedName>
    <definedName name="___________dia25">'[7]Rft Footing Blk 1'!$P$26</definedName>
    <definedName name="___________dia8" localSheetId="0">#REF!</definedName>
    <definedName name="___________dia8">'[7]Rft Footing Blk 1'!$K$26</definedName>
    <definedName name="___________fab1" localSheetId="0">#REF!</definedName>
    <definedName name="___________fab1">'[7]intr stool brkup'!$A$8:$D$53</definedName>
    <definedName name="___________FLG2" localSheetId="0">#REF!</definedName>
    <definedName name="___________FLG2">'[7]Column Blk 1'!#REF!</definedName>
    <definedName name="___________iv66666" localSheetId="0">#REF!</definedName>
    <definedName name="___________iv66666">#REF!</definedName>
    <definedName name="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 localSheetId="0">#REF!</definedName>
    <definedName name="___________MS010">#REF!</definedName>
    <definedName name="___________PO1" localSheetId="0">#REF!</definedName>
    <definedName name="___________PO1">#REF!</definedName>
    <definedName name="___________PO2" localSheetId="0">#REF!</definedName>
    <definedName name="___________PO2">#REF!</definedName>
    <definedName name="___________sdb2" localSheetId="0">#REF!</definedName>
    <definedName name="___________sdb2">#REF!</definedName>
    <definedName name="___________TB2" localSheetId="0">#REF!</definedName>
    <definedName name="___________TB2">'[6]SPT vs PHI'!$B$2:$C$65</definedName>
    <definedName name="___________UGF1" localSheetId="0">#REF!</definedName>
    <definedName name="___________UGF1">'[7]Column Blk 1'!$C$651</definedName>
    <definedName name="___________zz65536" localSheetId="0">#REF!</definedName>
    <definedName name="___________zz65536">'[1]B &amp; C class items '!#REF!</definedName>
    <definedName name="__________A1" localSheetId="0">#REF!</definedName>
    <definedName name="__________A1">'[3]Rate analysis'!$C$2</definedName>
    <definedName name="__________aj1" localSheetId="0">#REF!</definedName>
    <definedName name="__________aj1">#REF!</definedName>
    <definedName name="__________b1" localSheetId="0">#REF!</definedName>
    <definedName name="__________b1">#REF!</definedName>
    <definedName name="__________B100000" localSheetId="0">#REF!</definedName>
    <definedName name="__________B100000">#REF!</definedName>
    <definedName name="__________bak151" localSheetId="0">#REF!</definedName>
    <definedName name="__________bak151">'[5]BILL COV'!#REF!</definedName>
    <definedName name="__________bol1" localSheetId="0">#REF!</definedName>
    <definedName name="__________bol1">#REF!</definedName>
    <definedName name="__________can430">40.73</definedName>
    <definedName name="__________can435">43.3</definedName>
    <definedName name="__________cbd148" localSheetId="0">#REF!</definedName>
    <definedName name="__________cbd148">'[5]BILL COV'!#REF!</definedName>
    <definedName name="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 localSheetId="0">#REF!</definedName>
    <definedName name="__________dfS2">'[2]Estimate for approval'!$BQ$1:$BQ$65536</definedName>
    <definedName name="__________DIA1" localSheetId="0">#REF!</definedName>
    <definedName name="__________DIA1">#REF!</definedName>
    <definedName name="__________dia10" localSheetId="0">#REF!</definedName>
    <definedName name="__________dia10">'[7]Rft Footing Blk 1'!$L$26</definedName>
    <definedName name="__________dia12" localSheetId="0">#REF!</definedName>
    <definedName name="__________dia12">'[7]Rft Footing Blk 1'!$M$26</definedName>
    <definedName name="__________dia16" localSheetId="0">#REF!</definedName>
    <definedName name="__________dia16">'[7]Rft Footing Blk 1'!$N$26</definedName>
    <definedName name="__________DIA2" localSheetId="0">#REF!</definedName>
    <definedName name="__________DIA2">#REF!</definedName>
    <definedName name="__________dia20" localSheetId="0">#REF!</definedName>
    <definedName name="__________dia20">'[7]Rft Footing Blk 1'!$O$26</definedName>
    <definedName name="__________dia25" localSheetId="0">#REF!</definedName>
    <definedName name="__________dia25">'[7]Rft Footing Blk 1'!$P$26</definedName>
    <definedName name="__________dia8" localSheetId="0">#REF!</definedName>
    <definedName name="__________dia8">'[7]Rft Footing Blk 1'!$K$26</definedName>
    <definedName name="__________fab1" localSheetId="0">#REF!</definedName>
    <definedName name="__________fab1">'[6]intr stool brkup'!$A$8:$D$53</definedName>
    <definedName name="__________FLG2" localSheetId="0">#REF!</definedName>
    <definedName name="__________FLG2">'[7]Column Blk 1'!#REF!</definedName>
    <definedName name="__________iv66666" localSheetId="0">#REF!</definedName>
    <definedName name="__________iv66666">#REF!</definedName>
    <definedName name="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 localSheetId="0">#REF!</definedName>
    <definedName name="__________MS010">#REF!</definedName>
    <definedName name="__________PO1" localSheetId="0">#REF!</definedName>
    <definedName name="__________PO1">#REF!</definedName>
    <definedName name="__________PO2" localSheetId="0">#REF!</definedName>
    <definedName name="__________PO2">#REF!</definedName>
    <definedName name="__________sdb2" localSheetId="0">#REF!</definedName>
    <definedName name="__________sdb2">#REF!</definedName>
    <definedName name="__________TB2" localSheetId="0">#REF!</definedName>
    <definedName name="__________TB2">'[6]SPT vs PHI'!$B$2:$C$65</definedName>
    <definedName name="__________UGF1" localSheetId="0">#REF!</definedName>
    <definedName name="__________UGF1">'[7]Column Blk 1'!$C$651</definedName>
    <definedName name="__________zz65536" localSheetId="0">#REF!</definedName>
    <definedName name="__________zz65536">'[1]B &amp; C class items '!#REF!</definedName>
    <definedName name="_________A1" localSheetId="0">#REF!</definedName>
    <definedName name="_________A1">'[3]Rate analysis'!$C$2</definedName>
    <definedName name="_________aj1" localSheetId="0">#REF!</definedName>
    <definedName name="_________aj1">#REF!</definedName>
    <definedName name="_________b1" localSheetId="0">#REF!</definedName>
    <definedName name="_________b1">#REF!</definedName>
    <definedName name="_________B100000" localSheetId="0">#REF!</definedName>
    <definedName name="_________B100000">#REF!</definedName>
    <definedName name="_________bak151" localSheetId="0">#REF!</definedName>
    <definedName name="_________bak151">'[5]BILL COV'!#REF!</definedName>
    <definedName name="_________bol1" localSheetId="0">#REF!</definedName>
    <definedName name="_________bol1">#REF!</definedName>
    <definedName name="_________can430">40.73</definedName>
    <definedName name="_________can435">43.3</definedName>
    <definedName name="_________cbd148" localSheetId="0">#REF!</definedName>
    <definedName name="_________cbd148">'[5]BILL COV'!#REF!</definedName>
    <definedName name="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 localSheetId="0">#REF!</definedName>
    <definedName name="_________dfS2">#REF!</definedName>
    <definedName name="_________DIA1" localSheetId="0">#REF!</definedName>
    <definedName name="_________DIA1">#REF!</definedName>
    <definedName name="_________dia10" localSheetId="0">#REF!</definedName>
    <definedName name="_________dia10">'[7]Rft Footing Blk 1'!$L$26</definedName>
    <definedName name="_________dia12" localSheetId="0">#REF!</definedName>
    <definedName name="_________dia12">'[7]Rft Footing Blk 1'!$M$26</definedName>
    <definedName name="_________dia16" localSheetId="0">#REF!</definedName>
    <definedName name="_________dia16">'[7]Rft Footing Blk 1'!$N$26</definedName>
    <definedName name="_________DIA2" localSheetId="0">#REF!</definedName>
    <definedName name="_________DIA2">#REF!</definedName>
    <definedName name="_________dia20" localSheetId="0">#REF!</definedName>
    <definedName name="_________dia20">'[7]Rft Footing Blk 1'!$O$26</definedName>
    <definedName name="_________dia25" localSheetId="0">#REF!</definedName>
    <definedName name="_________dia25">'[7]Rft Footing Blk 1'!$P$26</definedName>
    <definedName name="_________dia8" localSheetId="0">#REF!</definedName>
    <definedName name="_________dia8">'[7]Rft Footing Blk 1'!$K$26</definedName>
    <definedName name="_________fab1" localSheetId="0">#REF!</definedName>
    <definedName name="_________fab1">'[7]intr stool brkup'!$A$8:$D$53</definedName>
    <definedName name="_________FLG2" localSheetId="0">#REF!</definedName>
    <definedName name="_________FLG2">'[7]Column Blk 1'!#REF!</definedName>
    <definedName name="_________iv66666" localSheetId="0">#REF!</definedName>
    <definedName name="_________iv66666">#REF!</definedName>
    <definedName name="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 localSheetId="0">#REF!</definedName>
    <definedName name="_________MS010">#REF!</definedName>
    <definedName name="_________PO1" localSheetId="0">#REF!</definedName>
    <definedName name="_________PO1">#REF!</definedName>
    <definedName name="_________PO2" localSheetId="0">#REF!</definedName>
    <definedName name="_________PO2">#REF!</definedName>
    <definedName name="_________sdb2" localSheetId="0">#REF!</definedName>
    <definedName name="_________sdb2">#REF!</definedName>
    <definedName name="_________TB2" localSheetId="0">#REF!</definedName>
    <definedName name="_________TB2">'[6]SPT vs PHI'!$B$2:$C$65</definedName>
    <definedName name="_________UGF1" localSheetId="0">#REF!</definedName>
    <definedName name="_________UGF1">'[7]Column Blk 1'!$C$651</definedName>
    <definedName name="_________zz65536" localSheetId="0">#REF!</definedName>
    <definedName name="_________zz65536">'[1]B &amp; C class items '!#REF!</definedName>
    <definedName name="________A1" localSheetId="0">#REF!</definedName>
    <definedName name="________A1">'[3]Rate analysis'!$C$2</definedName>
    <definedName name="________aj1" localSheetId="0">#REF!</definedName>
    <definedName name="________aj1">#REF!</definedName>
    <definedName name="________b1" localSheetId="0">#REF!</definedName>
    <definedName name="________b1">#REF!</definedName>
    <definedName name="________B100000" localSheetId="0">#REF!</definedName>
    <definedName name="________B100000">#REF!</definedName>
    <definedName name="________bak151" localSheetId="0">#REF!</definedName>
    <definedName name="________bak151">'[5]BILL COV'!#REF!</definedName>
    <definedName name="________bol1" localSheetId="0">#REF!</definedName>
    <definedName name="________bol1">#REF!</definedName>
    <definedName name="________can430">40.73</definedName>
    <definedName name="________can435">43.3</definedName>
    <definedName name="________cbd148" localSheetId="0">#REF!</definedName>
    <definedName name="________cbd148">'[5]BILL COV'!#REF!</definedName>
    <definedName name="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 localSheetId="0">#REF!</definedName>
    <definedName name="________dfS2">#REF!</definedName>
    <definedName name="________DIA1" localSheetId="0">#REF!</definedName>
    <definedName name="________DIA1">#REF!</definedName>
    <definedName name="________dia10" localSheetId="0">#REF!</definedName>
    <definedName name="________dia10">'[7]Rft Footing Blk 1'!$L$26</definedName>
    <definedName name="________dia12" localSheetId="0">#REF!</definedName>
    <definedName name="________dia12">'[7]Rft Footing Blk 1'!$M$26</definedName>
    <definedName name="________dia16" localSheetId="0">#REF!</definedName>
    <definedName name="________dia16">'[7]Rft Footing Blk 1'!$N$26</definedName>
    <definedName name="________DIA2" localSheetId="0">#REF!</definedName>
    <definedName name="________DIA2">#REF!</definedName>
    <definedName name="________dia20" localSheetId="0">#REF!</definedName>
    <definedName name="________dia20">'[7]Rft Footing Blk 1'!$O$26</definedName>
    <definedName name="________dia25" localSheetId="0">#REF!</definedName>
    <definedName name="________dia25">'[7]Rft Footing Blk 1'!$P$26</definedName>
    <definedName name="________dia8" localSheetId="0">#REF!</definedName>
    <definedName name="________dia8">'[7]Rft Footing Blk 1'!$K$26</definedName>
    <definedName name="________fab1" localSheetId="0">#REF!</definedName>
    <definedName name="________fab1">'[7]intr stool brkup'!$A$8:$D$53</definedName>
    <definedName name="________FLG2" localSheetId="0">#REF!</definedName>
    <definedName name="________FLG2">'[7]Column Blk 1'!#REF!</definedName>
    <definedName name="________iv66666" localSheetId="0">#REF!</definedName>
    <definedName name="________iv66666">#REF!</definedName>
    <definedName name="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 localSheetId="0">#REF!</definedName>
    <definedName name="________MS010">#REF!</definedName>
    <definedName name="________PO1" localSheetId="0">#REF!</definedName>
    <definedName name="________PO1">#REF!</definedName>
    <definedName name="________PO2" localSheetId="0">#REF!</definedName>
    <definedName name="________PO2">#REF!</definedName>
    <definedName name="________sdb2" localSheetId="0">#REF!</definedName>
    <definedName name="________sdb2">#REF!</definedName>
    <definedName name="________TB2" localSheetId="0">#REF!</definedName>
    <definedName name="________TB2">'[6]SPT vs PHI'!$B$2:$C$65</definedName>
    <definedName name="________UGF1" localSheetId="0">#REF!</definedName>
    <definedName name="________UGF1">'[7]Column Blk 1'!$C$651</definedName>
    <definedName name="________zz65536" localSheetId="0">#REF!</definedName>
    <definedName name="________zz65536">'[1]B &amp; C class items '!#REF!</definedName>
    <definedName name="_______A1" localSheetId="0">#REF!</definedName>
    <definedName name="_______A1">'[3]Rate analysis'!$C$2</definedName>
    <definedName name="_______aj1" localSheetId="0">#REF!</definedName>
    <definedName name="_______aj1">#REF!</definedName>
    <definedName name="_______b1" localSheetId="0">#REF!</definedName>
    <definedName name="_______b1">#REF!</definedName>
    <definedName name="_______B100000" localSheetId="0">#REF!</definedName>
    <definedName name="_______B100000">#REF!</definedName>
    <definedName name="_______bak151" localSheetId="0">#REF!</definedName>
    <definedName name="_______bak151">'[5]BILL COV'!#REF!</definedName>
    <definedName name="_______bol1" localSheetId="0">#REF!</definedName>
    <definedName name="_______bol1">#REF!</definedName>
    <definedName name="_______can430">40.73</definedName>
    <definedName name="_______can435">43.3</definedName>
    <definedName name="_______cbd148" localSheetId="0">#REF!</definedName>
    <definedName name="_______cbd148">'[5]BILL COV'!#REF!</definedName>
    <definedName name="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 localSheetId="0">#REF!</definedName>
    <definedName name="_______dfS2">#REF!</definedName>
    <definedName name="_______DIA1" localSheetId="0">#REF!</definedName>
    <definedName name="_______DIA1">#REF!</definedName>
    <definedName name="_______dia10" localSheetId="0">#REF!</definedName>
    <definedName name="_______dia10">'[7]Rft Footing Blk 1'!$L$26</definedName>
    <definedName name="_______dia12" localSheetId="0">#REF!</definedName>
    <definedName name="_______dia12">'[7]Rft Footing Blk 1'!$M$26</definedName>
    <definedName name="_______dia16" localSheetId="0">#REF!</definedName>
    <definedName name="_______dia16">'[7]Rft Footing Blk 1'!$N$26</definedName>
    <definedName name="_______DIA2" localSheetId="0">#REF!</definedName>
    <definedName name="_______DIA2">#REF!</definedName>
    <definedName name="_______dia20" localSheetId="0">#REF!</definedName>
    <definedName name="_______dia20">'[7]Rft Footing Blk 1'!$O$26</definedName>
    <definedName name="_______dia25" localSheetId="0">#REF!</definedName>
    <definedName name="_______dia25">'[7]Rft Footing Blk 1'!$P$26</definedName>
    <definedName name="_______dia8" localSheetId="0">#REF!</definedName>
    <definedName name="_______dia8">'[7]Rft Footing Blk 1'!$K$26</definedName>
    <definedName name="_______fab1" localSheetId="0">#REF!</definedName>
    <definedName name="_______fab1">'[7]intr stool brkup'!$A$8:$D$53</definedName>
    <definedName name="_______FLG2" localSheetId="0">#REF!</definedName>
    <definedName name="_______FLG2">'[7]Column Blk 1'!#REF!</definedName>
    <definedName name="_______iv66666" localSheetId="0">#REF!</definedName>
    <definedName name="_______iv66666">#REF!</definedName>
    <definedName name="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 localSheetId="0">#REF!</definedName>
    <definedName name="_______MS010">#REF!</definedName>
    <definedName name="_______PO1" localSheetId="0">#REF!</definedName>
    <definedName name="_______PO1">#REF!</definedName>
    <definedName name="_______PO2" localSheetId="0">#REF!</definedName>
    <definedName name="_______PO2">#REF!</definedName>
    <definedName name="_______sdb2" localSheetId="0">#REF!</definedName>
    <definedName name="_______sdb2">#REF!</definedName>
    <definedName name="_______TB2" localSheetId="0">#REF!</definedName>
    <definedName name="_______TB2">'[6]SPT vs PHI'!$B$2:$C$65</definedName>
    <definedName name="_______UGF1" localSheetId="0">#REF!</definedName>
    <definedName name="_______UGF1">'[7]Column Blk 1'!$C$651</definedName>
    <definedName name="_______zz65536" localSheetId="0">#REF!</definedName>
    <definedName name="_______zz65536">'[1]B &amp; C class items '!#REF!</definedName>
    <definedName name="______A1" localSheetId="0">#REF!</definedName>
    <definedName name="______A1">'[3]Rate analysis'!$C$2</definedName>
    <definedName name="______aj1" localSheetId="0">#REF!</definedName>
    <definedName name="______aj1">#REF!</definedName>
    <definedName name="______b1" localSheetId="0">#REF!</definedName>
    <definedName name="______b1">#REF!</definedName>
    <definedName name="______B100000" localSheetId="0">#REF!</definedName>
    <definedName name="______B100000">#REF!</definedName>
    <definedName name="______bak151" localSheetId="0">#REF!</definedName>
    <definedName name="______bak151">'[5]BILL COV'!#REF!</definedName>
    <definedName name="______bol1" localSheetId="0">#REF!</definedName>
    <definedName name="______bol1">#REF!</definedName>
    <definedName name="______can430">40.73</definedName>
    <definedName name="______can435">43.3</definedName>
    <definedName name="______cbd148" localSheetId="0">#REF!</definedName>
    <definedName name="______cbd148">'[5]BILL COV'!#REF!</definedName>
    <definedName name="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 localSheetId="0">#REF!</definedName>
    <definedName name="______dfS2">#REF!</definedName>
    <definedName name="______DIA1" localSheetId="0">#REF!</definedName>
    <definedName name="______DIA1">#REF!</definedName>
    <definedName name="______dia10" localSheetId="0">#REF!</definedName>
    <definedName name="______dia10">'[7]Rft Footing Blk 1'!$L$26</definedName>
    <definedName name="______dia12" localSheetId="0">#REF!</definedName>
    <definedName name="______dia12">'[7]Rft Footing Blk 1'!$M$26</definedName>
    <definedName name="______dia16" localSheetId="0">#REF!</definedName>
    <definedName name="______dia16">'[7]Rft Footing Blk 1'!$N$26</definedName>
    <definedName name="______DIA2" localSheetId="0">#REF!</definedName>
    <definedName name="______DIA2">#REF!</definedName>
    <definedName name="______dia20" localSheetId="0">#REF!</definedName>
    <definedName name="______dia20">'[7]Rft Footing Blk 1'!$O$26</definedName>
    <definedName name="______dia25" localSheetId="0">#REF!</definedName>
    <definedName name="______dia25">'[7]Rft Footing Blk 1'!$P$26</definedName>
    <definedName name="______dia8" localSheetId="0">#REF!</definedName>
    <definedName name="______dia8">'[7]Rft Footing Blk 1'!$K$26</definedName>
    <definedName name="______fab1" localSheetId="0">#REF!</definedName>
    <definedName name="______fab1">'[7]intr stool brkup'!$A$8:$D$53</definedName>
    <definedName name="______FLG2" localSheetId="0">#REF!</definedName>
    <definedName name="______FLG2">'[7]Column Blk 1'!#REF!</definedName>
    <definedName name="______iv66666" localSheetId="0">#REF!</definedName>
    <definedName name="______iv66666">#REF!</definedName>
    <definedName name="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 localSheetId="0">#REF!</definedName>
    <definedName name="______MS010">#REF!</definedName>
    <definedName name="______PO1" localSheetId="0">#REF!</definedName>
    <definedName name="______PO1">#REF!</definedName>
    <definedName name="______PO2" localSheetId="0">#REF!</definedName>
    <definedName name="______PO2">#REF!</definedName>
    <definedName name="______sdb2" localSheetId="0">#REF!</definedName>
    <definedName name="______sdb2">#REF!</definedName>
    <definedName name="______TB2" localSheetId="0">#REF!</definedName>
    <definedName name="______TB2">'[6]SPT vs PHI'!$B$2:$C$65</definedName>
    <definedName name="______UGF1" localSheetId="0">#REF!</definedName>
    <definedName name="______UGF1">'[7]Column Blk 1'!$C$651</definedName>
    <definedName name="______zz65536" localSheetId="0">#REF!</definedName>
    <definedName name="______zz65536">'[1]B &amp; C class items '!#REF!</definedName>
    <definedName name="_____A1" localSheetId="0">#REF!</definedName>
    <definedName name="_____A1">'[3]Rate analysis'!$C$2</definedName>
    <definedName name="_____aj1" localSheetId="0">#REF!</definedName>
    <definedName name="_____aj1">#REF!</definedName>
    <definedName name="_____b1" localSheetId="0">#REF!</definedName>
    <definedName name="_____b1">#REF!</definedName>
    <definedName name="_____B100000" localSheetId="0">#REF!</definedName>
    <definedName name="_____B100000">#REF!</definedName>
    <definedName name="_____bak151" localSheetId="0">#REF!</definedName>
    <definedName name="_____bak151">'[5]BILL COV'!#REF!</definedName>
    <definedName name="_____bol1" localSheetId="0">#REF!</definedName>
    <definedName name="_____bol1">#REF!</definedName>
    <definedName name="_____can430">40.73</definedName>
    <definedName name="_____can435">43.3</definedName>
    <definedName name="_____cbd148" localSheetId="0">#REF!</definedName>
    <definedName name="_____cbd148">'[5]BILL COV'!#REF!</definedName>
    <definedName name="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 localSheetId="0">#REF!</definedName>
    <definedName name="_____dfS2">#REF!</definedName>
    <definedName name="_____DIA1" localSheetId="0">#REF!</definedName>
    <definedName name="_____DIA1">#REF!</definedName>
    <definedName name="_____dia10" localSheetId="0">#REF!</definedName>
    <definedName name="_____dia10">'[7]Rft Footing Blk 1'!$L$26</definedName>
    <definedName name="_____dia12" localSheetId="0">#REF!</definedName>
    <definedName name="_____dia12">'[7]Rft Footing Blk 1'!$M$26</definedName>
    <definedName name="_____dia16" localSheetId="0">#REF!</definedName>
    <definedName name="_____dia16">'[7]Rft Footing Blk 1'!$N$26</definedName>
    <definedName name="_____DIA2" localSheetId="0">#REF!</definedName>
    <definedName name="_____DIA2">#REF!</definedName>
    <definedName name="_____dia20" localSheetId="0">#REF!</definedName>
    <definedName name="_____dia20">'[7]Rft Footing Blk 1'!$O$26</definedName>
    <definedName name="_____dia25" localSheetId="0">#REF!</definedName>
    <definedName name="_____dia25">'[7]Rft Footing Blk 1'!$P$26</definedName>
    <definedName name="_____dia8" localSheetId="0">#REF!</definedName>
    <definedName name="_____dia8">'[7]Rft Footing Blk 1'!$K$26</definedName>
    <definedName name="_____fab1" localSheetId="0">#REF!</definedName>
    <definedName name="_____fab1">'[7]intr stool brkup'!$A$8:$D$53</definedName>
    <definedName name="_____FLG2" localSheetId="0">#REF!</definedName>
    <definedName name="_____FLG2">'[7]Column Blk 1'!#REF!</definedName>
    <definedName name="_____iv66666" localSheetId="0">#REF!</definedName>
    <definedName name="_____iv66666">#REF!</definedName>
    <definedName name="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 localSheetId="0">#REF!</definedName>
    <definedName name="_____MS010">#REF!</definedName>
    <definedName name="_____PO1" localSheetId="0">#REF!</definedName>
    <definedName name="_____PO1">#REF!</definedName>
    <definedName name="_____PO2" localSheetId="0">#REF!</definedName>
    <definedName name="_____PO2">#REF!</definedName>
    <definedName name="_____sdb2" localSheetId="0">#REF!</definedName>
    <definedName name="_____sdb2">#REF!</definedName>
    <definedName name="_____TB2" localSheetId="0">#REF!</definedName>
    <definedName name="_____TB2">'[6]SPT vs PHI'!$B$2:$C$65</definedName>
    <definedName name="_____UGF1" localSheetId="0">#REF!</definedName>
    <definedName name="_____UGF1">'[7]Column Blk 1'!$C$651</definedName>
    <definedName name="_____zz65536" localSheetId="0">#REF!</definedName>
    <definedName name="_____zz65536">'[1]B &amp; C class items '!#REF!</definedName>
    <definedName name="____A1" localSheetId="0">#REF!</definedName>
    <definedName name="____A1">'[3]Rate analysis'!$C$2</definedName>
    <definedName name="____aj1" localSheetId="0">#REF!</definedName>
    <definedName name="____aj1">#REF!</definedName>
    <definedName name="____b1" localSheetId="0">#REF!</definedName>
    <definedName name="____b1">#REF!</definedName>
    <definedName name="____B100000" localSheetId="0">#REF!</definedName>
    <definedName name="____B100000">#REF!</definedName>
    <definedName name="____bak151" localSheetId="0">#REF!</definedName>
    <definedName name="____bak151">'[5]BILL COV'!#REF!</definedName>
    <definedName name="____bol1" localSheetId="0">#REF!</definedName>
    <definedName name="____bol1">#REF!</definedName>
    <definedName name="____can430">40.73</definedName>
    <definedName name="____can435">43.3</definedName>
    <definedName name="____cbd148" localSheetId="0">#REF!</definedName>
    <definedName name="____cbd148">'[5]BILL COV'!#REF!</definedName>
    <definedName name="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 localSheetId="0">#REF!</definedName>
    <definedName name="____dfS2">#REF!</definedName>
    <definedName name="____DIA1" localSheetId="0">#REF!</definedName>
    <definedName name="____DIA1">#REF!</definedName>
    <definedName name="____dia10" localSheetId="0">#REF!</definedName>
    <definedName name="____dia10">'[7]Rft Footing Blk 1'!$L$26</definedName>
    <definedName name="____dia12" localSheetId="0">#REF!</definedName>
    <definedName name="____dia12">'[7]Rft Footing Blk 1'!$M$26</definedName>
    <definedName name="____dia16" localSheetId="0">#REF!</definedName>
    <definedName name="____dia16">'[7]Rft Footing Blk 1'!$N$26</definedName>
    <definedName name="____DIA2" localSheetId="0">#REF!</definedName>
    <definedName name="____DIA2">#REF!</definedName>
    <definedName name="____dia20" localSheetId="0">#REF!</definedName>
    <definedName name="____dia20">'[7]Rft Footing Blk 1'!$O$26</definedName>
    <definedName name="____dia25" localSheetId="0">#REF!</definedName>
    <definedName name="____dia25">'[7]Rft Footing Blk 1'!$P$26</definedName>
    <definedName name="____dia8" localSheetId="0">#REF!</definedName>
    <definedName name="____dia8">'[7]Rft Footing Blk 1'!$K$26</definedName>
    <definedName name="____fab1" localSheetId="0">#REF!</definedName>
    <definedName name="____fab1">'[7]intr stool brkup'!$A$8:$D$53</definedName>
    <definedName name="____FLG2" localSheetId="0">#REF!</definedName>
    <definedName name="____FLG2">'[7]Column Blk 1'!#REF!</definedName>
    <definedName name="____iv66666" localSheetId="0">#REF!</definedName>
    <definedName name="____iv66666">#REF!</definedName>
    <definedName name="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 localSheetId="0">#REF!</definedName>
    <definedName name="____MS010">#REF!</definedName>
    <definedName name="____PO1" localSheetId="0">#REF!</definedName>
    <definedName name="____PO1">#REF!</definedName>
    <definedName name="____PO2" localSheetId="0">#REF!</definedName>
    <definedName name="____PO2">#REF!</definedName>
    <definedName name="____sdb2" localSheetId="0">#REF!</definedName>
    <definedName name="____sdb2">#REF!</definedName>
    <definedName name="____TB2" localSheetId="0">#REF!</definedName>
    <definedName name="____TB2">'[6]SPT vs PHI'!$B$2:$C$65</definedName>
    <definedName name="____UGF1" localSheetId="0">#REF!</definedName>
    <definedName name="____UGF1">'[7]Column Blk 1'!$C$651</definedName>
    <definedName name="____zz65536" localSheetId="0">#REF!</definedName>
    <definedName name="____zz65536">'[1]B &amp; C class items '!#REF!</definedName>
    <definedName name="___A1" localSheetId="0">#REF!</definedName>
    <definedName name="___A1">'[3]Rate analysis'!$C$2</definedName>
    <definedName name="___aj1" localSheetId="0">#REF!</definedName>
    <definedName name="___aj1">#REF!</definedName>
    <definedName name="___b1" localSheetId="0">#REF!</definedName>
    <definedName name="___b1">#REF!</definedName>
    <definedName name="___B100000" localSheetId="0">#REF!</definedName>
    <definedName name="___B100000">#REF!</definedName>
    <definedName name="___b111121" localSheetId="0">#REF!</definedName>
    <definedName name="___b111121">#REF!</definedName>
    <definedName name="___bak151" localSheetId="0">#REF!</definedName>
    <definedName name="___bak151">'[5]BILL COV'!#REF!</definedName>
    <definedName name="___bol1" localSheetId="0">#REF!</definedName>
    <definedName name="___bol1">#REF!</definedName>
    <definedName name="___can430">40.73</definedName>
    <definedName name="___can435">43.3</definedName>
    <definedName name="___cbd148" localSheetId="0">#REF!</definedName>
    <definedName name="___cbd148">'[5]BILL COV'!#REF!</definedName>
    <definedName name="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 localSheetId="0">#REF!</definedName>
    <definedName name="___dfS2">#REF!</definedName>
    <definedName name="___DIA1" localSheetId="0">#REF!</definedName>
    <definedName name="___DIA1">#REF!</definedName>
    <definedName name="___dia10" localSheetId="0">#REF!</definedName>
    <definedName name="___dia10">'[7]Rft Footing Blk 1'!$L$26</definedName>
    <definedName name="___dia12" localSheetId="0">#REF!</definedName>
    <definedName name="___dia12">'[7]Rft Footing Blk 1'!$M$26</definedName>
    <definedName name="___dia16" localSheetId="0">#REF!</definedName>
    <definedName name="___dia16">'[7]Rft Footing Blk 1'!$N$26</definedName>
    <definedName name="___DIA2" localSheetId="0">#REF!</definedName>
    <definedName name="___DIA2">#REF!</definedName>
    <definedName name="___dia20" localSheetId="0">#REF!</definedName>
    <definedName name="___dia20">'[7]Rft Footing Blk 1'!$O$26</definedName>
    <definedName name="___dia25" localSheetId="0">#REF!</definedName>
    <definedName name="___dia25">'[7]Rft Footing Blk 1'!$P$26</definedName>
    <definedName name="___dia8" localSheetId="0">#REF!</definedName>
    <definedName name="___dia8">'[7]Rft Footing Blk 1'!$K$26</definedName>
    <definedName name="___fab1" localSheetId="0">#REF!</definedName>
    <definedName name="___fab1">'[7]intr stool brkup'!$A$8:$D$53</definedName>
    <definedName name="___FLG2" localSheetId="0">#REF!</definedName>
    <definedName name="___FLG2">'[7]Column Blk 1'!#REF!</definedName>
    <definedName name="___iv66666" localSheetId="0">#REF!</definedName>
    <definedName name="___iv66666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 localSheetId="0">#REF!</definedName>
    <definedName name="___MAN1">#REF!</definedName>
    <definedName name="___MS010" localSheetId="0">#REF!</definedName>
    <definedName name="___MS010">#REF!</definedName>
    <definedName name="___PB1" localSheetId="0">#REF!</definedName>
    <definedName name="___PB1">#REF!</definedName>
    <definedName name="___PO1" localSheetId="0">#REF!</definedName>
    <definedName name="___PO1">#REF!</definedName>
    <definedName name="___PO2" localSheetId="0">#REF!</definedName>
    <definedName name="___PO2">#REF!</definedName>
    <definedName name="___sdb2" localSheetId="0">#REF!</definedName>
    <definedName name="___sdb2">#REF!</definedName>
    <definedName name="___TB2" localSheetId="0">#REF!</definedName>
    <definedName name="___TB2">'[6]SPT vs PHI'!$B$2:$C$65</definedName>
    <definedName name="___UGF1" localSheetId="0">#REF!</definedName>
    <definedName name="___UGF1">'[7]Column Blk 1'!$C$651</definedName>
    <definedName name="___zz65536" localSheetId="0">#REF!</definedName>
    <definedName name="___zz65536">'[1]B &amp; C class items '!#REF!</definedName>
    <definedName name="__A1" localSheetId="0">#REF!</definedName>
    <definedName name="__A1">'[3]Rate analysis'!$C$2</definedName>
    <definedName name="__aj1" localSheetId="0">#REF!</definedName>
    <definedName name="__aj1">#REF!</definedName>
    <definedName name="__b1" localSheetId="0">#REF!</definedName>
    <definedName name="__b1">#REF!</definedName>
    <definedName name="__B100000" localSheetId="0">#REF!</definedName>
    <definedName name="__B100000">#REF!</definedName>
    <definedName name="__b111121" localSheetId="0">#REF!</definedName>
    <definedName name="__b111121">#REF!</definedName>
    <definedName name="__bak151" localSheetId="0">#REF!</definedName>
    <definedName name="__bak151">'[5]BILL COV'!#REF!</definedName>
    <definedName name="__bol1" localSheetId="0">#REF!</definedName>
    <definedName name="__bol1">#REF!</definedName>
    <definedName name="__can430">40.73</definedName>
    <definedName name="__can435">43.3</definedName>
    <definedName name="__cbd148" localSheetId="0">#REF!</definedName>
    <definedName name="__cbd148">'[5]BILL COV'!#REF!</definedName>
    <definedName name="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 localSheetId="0">#REF!</definedName>
    <definedName name="__dfS2">'[2]Estimate for approval'!$BQ$1:$BQ$65536</definedName>
    <definedName name="__DIA1" localSheetId="0">#REF!</definedName>
    <definedName name="__DIA1">#REF!</definedName>
    <definedName name="__dia10" localSheetId="0">#REF!</definedName>
    <definedName name="__dia10">'[7]Rft Footing Blk 1'!$L$26</definedName>
    <definedName name="__dia12" localSheetId="0">#REF!</definedName>
    <definedName name="__dia12">'[7]Rft Footing Blk 1'!$M$26</definedName>
    <definedName name="__dia16" localSheetId="0">#REF!</definedName>
    <definedName name="__dia16">'[7]Rft Footing Blk 1'!$N$26</definedName>
    <definedName name="__DIA2" localSheetId="0">#REF!</definedName>
    <definedName name="__DIA2">#REF!</definedName>
    <definedName name="__dia20" localSheetId="0">#REF!</definedName>
    <definedName name="__dia20">'[7]Rft Footing Blk 1'!$O$26</definedName>
    <definedName name="__dia25" localSheetId="0">#REF!</definedName>
    <definedName name="__dia25">'[7]Rft Footing Blk 1'!$P$26</definedName>
    <definedName name="__dia8" localSheetId="0">#REF!</definedName>
    <definedName name="__dia8">'[7]Rft Footing Blk 1'!$K$26</definedName>
    <definedName name="__fab1" localSheetId="0">#REF!</definedName>
    <definedName name="__fab1">'[7]intr stool brkup'!$A$8:$D$53</definedName>
    <definedName name="__FLG2" localSheetId="0">#REF!</definedName>
    <definedName name="__FLG2">'[7]Column Blk 1'!#REF!</definedName>
    <definedName name="__iv66666" localSheetId="0">#REF!</definedName>
    <definedName name="__iv66666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 localSheetId="0">#REF!</definedName>
    <definedName name="__MAN1">#REF!</definedName>
    <definedName name="__MS010" localSheetId="0">#REF!</definedName>
    <definedName name="__MS010">#REF!</definedName>
    <definedName name="__PB1" localSheetId="0">#REF!</definedName>
    <definedName name="__PB1">#REF!</definedName>
    <definedName name="__PO1" localSheetId="0">#REF!</definedName>
    <definedName name="__PO1">#REF!</definedName>
    <definedName name="__PO2" localSheetId="0">#REF!</definedName>
    <definedName name="__PO2">#REF!</definedName>
    <definedName name="__sdb2" localSheetId="0">#REF!</definedName>
    <definedName name="__sdb2">#REF!</definedName>
    <definedName name="__TB2" localSheetId="0">#REF!</definedName>
    <definedName name="__TB2">'[6]SPT vs PHI'!$B$2:$C$65</definedName>
    <definedName name="__UGF1" localSheetId="0">#REF!</definedName>
    <definedName name="__UGF1">'[7]Column Blk 1'!$C$651</definedName>
    <definedName name="__xlnm.Print_Area_2" localSheetId="0">#REF!</definedName>
    <definedName name="__xlnm.Print_Area_2">#REF!</definedName>
    <definedName name="__xlnm.Print_Titles_2" localSheetId="0">#REF!</definedName>
    <definedName name="__xlnm.Print_Titles_2">#REF!</definedName>
    <definedName name="__zz65536" localSheetId="0">#REF!</definedName>
    <definedName name="__zz65536">'[1]B &amp; C class items '!#REF!</definedName>
    <definedName name="_0" localSheetId="0">#REF!</definedName>
    <definedName name="_0">#REF!</definedName>
    <definedName name="_0___0" localSheetId="0">#REF!</definedName>
    <definedName name="_0___0">#REF!</definedName>
    <definedName name="_0_1" localSheetId="0">#REF!</definedName>
    <definedName name="_0_1">#REF!</definedName>
    <definedName name="_06_26_03" localSheetId="0">#REF!</definedName>
    <definedName name="_06_26_03">'[8]MASTER_RATE ANALYSIS'!$B$188:$G$188</definedName>
    <definedName name="_1" localSheetId="0">#REF!</definedName>
    <definedName name="_1">'[8]MASTER_RATE ANALYSIS'!$A$2477:$I$2907</definedName>
    <definedName name="_1_a_1" localSheetId="0">#REF!</definedName>
    <definedName name="_1_a_1">#REF!</definedName>
    <definedName name="_10" localSheetId="0">#REF!</definedName>
    <definedName name="_10">'[8]MASTER_RATE ANALYSIS'!$A$592:$H$619</definedName>
    <definedName name="_100SalesMgr_4_1" localSheetId="0">#REF!</definedName>
    <definedName name="_100SalesMgr_4_1">#REF!</definedName>
    <definedName name="_101saud_4_1" localSheetId="0">#REF!</definedName>
    <definedName name="_101saud_4_1">#REF!</definedName>
    <definedName name="_102sauf_4_1" localSheetId="0">#REF!</definedName>
    <definedName name="_102sauf_4_1">#REF!</definedName>
    <definedName name="_103sauif_4_1" localSheetId="0">#REF!</definedName>
    <definedName name="_103sauif_4_1">#REF!</definedName>
    <definedName name="_104SelectedLanguage_4_1" localSheetId="0">#REF!</definedName>
    <definedName name="_104SelectedLanguage_4_1">#REF!</definedName>
    <definedName name="_105SiteID_4_1" localSheetId="0">#REF!</definedName>
    <definedName name="_105SiteID_4_1">#REF!</definedName>
    <definedName name="_106SiteType_4_1" localSheetId="0">#REF!</definedName>
    <definedName name="_106SiteType_4_1">#REF!</definedName>
    <definedName name="_107SmallProj_4_1" localSheetId="0">#REF!</definedName>
    <definedName name="_107SmallProj_4_1">#REF!</definedName>
    <definedName name="_108SmallProj_Text_4_1" localSheetId="0">#REF!</definedName>
    <definedName name="_108SmallProj_Text_4_1">#REF!</definedName>
    <definedName name="_109SP1Branch_4_1" localSheetId="0">#REF!</definedName>
    <definedName name="_109SP1Branch_4_1">#REF!</definedName>
    <definedName name="_10BidClass_4_1" localSheetId="0">#REF!</definedName>
    <definedName name="_10BidClass_4_1">#REF!</definedName>
    <definedName name="_11" localSheetId="0">#REF!</definedName>
    <definedName name="_11">'[8]MASTER_RATE ANALYSIS'!$A$678:$H$700</definedName>
    <definedName name="_110SP1Credit_4_1" localSheetId="0">#REF!</definedName>
    <definedName name="_110SP1Credit_4_1">#REF!</definedName>
    <definedName name="_111SP1Name_4_1" localSheetId="0">#REF!</definedName>
    <definedName name="_111SP1Name_4_1">#REF!</definedName>
    <definedName name="_112SP1Number_4_1" localSheetId="0">#REF!</definedName>
    <definedName name="_112SP1Number_4_1">#REF!</definedName>
    <definedName name="_113SP2Branch_4_1" localSheetId="0">#REF!</definedName>
    <definedName name="_113SP2Branch_4_1">#REF!</definedName>
    <definedName name="_114SP2Credit_4_1" localSheetId="0">#REF!</definedName>
    <definedName name="_114SP2Credit_4_1">#REF!</definedName>
    <definedName name="_115SP2Name_4_1" localSheetId="0">#REF!</definedName>
    <definedName name="_115SP2Name_4_1">#REF!</definedName>
    <definedName name="_116SP2Number_4_1" localSheetId="0">#REF!</definedName>
    <definedName name="_116SP2Number_4_1">#REF!</definedName>
    <definedName name="_117SP3Branch_4_1" localSheetId="0">#REF!</definedName>
    <definedName name="_117SP3Branch_4_1">#REF!</definedName>
    <definedName name="_118SP3Credit_4_1" localSheetId="0">#REF!</definedName>
    <definedName name="_118SP3Credit_4_1">#REF!</definedName>
    <definedName name="_119SP3Name_4_1" localSheetId="0">#REF!</definedName>
    <definedName name="_119SP3Name_4_1">#REF!</definedName>
    <definedName name="_11BidClass_Text_4_1" localSheetId="0">#REF!</definedName>
    <definedName name="_11BidClass_Text_4_1">#REF!</definedName>
    <definedName name="_12" localSheetId="0">#REF!</definedName>
    <definedName name="_12">'[8]MASTER_RATE ANALYSIS'!$A$702:$H$724</definedName>
    <definedName name="_120SP3Number_4_1" localSheetId="0">#REF!</definedName>
    <definedName name="_120SP3Number_4_1">#REF!</definedName>
    <definedName name="_121SP4Branch_4_1" localSheetId="0">#REF!</definedName>
    <definedName name="_121SP4Branch_4_1">#REF!</definedName>
    <definedName name="_122SP4Credit_4_1" localSheetId="0">#REF!</definedName>
    <definedName name="_122SP4Credit_4_1">#REF!</definedName>
    <definedName name="_123SP4Name_4_1" localSheetId="0">#REF!</definedName>
    <definedName name="_123SP4Name_4_1">#REF!</definedName>
    <definedName name="_124SP4Number_4_1" localSheetId="0">#REF!</definedName>
    <definedName name="_124SP4Number_4_1">#REF!</definedName>
    <definedName name="_125SP5Branch_4_1" localSheetId="0">#REF!</definedName>
    <definedName name="_125SP5Branch_4_1">#REF!</definedName>
    <definedName name="_126SP5Credit_4_1" localSheetId="0">#REF!</definedName>
    <definedName name="_126SP5Credit_4_1">#REF!</definedName>
    <definedName name="_127SP5Name_4_1" localSheetId="0">#REF!</definedName>
    <definedName name="_127SP5Name_4_1">#REF!</definedName>
    <definedName name="_128SP5Number_4_1" localSheetId="0">#REF!</definedName>
    <definedName name="_128SP5Number_4_1">#REF!</definedName>
    <definedName name="_129SpecClass_4_1" localSheetId="0">#REF!</definedName>
    <definedName name="_129SpecClass_4_1">#REF!</definedName>
    <definedName name="_12BillingFreq_4_1" localSheetId="0">#REF!</definedName>
    <definedName name="_12BillingFreq_4_1">#REF!</definedName>
    <definedName name="_13" localSheetId="0">#REF!</definedName>
    <definedName name="_13">'[8]MASTER_RATE ANALYSIS'!$A$726:$H$748</definedName>
    <definedName name="_130SpecClass_Text_4_1" localSheetId="0">#REF!</definedName>
    <definedName name="_130SpecClass_Text_4_1">#REF!</definedName>
    <definedName name="_131SpecEnv1_4_1" localSheetId="0">#REF!</definedName>
    <definedName name="_131SpecEnv1_4_1">#REF!</definedName>
    <definedName name="_132SpecEnv1_Text_4_1" localSheetId="0">#REF!</definedName>
    <definedName name="_132SpecEnv1_Text_4_1">#REF!</definedName>
    <definedName name="_133SpecEnv2_4_1" localSheetId="0">#REF!</definedName>
    <definedName name="_133SpecEnv2_4_1">#REF!</definedName>
    <definedName name="_134SpecEnv2_Text_4_1" localSheetId="0">#REF!</definedName>
    <definedName name="_134SpecEnv2_Text_4_1">#REF!</definedName>
    <definedName name="_135SPLR_4_1" localSheetId="0">#REF!</definedName>
    <definedName name="_135SPLR_4_1">#REF!</definedName>
    <definedName name="_136SrvcCode1_4_1" localSheetId="0">#REF!</definedName>
    <definedName name="_136SrvcCode1_4_1">#REF!</definedName>
    <definedName name="_137SrvcCode1_Text_4_1" localSheetId="0">#REF!</definedName>
    <definedName name="_137SrvcCode1_Text_4_1">#REF!</definedName>
    <definedName name="_138SrvcCode2_4_1" localSheetId="0">#REF!</definedName>
    <definedName name="_138SrvcCode2_4_1">#REF!</definedName>
    <definedName name="_139SrvcCode2_Text_4_1" localSheetId="0">#REF!</definedName>
    <definedName name="_139SrvcCode2_Text_4_1">#REF!</definedName>
    <definedName name="_13BillingTiming_4_1" localSheetId="0">#REF!</definedName>
    <definedName name="_13BillingTiming_4_1">#REF!</definedName>
    <definedName name="_14" localSheetId="0">#REF!</definedName>
    <definedName name="_14">'[8]MASTER_RATE ANALYSIS'!$A$773:$H$794</definedName>
    <definedName name="_140SrvcCode3_4_1" localSheetId="0">#REF!</definedName>
    <definedName name="_140SrvcCode3_4_1">#REF!</definedName>
    <definedName name="_141SrvcCode3_Text_4_1" localSheetId="0">#REF!</definedName>
    <definedName name="_141SrvcCode3_Text_4_1">#REF!</definedName>
    <definedName name="_142SrvcCode4_4_1" localSheetId="0">#REF!</definedName>
    <definedName name="_142SrvcCode4_4_1">#REF!</definedName>
    <definedName name="_143SrvcCode4_Text_4_1" localSheetId="0">#REF!</definedName>
    <definedName name="_143SrvcCode4_Text_4_1">#REF!</definedName>
    <definedName name="_144SrvcCode5_4_1" localSheetId="0">#REF!</definedName>
    <definedName name="_144SrvcCode5_4_1">#REF!</definedName>
    <definedName name="_145SrvcCode5_Text_4_1" localSheetId="0">#REF!</definedName>
    <definedName name="_145SrvcCode5_Text_4_1">#REF!</definedName>
    <definedName name="_146StartDate_4_1" localSheetId="0">#REF!</definedName>
    <definedName name="_146StartDate_4_1">#REF!</definedName>
    <definedName name="_147swf_4_1" localSheetId="0">#REF!</definedName>
    <definedName name="_147swf_4_1">#REF!</definedName>
    <definedName name="_148TierCode_4_1" localSheetId="0">#REF!</definedName>
    <definedName name="_148TierCode_4_1">#REF!</definedName>
    <definedName name="_149TierCode_Text_4_1" localSheetId="0">#REF!</definedName>
    <definedName name="_149TierCode_Text_4_1">#REF!</definedName>
    <definedName name="_14BusType_4_1" localSheetId="0">#REF!</definedName>
    <definedName name="_14BusType_4_1">#REF!</definedName>
    <definedName name="_15" localSheetId="0">#REF!</definedName>
    <definedName name="_15">'[8]MASTER_RATE ANALYSIS'!$A$796:$H$817</definedName>
    <definedName name="_150vatf_4_1" localSheetId="0">#REF!</definedName>
    <definedName name="_150vatf_4_1">#REF!</definedName>
    <definedName name="_15BusType_Text_4_1" localSheetId="0">#REF!</definedName>
    <definedName name="_15BusType_Text_4_1">#REF!</definedName>
    <definedName name="_16" localSheetId="0">#REF!</definedName>
    <definedName name="_16">'[8]MASTER_RATE ANALYSIS'!$A$845:$H$871</definedName>
    <definedName name="_16cab21.5tp_4_1" localSheetId="0">#REF!</definedName>
    <definedName name="_16cab21.5tp_4_1">#REF!</definedName>
    <definedName name="_17" localSheetId="0">#REF!</definedName>
    <definedName name="_17">'[8]MASTER_RATE ANALYSIS'!$A$874:$H$899</definedName>
    <definedName name="_17cab21s_4_1" localSheetId="0">#REF!</definedName>
    <definedName name="_17cab21s_4_1">#REF!</definedName>
    <definedName name="_18" localSheetId="0">#REF!</definedName>
    <definedName name="_18">'[8]MASTER_RATE ANALYSIS'!$A$901:$H$922</definedName>
    <definedName name="_18cab21us_4_1" localSheetId="0">#REF!</definedName>
    <definedName name="_18cab21us_4_1">#REF!</definedName>
    <definedName name="_19" localSheetId="0">#REF!</definedName>
    <definedName name="_19">'[8]MASTER_RATE ANALYSIS'!$A$924:$H$950</definedName>
    <definedName name="_19cab31s_4_1" localSheetId="0">#REF!</definedName>
    <definedName name="_19cab31s_4_1">#REF!</definedName>
    <definedName name="_1Excel_BuiltIn_Print_Titles_1_1" localSheetId="0">#REF!</definedName>
    <definedName name="_1Excel_BuiltIn_Print_Titles_1_1">#REF!</definedName>
    <definedName name="_2" localSheetId="0">#REF!</definedName>
    <definedName name="_2">'[8]MASTER_RATE ANALYSIS'!$A$380:$H$402</definedName>
    <definedName name="_2_a_4_1" localSheetId="0">#REF!</definedName>
    <definedName name="_2_a_4_1">#REF!</definedName>
    <definedName name="_20" localSheetId="0">#REF!</definedName>
    <definedName name="_20">'[8]MASTER_RATE ANALYSIS'!$A$952:$H$978</definedName>
    <definedName name="_20cab31us_4_1" localSheetId="0">#REF!</definedName>
    <definedName name="_20cab31us_4_1">#REF!</definedName>
    <definedName name="_21" localSheetId="0">#REF!</definedName>
    <definedName name="_21">'[8]MASTER_RATE ANALYSIS'!$A$980:$H$1009</definedName>
    <definedName name="_21cab41s_4_1" localSheetId="0">#REF!</definedName>
    <definedName name="_21cab41s_4_1">#REF!</definedName>
    <definedName name="_22" localSheetId="0">#REF!</definedName>
    <definedName name="_22">'[8]MASTER_RATE ANALYSIS'!$A$1033:$H$1053</definedName>
    <definedName name="_22cab41us_4_1" localSheetId="0">#REF!</definedName>
    <definedName name="_22cab41us_4_1">#REF!</definedName>
    <definedName name="_23" localSheetId="0">#REF!</definedName>
    <definedName name="_23">'[8]MASTER_RATE ANALYSIS'!$A$1055:$H$1081</definedName>
    <definedName name="_23cabf_4_1" localSheetId="0">#REF!</definedName>
    <definedName name="_23cabf_4_1">#REF!</definedName>
    <definedName name="_24" localSheetId="0">#REF!</definedName>
    <definedName name="_24">'[8]MASTER_RATE ANALYSIS'!$A$1110:$H$1132</definedName>
    <definedName name="_24CABLE_4_1" localSheetId="0">#REF!</definedName>
    <definedName name="_24CABLE_4_1">#REF!</definedName>
    <definedName name="_25" localSheetId="0">#REF!</definedName>
    <definedName name="_25">'[8]MASTER_RATE ANALYSIS'!$A$1134:$H$1153</definedName>
    <definedName name="_25CALf_4_1" localSheetId="0">#REF!</definedName>
    <definedName name="_25CALf_4_1">#REF!</definedName>
    <definedName name="_26" localSheetId="0">#REF!</definedName>
    <definedName name="_26">'[8]MASTER_RATE ANALYSIS'!$A$1155:$H$1176</definedName>
    <definedName name="_26ChangeBy_4_1" localSheetId="0">#REF!</definedName>
    <definedName name="_26ChangeBy_4_1">#REF!</definedName>
    <definedName name="_27" localSheetId="0">#REF!</definedName>
    <definedName name="_27">'[8]MASTER_RATE ANALYSIS'!$A$1178:$H$1205</definedName>
    <definedName name="_27ChangeDate_4_1" localSheetId="0">#REF!</definedName>
    <definedName name="_27ChangeDate_4_1">#REF!</definedName>
    <definedName name="_28" localSheetId="0">#REF!</definedName>
    <definedName name="_28">'[8]MASTER_RATE ANALYSIS'!$A$1207:$H$1229</definedName>
    <definedName name="_28CompDate_4_1" localSheetId="0">#REF!</definedName>
    <definedName name="_28CompDate_4_1">#REF!</definedName>
    <definedName name="_29" localSheetId="0">#REF!</definedName>
    <definedName name="_29">'[8]MASTER_RATE ANALYSIS'!$A$1641:$H$1666</definedName>
    <definedName name="_29conf_4_1" localSheetId="0">#REF!</definedName>
    <definedName name="_29conf_4_1">#REF!</definedName>
    <definedName name="_3" localSheetId="0">#REF!</definedName>
    <definedName name="_3">'[8]MASTER_RATE ANALYSIS'!$A$404:$H$424</definedName>
    <definedName name="_3_l_1" localSheetId="0">#REF!</definedName>
    <definedName name="_3_l_1">#REF!</definedName>
    <definedName name="_30" localSheetId="0">#REF!</definedName>
    <definedName name="_30">'[8]MASTER_RATE ANALYSIS'!$A$1668:$H$1692</definedName>
    <definedName name="_30cd___Horizontal_Strobe_light_speaker__wall_mounted" localSheetId="0">#REF!</definedName>
    <definedName name="_30cd___Horizontal_Strobe_light_speaker__wall_mounted">#REF!</definedName>
    <definedName name="_30cd__Vertical_strobe_light__wall_mounted" localSheetId="0">#REF!</definedName>
    <definedName name="_30cd__Vertical_strobe_light__wall_mounted">#REF!</definedName>
    <definedName name="_30ContAmt_4_1" localSheetId="0">#REF!</definedName>
    <definedName name="_30ContAmt_4_1">#REF!</definedName>
    <definedName name="_31" localSheetId="0">#REF!</definedName>
    <definedName name="_31">'[8]MASTER_RATE ANALYSIS'!$A$1282:$H$1304</definedName>
    <definedName name="_31ContWithAcct_4_1" localSheetId="0">#REF!</definedName>
    <definedName name="_31ContWithAcct_4_1">#REF!</definedName>
    <definedName name="_32" localSheetId="0">#REF!</definedName>
    <definedName name="_32">'[8]MASTER_RATE ANALYSIS'!$A$1359:$H$1380</definedName>
    <definedName name="_32ContWithName_4_1" localSheetId="0">#REF!</definedName>
    <definedName name="_32ContWithName_4_1">#REF!</definedName>
    <definedName name="_33" localSheetId="0">#REF!</definedName>
    <definedName name="_33">'[8]MASTER_RATE ANALYSIS'!$A$1383:$H$1405</definedName>
    <definedName name="_33ContWithPrio_4_1" localSheetId="0">#REF!</definedName>
    <definedName name="_33ContWithPrio_4_1">#REF!</definedName>
    <definedName name="_34" localSheetId="0">#REF!</definedName>
    <definedName name="_34">'[8]MASTER_RATE ANALYSIS'!$A$1407:$H$1429</definedName>
    <definedName name="_34ContWithPrio_Text_4_1" localSheetId="0">#REF!</definedName>
    <definedName name="_34ContWithPrio_Text_4_1">#REF!</definedName>
    <definedName name="_35" localSheetId="0">#REF!</definedName>
    <definedName name="_35">'[8]MASTER_RATE ANALYSIS'!$A$1563:$H$1588</definedName>
    <definedName name="_35CONum_4_1" localSheetId="0">#REF!</definedName>
    <definedName name="_35CONum_4_1">#REF!</definedName>
    <definedName name="_36" localSheetId="0">#REF!</definedName>
    <definedName name="_36">'[8]MASTER_RATE ANALYSIS'!$A$1590:$H$1611</definedName>
    <definedName name="_36CorpClient_4_1" localSheetId="0">#REF!</definedName>
    <definedName name="_36CorpClient_4_1">#REF!</definedName>
    <definedName name="_37" localSheetId="0">#REF!</definedName>
    <definedName name="_37">'[8]MASTER_RATE ANALYSIS'!$A$1613:$H$1639</definedName>
    <definedName name="_37CorpClient_Text_4_1" localSheetId="0">#REF!</definedName>
    <definedName name="_37CorpClient_Text_4_1">#REF!</definedName>
    <definedName name="_38" localSheetId="0">#REF!</definedName>
    <definedName name="_38">'[8]MASTER_RATE ANALYSIS'!$A$1694:$H$1716</definedName>
    <definedName name="_38CURR_4_1" localSheetId="0">#REF!</definedName>
    <definedName name="_38CURR_4_1">#REF!</definedName>
    <definedName name="_39" localSheetId="0">#REF!</definedName>
    <definedName name="_39">'[8]MASTER_RATE ANALYSIS'!$A$1769:$H$1792</definedName>
    <definedName name="_39CurrencyRate_4_1" localSheetId="0">#REF!</definedName>
    <definedName name="_39CurrencyRate_4_1">#REF!</definedName>
    <definedName name="_4" localSheetId="0">#REF!</definedName>
    <definedName name="_4">'[8]MASTER_RATE ANALYSIS'!$A$426:$H$448</definedName>
    <definedName name="_4_l_4_1" localSheetId="0">#REF!</definedName>
    <definedName name="_4_l_4_1">#REF!</definedName>
    <definedName name="_40" localSheetId="0">#REF!</definedName>
    <definedName name="_40">'[8]MASTER_RATE ANALYSIS'!$A$1794:$H$1816</definedName>
    <definedName name="_40dim4_4_1" localSheetId="0">#REF!</definedName>
    <definedName name="_40dim4_4_1">#REF!</definedName>
    <definedName name="_41" localSheetId="0">#REF!</definedName>
    <definedName name="_41">'[8]MASTER_RATE ANALYSIS'!$A$1431:$H$1456</definedName>
    <definedName name="_41EngAddress_4_1" localSheetId="0">#REF!</definedName>
    <definedName name="_41EngAddress_4_1">#REF!</definedName>
    <definedName name="_42" localSheetId="0">#REF!</definedName>
    <definedName name="_42">'[8]MASTER_RATE ANALYSIS'!$A$1458:$H$1482</definedName>
    <definedName name="_42EngCity_4_1" localSheetId="0">#REF!</definedName>
    <definedName name="_42EngCity_4_1">#REF!</definedName>
    <definedName name="_43" localSheetId="0">#REF!</definedName>
    <definedName name="_43">'[8]MASTER_RATE ANALYSIS'!$A$1818:$H$1840</definedName>
    <definedName name="_43EngName_4_1" localSheetId="0">#REF!</definedName>
    <definedName name="_43EngName_4_1">#REF!</definedName>
    <definedName name="_44" localSheetId="0">#REF!</definedName>
    <definedName name="_44">'[8]MASTER_RATE ANALYSIS'!$A$1537:$H$1561</definedName>
    <definedName name="_44EngPostal_4_1" localSheetId="0">#REF!</definedName>
    <definedName name="_44EngPostal_4_1">#REF!</definedName>
    <definedName name="_45" localSheetId="0">#REF!</definedName>
    <definedName name="_45">'[8]MASTER_RATE ANALYSIS'!$A$1842:$H$1864</definedName>
    <definedName name="_45EngPrio_4_1" localSheetId="0">#REF!</definedName>
    <definedName name="_45EngPrio_4_1">#REF!</definedName>
    <definedName name="_46" localSheetId="0">#REF!</definedName>
    <definedName name="_46">'[8]MASTER_RATE ANALYSIS'!$A$1866:$H$1889</definedName>
    <definedName name="_46EngPrio_Text_4_1" localSheetId="0">#REF!</definedName>
    <definedName name="_46EngPrio_Text_4_1">#REF!</definedName>
    <definedName name="_47" localSheetId="0">#REF!</definedName>
    <definedName name="_47">'[8]MASTER_RATE ANALYSIS'!$A$1913:$H$1938</definedName>
    <definedName name="_47EngState_4_1" localSheetId="0">#REF!</definedName>
    <definedName name="_47EngState_4_1">#REF!</definedName>
    <definedName name="_48" localSheetId="0">#REF!</definedName>
    <definedName name="_48">'[8]MASTER_RATE ANALYSIS'!$A$1940:$H$1962</definedName>
    <definedName name="_48EstCost_4_1" localSheetId="0">#REF!</definedName>
    <definedName name="_48EstCost_4_1">#REF!</definedName>
    <definedName name="_49" localSheetId="0">#REF!</definedName>
    <definedName name="_49">'[8]MASTER_RATE ANALYSIS'!$A$1964:$H$1986</definedName>
    <definedName name="_49eu_4_1" localSheetId="0">#REF!</definedName>
    <definedName name="_49eu_4_1">#REF!</definedName>
    <definedName name="_5" localSheetId="0">#REF!</definedName>
    <definedName name="_5">'[8]MASTER_RATE ANALYSIS'!$A$474:$H$495</definedName>
    <definedName name="_5_p_1" localSheetId="0">#REF!</definedName>
    <definedName name="_5_p_1">#REF!</definedName>
    <definedName name="_50" localSheetId="0">#REF!</definedName>
    <definedName name="_50">'[8]MASTER_RATE ANALYSIS'!$A$1988:$H$2010</definedName>
    <definedName name="_50Excel_BuiltIn_Print_Area_1" localSheetId="0">#REF!</definedName>
    <definedName name="_50Excel_BuiltIn_Print_Area_1">#REF!</definedName>
    <definedName name="_51" localSheetId="0">#REF!</definedName>
    <definedName name="_51">'[8]MASTER_RATE ANALYSIS'!$A$2012:$H$2037</definedName>
    <definedName name="_51Excel_BuiltIn_Print_Titles_3_4_1" localSheetId="0">#REF!</definedName>
    <definedName name="_51Excel_BuiltIn_Print_Titles_3_4_1">'[9]INDIGINEOUS ITEMS '!#REF!</definedName>
    <definedName name="_52" localSheetId="0">#REF!</definedName>
    <definedName name="_52">'[8]MASTER_RATE ANALYSIS'!$A$2039:$H$2060</definedName>
    <definedName name="_52FiscalIDNum_4_1" localSheetId="0">#REF!</definedName>
    <definedName name="_52FiscalIDNum_4_1">#REF!</definedName>
    <definedName name="_53" localSheetId="0">#REF!</definedName>
    <definedName name="_53">'[8]MASTER_RATE ANALYSIS'!$A$2062:$H$2086</definedName>
    <definedName name="_53FormTitle_4_1" localSheetId="0">#REF!</definedName>
    <definedName name="_53FormTitle_4_1">#REF!</definedName>
    <definedName name="_54" localSheetId="0">#REF!</definedName>
    <definedName name="_54">'[8]MASTER_RATE ANALYSIS'!$A$2089:$H$2112</definedName>
    <definedName name="_54GMAmount_4_1" localSheetId="0">#REF!</definedName>
    <definedName name="_54GMAmount_4_1">#REF!</definedName>
    <definedName name="_55" localSheetId="0">#REF!</definedName>
    <definedName name="_55">'[8]MASTER_RATE ANALYSIS'!$A$2115:$H$2138</definedName>
    <definedName name="_55GMPercent_4_1" localSheetId="0">#REF!</definedName>
    <definedName name="_55GMPercent_4_1">#REF!</definedName>
    <definedName name="_56" localSheetId="0">#REF!</definedName>
    <definedName name="_56">'[8]MASTER_RATE ANALYSIS'!$A$2140:$H$2163</definedName>
    <definedName name="_56Headings_4_1" localSheetId="0">#REF!</definedName>
    <definedName name="_56Headings_4_1">[10]Headings!$A$2:$K$123</definedName>
    <definedName name="_57" localSheetId="0">#REF!</definedName>
    <definedName name="_57">'[8]MASTER_RATE ANALYSIS'!$A$2165:$H$2187</definedName>
    <definedName name="_57indf_4_1" localSheetId="0">#REF!</definedName>
    <definedName name="_57indf_4_1">#REF!</definedName>
    <definedName name="_58" localSheetId="0">#REF!</definedName>
    <definedName name="_58">'[8]MASTER_RATE ANALYSIS'!$A$2190:$H$2214</definedName>
    <definedName name="_58InstBillingMethod_4_1" localSheetId="0">#REF!</definedName>
    <definedName name="_58InstBillingMethod_4_1">#REF!</definedName>
    <definedName name="_59" localSheetId="0">#REF!</definedName>
    <definedName name="_59">'[8]MASTER_RATE ANALYSIS'!$A$2216:$H$2242</definedName>
    <definedName name="_59instf_4_1" localSheetId="0">#REF!</definedName>
    <definedName name="_59instf_4_1">#REF!</definedName>
    <definedName name="_6" localSheetId="0">#REF!</definedName>
    <definedName name="_6">'[8]MASTER_RATE ANALYSIS'!$A$497:$H$518</definedName>
    <definedName name="_6_p_4_1" localSheetId="0">#REF!</definedName>
    <definedName name="_6_p_4_1">#REF!</definedName>
    <definedName name="_60" localSheetId="0">#REF!</definedName>
    <definedName name="_60">'[8]MASTER_RATE ANALYSIS'!$A$2244:$H$2272</definedName>
    <definedName name="_60MarketType_4_1" localSheetId="0">#REF!</definedName>
    <definedName name="_60MarketType_4_1">#REF!</definedName>
    <definedName name="_61" localSheetId="0">#REF!</definedName>
    <definedName name="_61">'[8]MASTER_RATE ANALYSIS'!$A$2303:$H$2331</definedName>
    <definedName name="_61MarketType_Text_4_1" localSheetId="0">#REF!</definedName>
    <definedName name="_61MarketType_Text_4_1">#REF!</definedName>
    <definedName name="_62" localSheetId="0">#REF!</definedName>
    <definedName name="_62">'[8]MASTER_RATE ANALYSIS'!$A$2333:$H$2361</definedName>
    <definedName name="_62nonmodular_4_1" localSheetId="0">#REF!</definedName>
    <definedName name="_62nonmodular_4_1">#REF!</definedName>
    <definedName name="_63" localSheetId="0">#REF!</definedName>
    <definedName name="_63">'[8]MASTER_RATE ANALYSIS'!$A$2363:$H$2391</definedName>
    <definedName name="_63OwnAcctNum_4_1" localSheetId="0">#REF!</definedName>
    <definedName name="_63OwnAcctNum_4_1">#REF!</definedName>
    <definedName name="_64" localSheetId="0">#REF!</definedName>
    <definedName name="_64">'[8]MASTER_RATE ANALYSIS'!$A$2393:$H$2418</definedName>
    <definedName name="_64po_4_1" localSheetId="0">#REF!</definedName>
    <definedName name="_64po_4_1">#REF!</definedName>
    <definedName name="_65" localSheetId="0">#REF!</definedName>
    <definedName name="_65">'[8]MASTER_RATE ANALYSIS'!$A$2420:$H$2447</definedName>
    <definedName name="_65PrimeAddress_4_1" localSheetId="0">#REF!</definedName>
    <definedName name="_65PrimeAddress_4_1">#REF!</definedName>
    <definedName name="_66" localSheetId="0">#REF!</definedName>
    <definedName name="_66">'[8]MASTER_RATE ANALYSIS'!$A$2449:$H$2476</definedName>
    <definedName name="_66PrimeCity_4_1" localSheetId="0">#REF!</definedName>
    <definedName name="_66PrimeCity_4_1">#REF!</definedName>
    <definedName name="_67" localSheetId="0">#REF!</definedName>
    <definedName name="_67">'[8]MASTER_RATE ANALYSIS'!$A$2504:$H$2551</definedName>
    <definedName name="_67PrimeName_4_1" localSheetId="0">#REF!</definedName>
    <definedName name="_67PrimeName_4_1">#REF!</definedName>
    <definedName name="_68" localSheetId="0">#REF!</definedName>
    <definedName name="_68">'[8]MASTER_RATE ANALYSIS'!$A$2553:$H$2601</definedName>
    <definedName name="_68PrimePostal_4_1" localSheetId="0">#REF!</definedName>
    <definedName name="_68PrimePostal_4_1">#REF!</definedName>
    <definedName name="_69" localSheetId="0">#REF!</definedName>
    <definedName name="_69">'[8]MASTER_RATE ANALYSIS'!$A$2603:$H$2648</definedName>
    <definedName name="_69PrimePrio_4_1" localSheetId="0">#REF!</definedName>
    <definedName name="_69PrimePrio_4_1">#REF!</definedName>
    <definedName name="_7" localSheetId="0">#REF!</definedName>
    <definedName name="_7">'[8]MASTER_RATE ANALYSIS'!$A$520:$H$541</definedName>
    <definedName name="_70" localSheetId="0">#REF!</definedName>
    <definedName name="_70">'[8]MASTER_RATE ANALYSIS'!$A$2650:$H$2697</definedName>
    <definedName name="_70PrimePrio_Text_4_1" localSheetId="0">#REF!</definedName>
    <definedName name="_70PrimePrio_Text_4_1">#REF!</definedName>
    <definedName name="_71" localSheetId="0">#REF!</definedName>
    <definedName name="_71">'[8]MASTER_RATE ANALYSIS'!$A$2699:$H$2748</definedName>
    <definedName name="_71PrimeState_4_1" localSheetId="0">#REF!</definedName>
    <definedName name="_71PrimeState_4_1">#REF!</definedName>
    <definedName name="_72" localSheetId="0">#REF!</definedName>
    <definedName name="_72">'[8]MASTER_RATE ANALYSIS'!$A$2750:$H$2795</definedName>
    <definedName name="_72PRINT_AREA_MI_4_1" localSheetId="0">#REF!</definedName>
    <definedName name="_72PRINT_AREA_MI_4_1">#REF!</definedName>
    <definedName name="_73" localSheetId="0">#REF!</definedName>
    <definedName name="_73">'[8]MASTER_RATE ANALYSIS'!$A$2478:$H$2502</definedName>
    <definedName name="_73PROD_4_1" localSheetId="0">#REF!</definedName>
    <definedName name="_73PROD_4_1">#REF!</definedName>
    <definedName name="_74" localSheetId="0">#REF!</definedName>
    <definedName name="_74">'[8]MASTER_RATE ANALYSIS'!$A$2797:$H$2822</definedName>
    <definedName name="_74ProdCode1_4_1" localSheetId="0">#REF!</definedName>
    <definedName name="_74ProdCode1_4_1">#REF!</definedName>
    <definedName name="_75" localSheetId="0">#REF!</definedName>
    <definedName name="_75">'[8]MASTER_RATE ANALYSIS'!$A$2879:$H$2909</definedName>
    <definedName name="_75ProdCode1_Text_4_1" localSheetId="0">#REF!</definedName>
    <definedName name="_75ProdCode1_Text_4_1">#REF!</definedName>
    <definedName name="_76ProdCode2_4_1" localSheetId="0">#REF!</definedName>
    <definedName name="_76ProdCode2_4_1">#REF!</definedName>
    <definedName name="_77ProdCode2_Text_4_1" localSheetId="0">#REF!</definedName>
    <definedName name="_77ProdCode2_Text_4_1">#REF!</definedName>
    <definedName name="_78ProdCode3_4_1" localSheetId="0">#REF!</definedName>
    <definedName name="_78ProdCode3_4_1">#REF!</definedName>
    <definedName name="_79ProdCode3_Text_4_1" localSheetId="0">#REF!</definedName>
    <definedName name="_79ProdCode3_Text_4_1">#REF!</definedName>
    <definedName name="_7AcctName_4_1" localSheetId="0">#REF!</definedName>
    <definedName name="_7AcctName_4_1">#REF!</definedName>
    <definedName name="_8" localSheetId="0">#REF!</definedName>
    <definedName name="_8">'[8]MASTER_RATE ANALYSIS'!$A$544:$H$566</definedName>
    <definedName name="_80ProdCode4_4_1" localSheetId="0">#REF!</definedName>
    <definedName name="_80ProdCode4_4_1">#REF!</definedName>
    <definedName name="_81ProdCode4_Text_4_1" localSheetId="0">#REF!</definedName>
    <definedName name="_81ProdCode4_Text_4_1">#REF!</definedName>
    <definedName name="_82ProdCode5_4_1" localSheetId="0">#REF!</definedName>
    <definedName name="_82ProdCode5_4_1">#REF!</definedName>
    <definedName name="_83ProdCode5_Text_4_1" localSheetId="0">#REF!</definedName>
    <definedName name="_83ProdCode5_Text_4_1">#REF!</definedName>
    <definedName name="_84ProdPct1_4_1" localSheetId="0">#REF!</definedName>
    <definedName name="_84ProdPct1_4_1">#REF!</definedName>
    <definedName name="_85ProdPct2_4_1" localSheetId="0">#REF!</definedName>
    <definedName name="_85ProdPct2_4_1">#REF!</definedName>
    <definedName name="_86ProdPct3_4_1" localSheetId="0">#REF!</definedName>
    <definedName name="_86ProdPct3_4_1">#REF!</definedName>
    <definedName name="_87ProdPct4_4_1" localSheetId="0">#REF!</definedName>
    <definedName name="_87ProdPct4_4_1">#REF!</definedName>
    <definedName name="_88ProdPct5_4_1" localSheetId="0">#REF!</definedName>
    <definedName name="_88ProdPct5_4_1">#REF!</definedName>
    <definedName name="_89ProjAddress1_4_1" localSheetId="0">#REF!</definedName>
    <definedName name="_89ProjAddress1_4_1">#REF!</definedName>
    <definedName name="_8AcctPrio_4_1" localSheetId="0">#REF!</definedName>
    <definedName name="_8AcctPrio_4_1">#REF!</definedName>
    <definedName name="_9" localSheetId="0">#REF!</definedName>
    <definedName name="_9">'[8]MASTER_RATE ANALYSIS'!$A$568:$H$590</definedName>
    <definedName name="_90ProjAddress2_4_1" localSheetId="0">#REF!</definedName>
    <definedName name="_90ProjAddress2_4_1">#REF!</definedName>
    <definedName name="_91ProjCity_4_1" localSheetId="0">#REF!</definedName>
    <definedName name="_91ProjCity_4_1">#REF!</definedName>
    <definedName name="_92ProjCountry_4_1" localSheetId="0">#REF!</definedName>
    <definedName name="_92ProjCountry_4_1">#REF!</definedName>
    <definedName name="_93ProjCounty_4_1" localSheetId="0">#REF!</definedName>
    <definedName name="_93ProjCounty_4_1">#REF!</definedName>
    <definedName name="_94ProjName_4_1" localSheetId="0">#REF!</definedName>
    <definedName name="_94ProjName_4_1">#REF!</definedName>
    <definedName name="_95ProjNum_4_1" localSheetId="0">#REF!</definedName>
    <definedName name="_95ProjNum_4_1">#REF!</definedName>
    <definedName name="_96ProjPostal_4_1" localSheetId="0">#REF!</definedName>
    <definedName name="_96ProjPostal_4_1">#REF!</definedName>
    <definedName name="_97ProjState_4_1" localSheetId="0">#REF!</definedName>
    <definedName name="_97ProjState_4_1">#REF!</definedName>
    <definedName name="_98PSABillingMethod_4_1" localSheetId="0">#REF!</definedName>
    <definedName name="_98PSABillingMethod_4_1">#REF!</definedName>
    <definedName name="_99rim4_4_1" localSheetId="0">#REF!</definedName>
    <definedName name="_99rim4_4_1">#REF!</definedName>
    <definedName name="_9AcctPrio_Text_4_1" localSheetId="0">#REF!</definedName>
    <definedName name="_9AcctPrio_Text_4_1">#REF!</definedName>
    <definedName name="_a" localSheetId="0">#REF!</definedName>
    <definedName name="_a">#REF!</definedName>
    <definedName name="_a_4" localSheetId="0">#REF!</definedName>
    <definedName name="_a_4">#REF!</definedName>
    <definedName name="_a_6" localSheetId="0">#REF!</definedName>
    <definedName name="_a_6">#REF!</definedName>
    <definedName name="_A1" localSheetId="0">#REF!</definedName>
    <definedName name="_A1">'[3]Rate analysis'!$C$2</definedName>
    <definedName name="_A31" localSheetId="0">#REF!</definedName>
    <definedName name="_A31">#REF!</definedName>
    <definedName name="_AA1" localSheetId="0">#REF!</definedName>
    <definedName name="_AA1">#REF!</definedName>
    <definedName name="_aj1" localSheetId="0">#REF!</definedName>
    <definedName name="_aj1">#REF!</definedName>
    <definedName name="_alt1" localSheetId="0">#REF!</definedName>
    <definedName name="_alt1">#REF!</definedName>
    <definedName name="_ALT2" localSheetId="0">#REF!</definedName>
    <definedName name="_ALT2">#REF!</definedName>
    <definedName name="_ALT3" localSheetId="0">#REF!</definedName>
    <definedName name="_ALT3">#REF!</definedName>
    <definedName name="_ALT4" localSheetId="0">#REF!</definedName>
    <definedName name="_ALT4">#REF!</definedName>
    <definedName name="_b1" localSheetId="0">#REF!</definedName>
    <definedName name="_b1">#REF!</definedName>
    <definedName name="_B100000" localSheetId="0">#REF!</definedName>
    <definedName name="_B100000">#REF!</definedName>
    <definedName name="_b111121" localSheetId="0">#REF!</definedName>
    <definedName name="_b111121">#REF!</definedName>
    <definedName name="_bak151" localSheetId="0">#REF!</definedName>
    <definedName name="_bak151">'[5]BILL COV'!#REF!</definedName>
    <definedName name="_bol1" localSheetId="0">#REF!</definedName>
    <definedName name="_bol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_1" localSheetId="0">#REF!</definedName>
    <definedName name="_C_1">#REF!</definedName>
    <definedName name="_can430">40.73</definedName>
    <definedName name="_can435">43.3</definedName>
    <definedName name="_cbd148" localSheetId="0">#REF!</definedName>
    <definedName name="_cbd148">'[5]BILL COV'!#REF!</definedName>
    <definedName name="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 localSheetId="0">#REF!</definedName>
    <definedName name="_dfS2">#REF!</definedName>
    <definedName name="_DIA1" localSheetId="0">#REF!</definedName>
    <definedName name="_DIA1">#REF!</definedName>
    <definedName name="_dia10" localSheetId="0">#REF!</definedName>
    <definedName name="_dia10">'[7]Rft Footing Blk 1'!$L$26</definedName>
    <definedName name="_dia12" localSheetId="0">#REF!</definedName>
    <definedName name="_dia12">'[7]Rft Footing Blk 1'!$M$26</definedName>
    <definedName name="_dia16" localSheetId="0">#REF!</definedName>
    <definedName name="_dia16">'[7]Rft Footing Blk 1'!$N$26</definedName>
    <definedName name="_DIA2" localSheetId="0">#REF!</definedName>
    <definedName name="_DIA2">#REF!</definedName>
    <definedName name="_dia20" localSheetId="0">#REF!</definedName>
    <definedName name="_dia20">'[7]Rft Footing Blk 1'!$O$26</definedName>
    <definedName name="_dia25" localSheetId="0">#REF!</definedName>
    <definedName name="_dia25">'[7]Rft Footing Blk 1'!$P$26</definedName>
    <definedName name="_dia8" localSheetId="0">#REF!</definedName>
    <definedName name="_dia8">'[7]Rft Footing Blk 1'!$K$26</definedName>
    <definedName name="_dim4" localSheetId="0">#REF!</definedName>
    <definedName name="_dim4">#REF!</definedName>
    <definedName name="_DSF4" localSheetId="0">Scheduled_Payment+Extra_Payment</definedName>
    <definedName name="_DSF4">Scheduled_Payment+Extra_Payment</definedName>
    <definedName name="_fab1" localSheetId="0">#REF!</definedName>
    <definedName name="_fab1">'[7]intr stool brkup'!$A$8:$D$53</definedName>
    <definedName name="_Fill" localSheetId="0" hidden="1">#REF!</definedName>
    <definedName name="_Fill" hidden="1">#REF!</definedName>
    <definedName name="_xlnm._FilterDatabase" hidden="1">#REF!</definedName>
    <definedName name="_FLG2" localSheetId="0">#REF!</definedName>
    <definedName name="_FLG2">'[7]Column Blk 1'!#REF!</definedName>
    <definedName name="_G72228" localSheetId="0">#REF!</definedName>
    <definedName name="_G72228">#REF!</definedName>
    <definedName name="_hf" localSheetId="0">#REF!</definedName>
    <definedName name="_hf">#REF!</definedName>
    <definedName name="_ig541" localSheetId="0">#REF!</definedName>
    <definedName name="_ig541">#REF!</definedName>
    <definedName name="_iv66666" localSheetId="0">#REF!</definedName>
    <definedName name="_iv66666">#REF!</definedName>
    <definedName name="_Ki1" localSheetId="0">#REF!</definedName>
    <definedName name="_Ki1">#REF!</definedName>
    <definedName name="_Ki2" localSheetId="0">#REF!</definedName>
    <definedName name="_Ki2">#REF!</definedName>
    <definedName name="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 localSheetId="0">#REF!</definedName>
    <definedName name="_l">#REF!</definedName>
    <definedName name="_l_4" localSheetId="0">#REF!</definedName>
    <definedName name="_l_4">#REF!</definedName>
    <definedName name="_l_6" localSheetId="0">#REF!</definedName>
    <definedName name="_l_6">#REF!</definedName>
    <definedName name="_MAN1" localSheetId="0">#REF!</definedName>
    <definedName name="_MAN1">#REF!</definedName>
    <definedName name="_MS010" localSheetId="0">#REF!</definedName>
    <definedName name="_MS010">#REF!</definedName>
    <definedName name="_Order1" hidden="1">255</definedName>
    <definedName name="_p" localSheetId="0">#REF!</definedName>
    <definedName name="_p">#REF!</definedName>
    <definedName name="_p_4" localSheetId="0">#REF!</definedName>
    <definedName name="_p_4">#REF!</definedName>
    <definedName name="_p_6" localSheetId="0">#REF!</definedName>
    <definedName name="_p_6">#REF!</definedName>
    <definedName name="_PB1" localSheetId="0">#REF!</definedName>
    <definedName name="_PB1">#REF!</definedName>
    <definedName name="_PO1" localSheetId="0">#REF!</definedName>
    <definedName name="_PO1">#REF!</definedName>
    <definedName name="_PO2" localSheetId="0">#REF!</definedName>
    <definedName name="_PO2">#REF!</definedName>
    <definedName name="_rim4" localSheetId="0">#REF!</definedName>
    <definedName name="_rim4">#REF!</definedName>
    <definedName name="_rm4" localSheetId="0">#REF!</definedName>
    <definedName name="_rm4">#REF!</definedName>
    <definedName name="_sdb2" localSheetId="0">#REF!</definedName>
    <definedName name="_sdb2">#REF!</definedName>
    <definedName name="_TB2" localSheetId="0">#REF!</definedName>
    <definedName name="_TB2">'[6]SPT vs PHI'!$B$2:$C$65</definedName>
    <definedName name="_UGF1" localSheetId="0">#REF!</definedName>
    <definedName name="_UGF1">'[7]Column Blk 1'!$C$651</definedName>
    <definedName name="_zz65536" localSheetId="0">#REF!</definedName>
    <definedName name="_zz65536">'[1]B &amp; C class items '!#REF!</definedName>
    <definedName name="a" localSheetId="0">#REF!</definedName>
    <definedName name="a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595H50" localSheetId="0">#REF!</definedName>
    <definedName name="A1595H50">'[11]BLOCK-A (MEA.SHEET)'!$A$1596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aaaaaaaaaaaaa" localSheetId="0">#REF!</definedName>
    <definedName name="aaaaaaaaaaaaaaaaa">#REF!</definedName>
    <definedName name="aaasa" localSheetId="0">#REF!</definedName>
    <definedName name="aaasa">#REF!</definedName>
    <definedName name="aad" localSheetId="0">#REF!</definedName>
    <definedName name="aad">#REF!</definedName>
    <definedName name="aadawawdaW" localSheetId="0">#REF!</definedName>
    <definedName name="aadawawdaW">#REF!</definedName>
    <definedName name="ab" localSheetId="0">#REF!</definedName>
    <definedName name="ab">#REF!</definedName>
    <definedName name="abc" localSheetId="0">#REF!</definedName>
    <definedName name="abc">#REF!</definedName>
    <definedName name="ABCD" localSheetId="0">#REF!</definedName>
    <definedName name="ABCD">#REF!</definedName>
    <definedName name="abcdefghij" localSheetId="0">#REF!</definedName>
    <definedName name="abcdefghij">#REF!</definedName>
    <definedName name="ab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 localSheetId="0">#REF!</definedName>
    <definedName name="Absrta">#REF!</definedName>
    <definedName name="Abst" localSheetId="0">#REF!</definedName>
    <definedName name="Abst">#REF!</definedName>
    <definedName name="ABSTRAC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 localSheetId="0">#REF!</definedName>
    <definedName name="Ac">#REF!</definedName>
    <definedName name="acc" localSheetId="0">#REF!</definedName>
    <definedName name="acc">#REF!</definedName>
    <definedName name="Acc.Recon" localSheetId="0">#REF!</definedName>
    <definedName name="Acc.Recon">#REF!</definedName>
    <definedName name="AccessDatabase" hidden="1">"D:\MIS\TALLY  31.09.04 sep\AS PER TALLY 31.09.04.mdb"</definedName>
    <definedName name="accomation" localSheetId="0" hidden="1">#REF!</definedName>
    <definedName name="accomation" hidden="1">#REF!</definedName>
    <definedName name="accounts" localSheetId="0">#REF!</definedName>
    <definedName name="accounts">#REF!</definedName>
    <definedName name="AcctName" localSheetId="0">#REF!</definedName>
    <definedName name="AcctName">#REF!</definedName>
    <definedName name="AcctName_4" localSheetId="0">#REF!</definedName>
    <definedName name="AcctName_4">#REF!</definedName>
    <definedName name="AcctName_6" localSheetId="0">#REF!</definedName>
    <definedName name="AcctName_6">#REF!</definedName>
    <definedName name="AcctPrio" localSheetId="0">#REF!</definedName>
    <definedName name="AcctPrio">#REF!</definedName>
    <definedName name="AcctPrio_4" localSheetId="0">#REF!</definedName>
    <definedName name="AcctPrio_4">#REF!</definedName>
    <definedName name="AcctPrio_6" localSheetId="0">#REF!</definedName>
    <definedName name="AcctPrio_6">#REF!</definedName>
    <definedName name="AcctPrio_Text" localSheetId="0">#REF!</definedName>
    <definedName name="AcctPrio_Text">#REF!</definedName>
    <definedName name="AcctPrio_Text_4" localSheetId="0">#REF!</definedName>
    <definedName name="AcctPrio_Text_4">#REF!</definedName>
    <definedName name="AcctPrio_Text_6" localSheetId="0">#REF!</definedName>
    <definedName name="AcctPrio_Text_6">#REF!</definedName>
    <definedName name="ACT" localSheetId="0">#REF!</definedName>
    <definedName name="ACT">#REF!</definedName>
    <definedName name="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 localSheetId="0">#REF!</definedName>
    <definedName name="ADADAD">#REF!</definedName>
    <definedName name="ADADASASDASD" localSheetId="0">#REF!</definedName>
    <definedName name="ADADASASDASD">#REF!</definedName>
    <definedName name="ADADDA" localSheetId="0">#REF!</definedName>
    <definedName name="ADADDA">#REF!</definedName>
    <definedName name="ADASASDASASDASDAS" localSheetId="0">#REF!</definedName>
    <definedName name="ADASASDASASDASDAS">#REF!</definedName>
    <definedName name="ADASASDASDASDAD" localSheetId="0">#REF!</definedName>
    <definedName name="ADASASDASDASDAD">#REF!</definedName>
    <definedName name="ADASDASASDAS" localSheetId="0">#REF!</definedName>
    <definedName name="ADASDASASDAS">#REF!</definedName>
    <definedName name="ADASDASDASDAS" localSheetId="0">#REF!</definedName>
    <definedName name="ADASDASDASDAS">#REF!</definedName>
    <definedName name="adf" localSheetId="0">#REF!</definedName>
    <definedName name="adf">#REF!</definedName>
    <definedName name="ADFADD" localSheetId="0">#REF!</definedName>
    <definedName name="ADFADD">#REF!</definedName>
    <definedName name="adfadsff" localSheetId="0">#REF!</definedName>
    <definedName name="adfadsff">#REF!</definedName>
    <definedName name="ADFASDAD" localSheetId="0">#REF!</definedName>
    <definedName name="ADFASDAD">#REF!</definedName>
    <definedName name="ad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 localSheetId="0">#REF!</definedName>
    <definedName name="admn_off">#REF!</definedName>
    <definedName name="admn_site" localSheetId="0">#REF!</definedName>
    <definedName name="admn_site">#REF!</definedName>
    <definedName name="ADSAD" localSheetId="0">#REF!</definedName>
    <definedName name="ADSAD">#REF!</definedName>
    <definedName name="af">#REF!</definedName>
    <definedName name="Ag" localSheetId="0">#REF!</definedName>
    <definedName name="Ag">[12]Design!#REF!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gdfjk" localSheetId="0">#REF!</definedName>
    <definedName name="agdfjk">'[13]Structure Bills Qty'!$A$6:$M$13</definedName>
    <definedName name="aham" localSheetId="0">#REF!</definedName>
    <definedName name="aham">#REF!</definedName>
    <definedName name="ahu" localSheetId="0">#REF!</definedName>
    <definedName name="ahu">#REF!</definedName>
    <definedName name="aj" localSheetId="0">#REF!</definedName>
    <definedName name="aj">'[14]Rate analysis'!$C$2</definedName>
    <definedName name="aji" localSheetId="0">#REF!</definedName>
    <definedName name="aji">#REF!</definedName>
    <definedName name="ajitha" localSheetId="0">#REF!</definedName>
    <definedName name="ajitha">#REF!</definedName>
    <definedName name="Alarm_current_Amp_In_Minutes" localSheetId="0">#REF!</definedName>
    <definedName name="Alarm_current_Amp_In_Minutes">#REF!</definedName>
    <definedName name="alpha" localSheetId="0">#REF!</definedName>
    <definedName name="alpha">#REF!</definedName>
    <definedName name="alphabet" localSheetId="0">#REF!</definedName>
    <definedName name="alphabet">#REF!</definedName>
    <definedName name="Aluminium" localSheetId="0">#REF!</definedName>
    <definedName name="Aluminium">#REF!</definedName>
    <definedName name="Alw" localSheetId="0">#REF!</definedName>
    <definedName name="Alw">#REF!</definedName>
    <definedName name="AM_1" localSheetId="0">#REF!</definedName>
    <definedName name="AM_1">#REF!</definedName>
    <definedName name="ams" localSheetId="0">#REF!</definedName>
    <definedName name="ams">#REF!</definedName>
    <definedName name="anantha" localSheetId="0">#REF!</definedName>
    <definedName name="anantha">#REF!</definedName>
    <definedName name="anch" localSheetId="0">#REF!</definedName>
    <definedName name="anch">#REF!</definedName>
    <definedName name="Anil148" localSheetId="0">#REF!</definedName>
    <definedName name="Anil148">#REF!</definedName>
    <definedName name="anil543" localSheetId="0">#REF!</definedName>
    <definedName name="anil543">#REF!</definedName>
    <definedName name="ann" localSheetId="0">#REF!</definedName>
    <definedName name="ann">#REF!</definedName>
    <definedName name="anne" localSheetId="0">#REF!</definedName>
    <definedName name="anne">#REF!</definedName>
    <definedName name="annealing" localSheetId="0">#REF!</definedName>
    <definedName name="annealing">#REF!</definedName>
    <definedName name="annealing1" localSheetId="0">#REF!</definedName>
    <definedName name="annealing1">#REF!</definedName>
    <definedName name="anscount" hidden="1">1</definedName>
    <definedName name="aoio" localSheetId="0">#REF!</definedName>
    <definedName name="aoio">'[15]rcc( sub)'!#REF!</definedName>
    <definedName name="AP_1" localSheetId="0">#REF!</definedName>
    <definedName name="AP_1">#REF!</definedName>
    <definedName name="AP_2" localSheetId="0">#REF!</definedName>
    <definedName name="AP_2">#REF!</definedName>
    <definedName name="AP_3" localSheetId="0">#REF!</definedName>
    <definedName name="AP_3">#REF!</definedName>
    <definedName name="ARCHITECT________M_s" localSheetId="0">#REF!</definedName>
    <definedName name="ARCHITECT________M_s">'[8]MASTER_RATE ANALYSIS'!$B$186:$G$186</definedName>
    <definedName name="archon141" localSheetId="0">#REF!</definedName>
    <definedName name="archon141">'[5]BILL COV'!#REF!</definedName>
    <definedName name="archon142" localSheetId="0">#REF!</definedName>
    <definedName name="archon142">'[5]BILL COV'!#REF!</definedName>
    <definedName name="archon143" localSheetId="0">#REF!</definedName>
    <definedName name="archon143">'[5]BILL COV'!#REF!</definedName>
    <definedName name="area" localSheetId="0">#REF!</definedName>
    <definedName name="area">#REF!</definedName>
    <definedName name="ARUN" localSheetId="0" hidden="1">#REF!</definedName>
    <definedName name="ARUN" hidden="1">#REF!</definedName>
    <definedName name="as" localSheetId="0">#REF!</definedName>
    <definedName name="as">#REF!</definedName>
    <definedName name="AS_PER_TALLY_31_09_04_ONYX_List1" localSheetId="0">#REF!</definedName>
    <definedName name="AS_PER_TALLY_31_09_04_ONYX_List1">#REF!</definedName>
    <definedName name="asas" localSheetId="0">#REF!</definedName>
    <definedName name="asas">#REF!</definedName>
    <definedName name="asd" localSheetId="0">#REF!</definedName>
    <definedName name="asd">#REF!</definedName>
    <definedName name="asdads" localSheetId="0">#REF!</definedName>
    <definedName name="asdads">#REF!</definedName>
    <definedName name="asdas" localSheetId="0">#REF!</definedName>
    <definedName name="asdas">#REF!</definedName>
    <definedName name="asdasd" localSheetId="0">#REF!</definedName>
    <definedName name="asdasd">#REF!</definedName>
    <definedName name="ASDASDASD" localSheetId="0">#REF!</definedName>
    <definedName name="ASDASDASD">#REF!</definedName>
    <definedName name="asdd" localSheetId="0">#REF!</definedName>
    <definedName name="asdd">#REF!</definedName>
    <definedName name="asdf" localSheetId="0">#REF!</definedName>
    <definedName name="asdf">#REF!</definedName>
    <definedName name="asdfasdf" localSheetId="0" hidden="1">#REF!</definedName>
    <definedName name="asdfasdf" hidden="1">#REF!</definedName>
    <definedName name="asdfsa" localSheetId="0" hidden="1">#REF!</definedName>
    <definedName name="asdfsa" hidden="1">#REF!</definedName>
    <definedName name="asdfsad" localSheetId="0">#REF!</definedName>
    <definedName name="asdfsad">#REF!</definedName>
    <definedName name="asdfsadf" localSheetId="0" hidden="1">#REF!</definedName>
    <definedName name="asdfsadf" hidden="1">#REF!</definedName>
    <definedName name="asdfsdfd" localSheetId="0">#N/A</definedName>
    <definedName name="asdfsdfd">#REF!</definedName>
    <definedName name="asdsdfsda" localSheetId="0">#REF!</definedName>
    <definedName name="asdsdfsda">#REF!</definedName>
    <definedName name="asf" localSheetId="0">#REF!</definedName>
    <definedName name="asf">#REF!</definedName>
    <definedName name="as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 localSheetId="0">#REF!</definedName>
    <definedName name="ASHOKA">#REF!</definedName>
    <definedName name="ass" localSheetId="0">#REF!</definedName>
    <definedName name="ass">#REF!</definedName>
    <definedName name="assadg" localSheetId="0" hidden="1">#REF!</definedName>
    <definedName name="assadg" hidden="1">#REF!</definedName>
    <definedName name="assd" localSheetId="0">#REF!</definedName>
    <definedName name="assd">#REF!</definedName>
    <definedName name="assfsdf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 localSheetId="0">#REF!</definedName>
    <definedName name="auxlp">#REF!</definedName>
    <definedName name="av" localSheetId="0">#REF!</definedName>
    <definedName name="av">[16]Slab!#REF!</definedName>
    <definedName name="avi" localSheetId="0">#REF!</definedName>
    <definedName name="avi">#REF!</definedName>
    <definedName name="AWAWWWWAA" localSheetId="0">#REF!</definedName>
    <definedName name="AWAWWWWAA">#REF!</definedName>
    <definedName name="AWWEDWER" localSheetId="0">#REF!</definedName>
    <definedName name="AWWEDWER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210." localSheetId="0">#REF!</definedName>
    <definedName name="b1210.">#REF!</definedName>
    <definedName name="B4a" localSheetId="0">#REF!</definedName>
    <definedName name="B4a">#REF!</definedName>
    <definedName name="b5a" localSheetId="0">#REF!</definedName>
    <definedName name="b5a">#REF!</definedName>
    <definedName name="b832." localSheetId="0">#REF!</definedName>
    <definedName name="b832.">#REF!</definedName>
    <definedName name="Backfilling" localSheetId="0">#REF!</definedName>
    <definedName name="Backfilling">#REF!</definedName>
    <definedName name="BALCONY" localSheetId="0">#REF!</definedName>
    <definedName name="BALCONY">#REF!</definedName>
    <definedName name="Base" localSheetId="0" hidden="1">#REF!</definedName>
    <definedName name="Base" hidden="1">#REF!</definedName>
    <definedName name="Basement" localSheetId="0" hidden="1">#REF!</definedName>
    <definedName name="Basement" hidden="1">#REF!</definedName>
    <definedName name="BASIC" localSheetId="0">#REF!</definedName>
    <definedName name="BASIC">'[8]MASTER_RATE ANALYSIS'!$A$1:$H$346</definedName>
    <definedName name="bb" localSheetId="0">#REF!</definedName>
    <definedName name="bb">#REF!</definedName>
    <definedName name="bbbb" localSheetId="0">#REF!</definedName>
    <definedName name="bbbb">'[17]Break up Sheet'!#REF!</definedName>
    <definedName name="bbbbbbbbbb" localSheetId="0" hidden="1">#REF!</definedName>
    <definedName name="bbbbbbbbbb" hidden="1">#REF!</definedName>
    <definedName name="BC" localSheetId="0">#REF!</definedName>
    <definedName name="BC">'[7]Beam FF,SF Blk 1'!$D$23</definedName>
    <definedName name="BC_1" localSheetId="0">#REF!</definedName>
    <definedName name="BC_1">#REF!</definedName>
    <definedName name="bcb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 localSheetId="0">#REF!</definedName>
    <definedName name="bcvv">#REF!</definedName>
    <definedName name="bdbdb" localSheetId="0">#REF!</definedName>
    <definedName name="bdbdb">#REF!</definedName>
    <definedName name="be">#N/A</definedName>
    <definedName name="beam" localSheetId="0">#REF!</definedName>
    <definedName name="beam">#REF!</definedName>
    <definedName name="Beams" localSheetId="0">#REF!</definedName>
    <definedName name="Beams">#REF!</definedName>
    <definedName name="BEAMS2">#N/A</definedName>
    <definedName name="Beg_Bal" localSheetId="0">#REF!</definedName>
    <definedName name="Beg_Bal">#REF!</definedName>
    <definedName name="BELL__Polarised" localSheetId="0">#REF!</definedName>
    <definedName name="BELL__Polarised">#REF!</definedName>
    <definedName name="BEND" localSheetId="0">#REF!</definedName>
    <definedName name="BEND">#REF!</definedName>
    <definedName name="bends" localSheetId="0">#REF!</definedName>
    <definedName name="bends">#REF!</definedName>
    <definedName name="beta" localSheetId="0">#REF!</definedName>
    <definedName name="beta">#REF!</definedName>
    <definedName name="bfdx" localSheetId="0" hidden="1">#REF!</definedName>
    <definedName name="bfdx" hidden="1">#REF!</definedName>
    <definedName name="bgbb" localSheetId="0">#REF!</definedName>
    <definedName name="bgbb">#REF!</definedName>
    <definedName name="bggfgj" localSheetId="0">Scheduled_Payment+Extra_Payment</definedName>
    <definedName name="bggfgj">[18]!_______________b1+Extra_Payment</definedName>
    <definedName name="bhg" localSheetId="0">#REF!</definedName>
    <definedName name="bhg">#REF!</definedName>
    <definedName name="bhjbh" localSheetId="0">#REF!</definedName>
    <definedName name="bhjbh">#REF!</definedName>
    <definedName name="BidClass" localSheetId="0">#REF!</definedName>
    <definedName name="BidClass">#REF!</definedName>
    <definedName name="BidClass_4" localSheetId="0">#REF!</definedName>
    <definedName name="BidClass_4">#REF!</definedName>
    <definedName name="BidClass_6" localSheetId="0">#REF!</definedName>
    <definedName name="BidClass_6">#REF!</definedName>
    <definedName name="BidClass_Text" localSheetId="0">#REF!</definedName>
    <definedName name="BidClass_Text">#REF!</definedName>
    <definedName name="BidClass_Text_4" localSheetId="0">#REF!</definedName>
    <definedName name="BidClass_Text_4">#REF!</definedName>
    <definedName name="BidClass_Text_6" localSheetId="0">#REF!</definedName>
    <definedName name="BidClass_Text_6">#REF!</definedName>
    <definedName name="BillingFreq" localSheetId="0">#REF!</definedName>
    <definedName name="BillingFreq">#REF!</definedName>
    <definedName name="BillingFreq_4" localSheetId="0">#REF!</definedName>
    <definedName name="BillingFreq_4">#REF!</definedName>
    <definedName name="BillingFreq_6" localSheetId="0">#REF!</definedName>
    <definedName name="BillingFreq_6">#REF!</definedName>
    <definedName name="BillingTiming" localSheetId="0">#REF!</definedName>
    <definedName name="BillingTiming">#REF!</definedName>
    <definedName name="BillingTiming_4" localSheetId="0">#REF!</definedName>
    <definedName name="BillingTiming_4">#REF!</definedName>
    <definedName name="BillingTiming_6" localSheetId="0">#REF!</definedName>
    <definedName name="BillingTiming_6">#REF!</definedName>
    <definedName name="bit" localSheetId="0">#REF!</definedName>
    <definedName name="bit">#REF!</definedName>
    <definedName name="bl" localSheetId="0">#REF!</definedName>
    <definedName name="bl">#REF!</definedName>
    <definedName name="bloc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 localSheetId="0">#REF!</definedName>
    <definedName name="bn">#REF!</definedName>
    <definedName name="bol" localSheetId="0">#REF!</definedName>
    <definedName name="bol">#REF!</definedName>
    <definedName name="boml" localSheetId="0">#REF!</definedName>
    <definedName name="boml">#REF!</definedName>
    <definedName name="boml1" localSheetId="0">#REF!</definedName>
    <definedName name="boml1">#REF!</definedName>
    <definedName name="boq" localSheetId="0">#REF!</definedName>
    <definedName name="boq">#REF!</definedName>
    <definedName name="bore" localSheetId="0">#REF!</definedName>
    <definedName name="bore">#REF!</definedName>
    <definedName name="botl" localSheetId="0">#REF!</definedName>
    <definedName name="botl">#REF!</definedName>
    <definedName name="botl1" localSheetId="0">#REF!</definedName>
    <definedName name="botl1">#REF!</definedName>
    <definedName name="botn" localSheetId="0">#REF!</definedName>
    <definedName name="botn">#REF!</definedName>
    <definedName name="box_speaker" localSheetId="0">#REF!</definedName>
    <definedName name="box_speaker">#REF!</definedName>
    <definedName name="BQ" localSheetId="0">#REF!</definedName>
    <definedName name="BQ">#REF!</definedName>
    <definedName name="Breaks" localSheetId="0">#REF!</definedName>
    <definedName name="Breaks">#REF!</definedName>
    <definedName name="BSSRAILING" localSheetId="0">#REF!</definedName>
    <definedName name="BSSRAILING">[19]std!#REF!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 localSheetId="0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Area___0___0" localSheetId="0">#REF!</definedName>
    <definedName name="BuiltIn_Print_Area___0___0">#REF!</definedName>
    <definedName name="BuiltIn_Print_Area___0_1" localSheetId="0">#REF!</definedName>
    <definedName name="BuiltIn_Print_Area___0_1">#REF!</definedName>
    <definedName name="BuiltIn_Print_Area___0_4" localSheetId="0">#REF!</definedName>
    <definedName name="BuiltIn_Print_Area___0_4">#REF!</definedName>
    <definedName name="BuiltIn_Print_Area_4" localSheetId="0">#REF!</definedName>
    <definedName name="BuiltIn_Print_Area_4">#REF!</definedName>
    <definedName name="BuiltIn_Print_Titles" localSheetId="0">#REF!</definedName>
    <definedName name="BuiltIn_Print_Titles">#REF!</definedName>
    <definedName name="BuiltIn_Print_Titles___0">#N/A</definedName>
    <definedName name="BuiltIn_Print_Titles___0___0" localSheetId="0">#REF!</definedName>
    <definedName name="BuiltIn_Print_Titles___0___0">#REF!</definedName>
    <definedName name="BuiltIn_Print_Titles_1" localSheetId="0">#REF!</definedName>
    <definedName name="BuiltIn_Print_Titles_1">#REF!</definedName>
    <definedName name="BuiltIn_Print_Titles_4" localSheetId="0">#REF!</definedName>
    <definedName name="BuiltIn_Print_Titles_4">#REF!</definedName>
    <definedName name="BusType" localSheetId="0">#REF!</definedName>
    <definedName name="BusType">#REF!</definedName>
    <definedName name="BusType_4" localSheetId="0">#REF!</definedName>
    <definedName name="BusType_4">#REF!</definedName>
    <definedName name="BusType_6" localSheetId="0">#REF!</definedName>
    <definedName name="BusType_6">#REF!</definedName>
    <definedName name="BusType_Text" localSheetId="0">#REF!</definedName>
    <definedName name="BusType_Text">#REF!</definedName>
    <definedName name="BusType_Text_4" localSheetId="0">#REF!</definedName>
    <definedName name="BusType_Text_4">#REF!</definedName>
    <definedName name="BusType_Text_6" localSheetId="0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 localSheetId="0">#REF!</definedName>
    <definedName name="bv">[16]Slab!#REF!</definedName>
    <definedName name="bvcvhcv" localSheetId="0">#REF!</definedName>
    <definedName name="bvcvhcv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nvxnd" localSheetId="0">#REF!</definedName>
    <definedName name="bxnvxnd">#REF!</definedName>
    <definedName name="CA_1" localSheetId="0">#REF!</definedName>
    <definedName name="CA_1">#REF!</definedName>
    <definedName name="CA_2" localSheetId="0">#REF!</definedName>
    <definedName name="CA_2">#REF!</definedName>
    <definedName name="CA_3" localSheetId="0">#REF!</definedName>
    <definedName name="CA_3">#REF!</definedName>
    <definedName name="ca1boq" localSheetId="0">#REF!</definedName>
    <definedName name="ca1boq">#REF!</definedName>
    <definedName name="cab" localSheetId="0">#REF!</definedName>
    <definedName name="cab">#REF!</definedName>
    <definedName name="cab21.5tp" localSheetId="0">#REF!</definedName>
    <definedName name="cab21.5tp">#REF!</definedName>
    <definedName name="cab21.5tp_4" localSheetId="0">#REF!</definedName>
    <definedName name="cab21.5tp_4">#REF!</definedName>
    <definedName name="cab21.5tp_6" localSheetId="0">#REF!</definedName>
    <definedName name="cab21.5tp_6">#REF!</definedName>
    <definedName name="cab21s" localSheetId="0">#REF!</definedName>
    <definedName name="cab21s">#REF!</definedName>
    <definedName name="cab21s_4" localSheetId="0">#REF!</definedName>
    <definedName name="cab21s_4">#REF!</definedName>
    <definedName name="cab21s_6" localSheetId="0">#REF!</definedName>
    <definedName name="cab21s_6">#REF!</definedName>
    <definedName name="cab21us" localSheetId="0">#REF!</definedName>
    <definedName name="cab21us">#REF!</definedName>
    <definedName name="cab21us_4" localSheetId="0">#REF!</definedName>
    <definedName name="cab21us_4">#REF!</definedName>
    <definedName name="cab21us_6" localSheetId="0">#REF!</definedName>
    <definedName name="cab21us_6">#REF!</definedName>
    <definedName name="cab31s" localSheetId="0">#REF!</definedName>
    <definedName name="cab31s">#REF!</definedName>
    <definedName name="cab31s_4" localSheetId="0">#REF!</definedName>
    <definedName name="cab31s_4">#REF!</definedName>
    <definedName name="cab31s_6" localSheetId="0">#REF!</definedName>
    <definedName name="cab31s_6">#REF!</definedName>
    <definedName name="cab31us" localSheetId="0">#REF!</definedName>
    <definedName name="cab31us">#REF!</definedName>
    <definedName name="cab31us_4" localSheetId="0">#REF!</definedName>
    <definedName name="cab31us_4">#REF!</definedName>
    <definedName name="cab31us_6" localSheetId="0">#REF!</definedName>
    <definedName name="cab31us_6">#REF!</definedName>
    <definedName name="cab41s" localSheetId="0">#REF!</definedName>
    <definedName name="cab41s">#REF!</definedName>
    <definedName name="cab41s_4" localSheetId="0">#REF!</definedName>
    <definedName name="cab41s_4">#REF!</definedName>
    <definedName name="cab41s_6" localSheetId="0">#REF!</definedName>
    <definedName name="cab41s_6">#REF!</definedName>
    <definedName name="cab41us" localSheetId="0">#REF!</definedName>
    <definedName name="cab41us">#REF!</definedName>
    <definedName name="cab41us_4" localSheetId="0">#REF!</definedName>
    <definedName name="cab41us_4">#REF!</definedName>
    <definedName name="cab41us_6" localSheetId="0">#REF!</definedName>
    <definedName name="cab41us_6">#REF!</definedName>
    <definedName name="cabf" localSheetId="0">#REF!</definedName>
    <definedName name="cabf">#REF!</definedName>
    <definedName name="cabf_4" localSheetId="0">#REF!</definedName>
    <definedName name="cabf_4">#REF!</definedName>
    <definedName name="cabf_6" localSheetId="0">#REF!</definedName>
    <definedName name="cabf_6">#REF!</definedName>
    <definedName name="CABLE" localSheetId="0">#REF!</definedName>
    <definedName name="CABLE">#REF!</definedName>
    <definedName name="CABLE_4" localSheetId="0">#REF!</definedName>
    <definedName name="CABLE_4">#REF!</definedName>
    <definedName name="CABLE_6" localSheetId="0">#REF!</definedName>
    <definedName name="CABLE_6">#REF!</definedName>
    <definedName name="CALf" localSheetId="0">#REF!</definedName>
    <definedName name="CALf">#REF!</definedName>
    <definedName name="CALf_4" localSheetId="0">#REF!</definedName>
    <definedName name="CALf_4">#REF!</definedName>
    <definedName name="CALf_6" localSheetId="0">#REF!</definedName>
    <definedName name="CALf_6">#REF!</definedName>
    <definedName name="cant" localSheetId="0">#REF!</definedName>
    <definedName name="cant">'[20]Staff Acco.'!#REF!</definedName>
    <definedName name="capacity" localSheetId="0">#REF!</definedName>
    <definedName name="capacity">#REF!</definedName>
    <definedName name="capacity1" localSheetId="0">#REF!</definedName>
    <definedName name="capacity1">#REF!</definedName>
    <definedName name="capacity2" localSheetId="0">#REF!</definedName>
    <definedName name="capacity2">#REF!</definedName>
    <definedName name="capacity3" localSheetId="0">#REF!</definedName>
    <definedName name="capacity3">#REF!</definedName>
    <definedName name="capital" localSheetId="0">#REF!</definedName>
    <definedName name="capital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 localSheetId="0">#REF!</definedName>
    <definedName name="cash_bank">#REF!</definedName>
    <definedName name="CASH_OUT" localSheetId="0">#REF!</definedName>
    <definedName name="CASH_OUT">#REF!</definedName>
    <definedName name="Casual" localSheetId="0">#REF!</definedName>
    <definedName name="Casual">#REF!</definedName>
    <definedName name="category" localSheetId="0">#REF!</definedName>
    <definedName name="category">#REF!</definedName>
    <definedName name="cb" localSheetId="0">#REF!</definedName>
    <definedName name="cb">#REF!</definedName>
    <definedName name="cbcbc" localSheetId="0">#REF!</definedName>
    <definedName name="cbcbc">'[21]Labor abs-PW'!$A$20:$IV$20</definedName>
    <definedName name="cbcbxc" localSheetId="0">#REF!</definedName>
    <definedName name="cbcbxc">'[21]Labor abs-NMR'!$C$7712:$D$7715</definedName>
    <definedName name="cbccb" localSheetId="0">#REF!</definedName>
    <definedName name="cbccb">'[21]Labor abs-NMR'!$B$3</definedName>
    <definedName name="cbcvbcbc" localSheetId="0">#REF!</definedName>
    <definedName name="cbcvbcbc">'[22]Labor abs-NMR'!$C$7715</definedName>
    <definedName name="CC" localSheetId="0">#REF!</definedName>
    <definedName name="CC">'[7]Rft Footing Blk 1'!$D$24</definedName>
    <definedName name="CCC" localSheetId="0">#REF!</definedName>
    <definedName name="CCC">'[23]TBAL9697 -group wise  sdpl'!$A$214</definedName>
    <definedName name="cccc" localSheetId="0">#REF!</definedName>
    <definedName name="cccc">'[24]TBAL9697 -group wise  sdpl'!$A$34</definedName>
    <definedName name="cd" localSheetId="0">#REF!</definedName>
    <definedName name="cd">#REF!</definedName>
    <definedName name="cdds" localSheetId="0">#REF!</definedName>
    <definedName name="cdds">'[25]RA-markate'!$A$389:$B$1034</definedName>
    <definedName name="cdf" localSheetId="0">#REF!</definedName>
    <definedName name="cdf">#REF!</definedName>
    <definedName name="Ceiling_Plaster" localSheetId="0">#REF!</definedName>
    <definedName name="Ceiling_Plaster">#REF!</definedName>
    <definedName name="Ceiling_speaker" localSheetId="0">#REF!</definedName>
    <definedName name="Ceiling_speaker">#REF!</definedName>
    <definedName name="Ceiling_Speaker_Unsupervised" localSheetId="0">#REF!</definedName>
    <definedName name="Ceiling_Speaker_Unsupervised">#REF!</definedName>
    <definedName name="CENTER" localSheetId="0" hidden="1">#REF!</definedName>
    <definedName name="CENTER" hidden="1">#REF!</definedName>
    <definedName name="ch" localSheetId="0">#REF!</definedName>
    <definedName name="ch">#REF!</definedName>
    <definedName name="ChangeBy" localSheetId="0">#REF!</definedName>
    <definedName name="ChangeBy">#REF!</definedName>
    <definedName name="ChangeBy_4" localSheetId="0">#REF!</definedName>
    <definedName name="ChangeBy_4">#REF!</definedName>
    <definedName name="ChangeBy_6" localSheetId="0">#REF!</definedName>
    <definedName name="ChangeBy_6">#REF!</definedName>
    <definedName name="ChangeDate" localSheetId="0">#REF!</definedName>
    <definedName name="ChangeDate">#REF!</definedName>
    <definedName name="ChangeDate_4" localSheetId="0">#REF!</definedName>
    <definedName name="ChangeDate_4">#REF!</definedName>
    <definedName name="ChangeDate_6" localSheetId="0">#REF!</definedName>
    <definedName name="ChangeDate_6">#REF!</definedName>
    <definedName name="charles" localSheetId="0">#REF!</definedName>
    <definedName name="charles">#REF!</definedName>
    <definedName name="checked" localSheetId="0">#REF!</definedName>
    <definedName name="checked">#REF!</definedName>
    <definedName name="chiller" localSheetId="0">#REF!</definedName>
    <definedName name="chiller">#REF!</definedName>
    <definedName name="ciff" localSheetId="0">#REF!</definedName>
    <definedName name="ciff">#REF!</definedName>
    <definedName name="CIMM" localSheetId="0">#REF!</definedName>
    <definedName name="CIMM">#REF!</definedName>
    <definedName name="Cinnam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 localSheetId="0">#REF!</definedName>
    <definedName name="ck">'[26]RENT MASTER FILE'!#REF!</definedName>
    <definedName name="ckd" localSheetId="0">#REF!</definedName>
    <definedName name="ckd">#REF!</definedName>
    <definedName name="cl" localSheetId="0">#REF!</definedName>
    <definedName name="cl">#REF!</definedName>
    <definedName name="Cleaning" localSheetId="0">#REF!</definedName>
    <definedName name="Cleaning">#REF!</definedName>
    <definedName name="ClientAddress1" localSheetId="0">#REF!</definedName>
    <definedName name="ClientAddress1">#REF!</definedName>
    <definedName name="ClientAddress2" localSheetId="0">#REF!</definedName>
    <definedName name="ClientAddress2">#REF!</definedName>
    <definedName name="ClientCity" localSheetId="0">#REF!</definedName>
    <definedName name="ClientCity">#REF!</definedName>
    <definedName name="ClientCountry" localSheetId="0">#REF!</definedName>
    <definedName name="ClientCountry">#REF!</definedName>
    <definedName name="ClientEmail" localSheetId="0">#REF!</definedName>
    <definedName name="ClientEmail">#REF!</definedName>
    <definedName name="ClientFax" localSheetId="0">#REF!</definedName>
    <definedName name="ClientFax">#REF!</definedName>
    <definedName name="ClientPhone" localSheetId="0">#REF!</definedName>
    <definedName name="ClientPhone">#REF!</definedName>
    <definedName name="ClientState" localSheetId="0">#REF!</definedName>
    <definedName name="ClientState">#REF!</definedName>
    <definedName name="ClientZip" localSheetId="0">#REF!</definedName>
    <definedName name="ClientZip">#REF!</definedName>
    <definedName name="clrf" localSheetId="0">#REF!</definedName>
    <definedName name="clrf">#REF!</definedName>
    <definedName name="CO" localSheetId="0">#REF!</definedName>
    <definedName name="CO">'[7]Column Blk 1'!$D$16</definedName>
    <definedName name="CO_1" localSheetId="0">#REF!</definedName>
    <definedName name="CO_1">#REF!</definedName>
    <definedName name="coimbatore" localSheetId="0">#REF!</definedName>
    <definedName name="coimbatore">#REF!</definedName>
    <definedName name="co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oumn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Reft" localSheetId="0">#REF!</definedName>
    <definedName name="ColumnReft">#REF!</definedName>
    <definedName name="Columns" localSheetId="0">#REF!</definedName>
    <definedName name="Columns">#REF!</definedName>
    <definedName name="Company" localSheetId="0">#REF!</definedName>
    <definedName name="Company">#REF!</definedName>
    <definedName name="CompDate" localSheetId="0">#REF!</definedName>
    <definedName name="CompDate">#REF!</definedName>
    <definedName name="CompDate_4" localSheetId="0">#REF!</definedName>
    <definedName name="CompDate_4">#REF!</definedName>
    <definedName name="CompDate_6" localSheetId="0">#REF!</definedName>
    <definedName name="CompDate_6">#REF!</definedName>
    <definedName name="con" localSheetId="0">#REF!</definedName>
    <definedName name="con">#REF!</definedName>
    <definedName name="concre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df" localSheetId="0">#REF!</definedName>
    <definedName name="condf">#REF!</definedName>
    <definedName name="conf" localSheetId="0">#REF!</definedName>
    <definedName name="conf">#REF!</definedName>
    <definedName name="conf_4" localSheetId="0">#REF!</definedName>
    <definedName name="conf_4">#REF!</definedName>
    <definedName name="conf_6" localSheetId="0">#REF!</definedName>
    <definedName name="conf_6">#REF!</definedName>
    <definedName name="confli" localSheetId="0">#REF!</definedName>
    <definedName name="confli">#REF!</definedName>
    <definedName name="constrn" localSheetId="0">#REF!</definedName>
    <definedName name="constrn">#REF!</definedName>
    <definedName name="Construction_Period" localSheetId="0">#REF!</definedName>
    <definedName name="Construction_Period">#REF!</definedName>
    <definedName name="consumables" localSheetId="0">#REF!</definedName>
    <definedName name="consumables">'[13]Structure Bills Qty'!$I$1:$I$65536</definedName>
    <definedName name="cont" localSheetId="0">#REF!</definedName>
    <definedName name="cont">#REF!</definedName>
    <definedName name="Contact" localSheetId="0">#REF!</definedName>
    <definedName name="Contact">#REF!</definedName>
    <definedName name="ContAmt" localSheetId="0">#REF!</definedName>
    <definedName name="ContAmt">#REF!</definedName>
    <definedName name="ContAmt_4" localSheetId="0">#REF!</definedName>
    <definedName name="ContAmt_4">#REF!</definedName>
    <definedName name="ContAmt_6" localSheetId="0">#REF!</definedName>
    <definedName name="ContAmt_6">#REF!</definedName>
    <definedName name="ContWithAcct" localSheetId="0">#REF!</definedName>
    <definedName name="ContWithAcct">#REF!</definedName>
    <definedName name="ContWithAcct_4" localSheetId="0">#REF!</definedName>
    <definedName name="ContWithAcct_4">#REF!</definedName>
    <definedName name="ContWithAcct_6" localSheetId="0">#REF!</definedName>
    <definedName name="ContWithAcct_6">#REF!</definedName>
    <definedName name="ContWithName" localSheetId="0">#REF!</definedName>
    <definedName name="ContWithName">#REF!</definedName>
    <definedName name="ContWithName_4" localSheetId="0">#REF!</definedName>
    <definedName name="ContWithName_4">#REF!</definedName>
    <definedName name="ContWithName_6" localSheetId="0">#REF!</definedName>
    <definedName name="ContWithName_6">#REF!</definedName>
    <definedName name="ContWithPrio" localSheetId="0">#REF!</definedName>
    <definedName name="ContWithPrio">#REF!</definedName>
    <definedName name="ContWithPrio_4" localSheetId="0">#REF!</definedName>
    <definedName name="ContWithPrio_4">#REF!</definedName>
    <definedName name="ContWithPrio_6" localSheetId="0">#REF!</definedName>
    <definedName name="ContWithPrio_6">#REF!</definedName>
    <definedName name="ContWithPrio_Text" localSheetId="0">#REF!</definedName>
    <definedName name="ContWithPrio_Text">#REF!</definedName>
    <definedName name="ContWithPrio_Text_4" localSheetId="0">#REF!</definedName>
    <definedName name="ContWithPrio_Text_4">#REF!</definedName>
    <definedName name="ContWithPrio_Text_6" localSheetId="0">#REF!</definedName>
    <definedName name="ContWithPrio_Text_6">#REF!</definedName>
    <definedName name="CONum" localSheetId="0">#REF!</definedName>
    <definedName name="CONum">#REF!</definedName>
    <definedName name="CONum_4" localSheetId="0">#REF!</definedName>
    <definedName name="CONum_4">#REF!</definedName>
    <definedName name="CONum_6" localSheetId="0">#REF!</definedName>
    <definedName name="CONum_6">#REF!</definedName>
    <definedName name="copper" localSheetId="0">#REF!</definedName>
    <definedName name="copper">#REF!</definedName>
    <definedName name="copy" localSheetId="0">#REF!</definedName>
    <definedName name="copy">#REF!</definedName>
    <definedName name="CorpClient" localSheetId="0">#REF!</definedName>
    <definedName name="CorpClient">#REF!</definedName>
    <definedName name="CorpClient_4" localSheetId="0">#REF!</definedName>
    <definedName name="CorpClient_4">#REF!</definedName>
    <definedName name="CorpClient_6" localSheetId="0">#REF!</definedName>
    <definedName name="CorpClient_6">#REF!</definedName>
    <definedName name="CorpClient_Text" localSheetId="0">#REF!</definedName>
    <definedName name="CorpClient_Text">#REF!</definedName>
    <definedName name="CorpClient_Text_4" localSheetId="0">#REF!</definedName>
    <definedName name="CorpClient_Text_4">#REF!</definedName>
    <definedName name="CorpClient_Text_6" localSheetId="0">#REF!</definedName>
    <definedName name="CorpClient_Text_6">#REF!</definedName>
    <definedName name="CORRI" localSheetId="0">#REF!</definedName>
    <definedName name="CORRI">#REF!</definedName>
    <definedName name="cost" localSheetId="0">#REF!</definedName>
    <definedName name="cost">#REF!</definedName>
    <definedName name="costcomparisi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OVER_FOR_SLAB" localSheetId="0">#REF!</definedName>
    <definedName name="COVER_FOR_SLAB">'[27]BeamRft-Stilt 02 &amp; GF'!#REF!</definedName>
    <definedName name="c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 localSheetId="0">#REF!</definedName>
    <definedName name="_xlnm.Criteria">#REF!</definedName>
    <definedName name="crsobpl" localSheetId="0">#REF!</definedName>
    <definedName name="crsobpl">'[24]TBAL9697 -group wise  sdpl'!$A$34</definedName>
    <definedName name="CS" localSheetId="0">#REF!</definedName>
    <definedName name="CS">'[7]Slab FF,SF Blk 2'!$E$11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csd" localSheetId="0">#REF!</definedName>
    <definedName name="cscsd">'[28]Meas.-Hotel Part'!$F$152</definedName>
    <definedName name="cstf" localSheetId="0">#REF!</definedName>
    <definedName name="cstf">#REF!</definedName>
    <definedName name="Cum_Int">#REF!</definedName>
    <definedName name="CURR" localSheetId="0">#REF!</definedName>
    <definedName name="CURR">#REF!</definedName>
    <definedName name="CURR_4" localSheetId="0">#REF!</definedName>
    <definedName name="CURR_4">#REF!</definedName>
    <definedName name="CURR_6" localSheetId="0">#REF!</definedName>
    <definedName name="CURR_6">#REF!</definedName>
    <definedName name="curr_liab_prov" localSheetId="0">#REF!</definedName>
    <definedName name="curr_liab_prov">#REF!</definedName>
    <definedName name="CurrencyRate" localSheetId="0">#REF!</definedName>
    <definedName name="CurrencyRate">#REF!</definedName>
    <definedName name="CurrencyRate_4" localSheetId="0">#REF!</definedName>
    <definedName name="CurrencyRate_4">#REF!</definedName>
    <definedName name="CurrencyRate_6" localSheetId="0">#REF!</definedName>
    <definedName name="CurrencyRate_6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" localSheetId="0">#REF!</definedName>
    <definedName name="cv">[16]Slab!#REF!</definedName>
    <definedName name="cvdf" localSheetId="0">#REF!</definedName>
    <definedName name="cvdf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a" localSheetId="0" hidden="1">#REF!</definedName>
    <definedName name="da" hidden="1">#REF!</definedName>
    <definedName name="dad" localSheetId="0">#REF!</definedName>
    <definedName name="dad">#REF!</definedName>
    <definedName name="daeawtwtg" localSheetId="0">#REF!</definedName>
    <definedName name="daeawtwtg">#REF!</definedName>
    <definedName name="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 localSheetId="0">#REF!</definedName>
    <definedName name="Daff">#REF!</definedName>
    <definedName name="das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cbcvbc" localSheetId="0">#REF!</definedName>
    <definedName name="dcbcvbc">#REF!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dddddd" localSheetId="0">#REF!</definedName>
    <definedName name="dddddddd">#REF!</definedName>
    <definedName name="ddddddddd" localSheetId="0">#REF!</definedName>
    <definedName name="ddddddddd">#REF!</definedName>
    <definedName name="dddddddddd" localSheetId="0">#REF!</definedName>
    <definedName name="dddddddddd">#REF!</definedName>
    <definedName name="ddddddddddd" localSheetId="0">#REF!</definedName>
    <definedName name="ddddddddddd">#REF!</definedName>
    <definedName name="dddddddddddddddddddd" localSheetId="0">#REF!</definedName>
    <definedName name="dddddddddddddddddddd">#REF!</definedName>
    <definedName name="de" localSheetId="0">#REF!</definedName>
    <definedName name="de">'[29]Rate analysis'!$C$2</definedName>
    <definedName name="deghdfjg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pn" localSheetId="0">#REF!</definedName>
    <definedName name="Depn">#REF!</definedName>
    <definedName name="DER" localSheetId="0">#REF!</definedName>
    <definedName name="DER">#REF!</definedName>
    <definedName name="DES" localSheetId="0">#REF!</definedName>
    <definedName name="DES">#REF!</definedName>
    <definedName name="designed" localSheetId="0">#REF!</definedName>
    <definedName name="designed">#REF!</definedName>
    <definedName name="df" localSheetId="0">#REF!</definedName>
    <definedName name="df">#REF!</definedName>
    <definedName name="DFADAD" localSheetId="0">#REF!</definedName>
    <definedName name="DFADAD">#REF!</definedName>
    <definedName name="dfafdasdf" localSheetId="0">#REF!</definedName>
    <definedName name="dfafdasdf">#REF!</definedName>
    <definedName name="dfd" localSheetId="0">#REF!</definedName>
    <definedName name="dfd">#REF!</definedName>
    <definedName name="DFDDA" localSheetId="0">#REF!</definedName>
    <definedName name="DFDDA">#REF!</definedName>
    <definedName name="dfdfdf" localSheetId="0">#N/A</definedName>
    <definedName name="dfdfdf">#REF!</definedName>
    <definedName name="DFDFG" localSheetId="0">#REF!</definedName>
    <definedName name="DFDFG">#REF!</definedName>
    <definedName name="dfffb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 localSheetId="0">#REF!</definedName>
    <definedName name="DFGDF">#REF!</definedName>
    <definedName name="dfgdfsg" localSheetId="0">#REF!</definedName>
    <definedName name="dfgdfsg">#REF!</definedName>
    <definedName name="dfgdsfg" localSheetId="0">#REF!</definedName>
    <definedName name="dfgdsfg">#REF!</definedName>
    <definedName name="dfh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 localSheetId="0">#REF!</definedName>
    <definedName name="DFSDF">#REF!</definedName>
    <definedName name="dg" localSheetId="0">#REF!</definedName>
    <definedName name="dg">#REF!</definedName>
    <definedName name="DGDF" localSheetId="0">#REF!</definedName>
    <definedName name="DGDF">#REF!</definedName>
    <definedName name="DGDFG" localSheetId="0">#REF!</definedName>
    <definedName name="DGDFG">#REF!</definedName>
    <definedName name="dghdd" localSheetId="0">#REF!</definedName>
    <definedName name="dghdd">#REF!</definedName>
    <definedName name="Di" localSheetId="0">#REF!</definedName>
    <definedName name="Di">#REF!</definedName>
    <definedName name="DIAMETER" localSheetId="0">#REF!</definedName>
    <definedName name="DIAMETER">#REF!</definedName>
    <definedName name="DICL" localSheetId="0">#REF!</definedName>
    <definedName name="DICL">#REF!</definedName>
    <definedName name="dIESEL" localSheetId="0">#REF!</definedName>
    <definedName name="dIESEL">#REF!</definedName>
    <definedName name="dim4_4" localSheetId="0">#REF!</definedName>
    <definedName name="dim4_4">#REF!</definedName>
    <definedName name="dim4_6" localSheetId="0">#REF!</definedName>
    <definedName name="dim4_6">#REF!</definedName>
    <definedName name="DIns" localSheetId="0">#REF!</definedName>
    <definedName name="DIns">#REF!</definedName>
    <definedName name="div" localSheetId="0">#REF!</definedName>
    <definedName name="div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o" localSheetId="0">#REF!</definedName>
    <definedName name="Do">#REF!</definedName>
    <definedName name="docu" localSheetId="0">#REF!</definedName>
    <definedName name="docu">#REF!</definedName>
    <definedName name="DONGRE_ASSOCIATES______________PROJECT" localSheetId="0">#REF!</definedName>
    <definedName name="DONGRE_ASSOCIATES______________PROJECT">'[8]MASTER_RATE ANALYSIS'!$B$184:$G$184</definedName>
    <definedName name="door" localSheetId="0">#REF!</definedName>
    <definedName name="door">#REF!</definedName>
    <definedName name="Doors" localSheetId="0">#REF!</definedName>
    <definedName name="Doors">#REF!</definedName>
    <definedName name="DOW_CORNING_789_SILICONE_SEALANT" localSheetId="0">#REF!</definedName>
    <definedName name="DOW_CORNING_789_SILICONE_SEALANT">#REF!</definedName>
    <definedName name="DP" localSheetId="0">#REF!</definedName>
    <definedName name="DP">#REF!</definedName>
    <definedName name="dq" localSheetId="0">#REF!</definedName>
    <definedName name="dq">#REF!</definedName>
    <definedName name="Drivers" localSheetId="0">#REF!</definedName>
    <definedName name="Drivers">#REF!</definedName>
    <definedName name="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ds" localSheetId="0">#REF!</definedName>
    <definedName name="dsds">#REF!</definedName>
    <definedName name="dsdud" localSheetId="0">#REF!</definedName>
    <definedName name="dsdud">#REF!</definedName>
    <definedName name="DSF" localSheetId="0">Scheduled_Payment+Extra_Payment</definedName>
    <definedName name="DSF">[18]!_______________b1+Extra_Payment</definedName>
    <definedName name="dsfa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 localSheetId="0">#REF!</definedName>
    <definedName name="dsfgdsfgsgf">#REF!</definedName>
    <definedName name="dsfgsd" localSheetId="0">#REF!</definedName>
    <definedName name="dsfgsd">#REF!</definedName>
    <definedName name="dsfj" localSheetId="0" hidden="1">#REF!</definedName>
    <definedName name="dsfj" hidden="1">#REF!</definedName>
    <definedName name="dsfsd" localSheetId="0">#REF!</definedName>
    <definedName name="dsfsd">#REF!</definedName>
    <definedName name="dsw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 localSheetId="0">#N/A</definedName>
    <definedName name="dtyu">IF(Loan_Amount*Interest_Rate*Loan_Years*Loan_Start&gt;0,1,0)</definedName>
    <definedName name="Duct_Plaster" localSheetId="0">#REF!</definedName>
    <definedName name="Duct_Plaster">#REF!</definedName>
    <definedName name="e" localSheetId="0">#REF!</definedName>
    <definedName name="e">#REF!</definedName>
    <definedName name="earth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 localSheetId="0">#REF!</definedName>
    <definedName name="ee">#REF!</definedName>
    <definedName name="eeee" localSheetId="0">#REF!</definedName>
    <definedName name="eeee">#REF!</definedName>
    <definedName name="eeeeeeeeeee" localSheetId="0">#REF!</definedName>
    <definedName name="eeeeeeeeeee">#REF!</definedName>
    <definedName name="ees" localSheetId="0">#REF!</definedName>
    <definedName name="ees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nckcolumn" localSheetId="0">#REF!</definedName>
    <definedName name="enckcolumn">#REF!</definedName>
    <definedName name="End_Bal" localSheetId="0">#REF!</definedName>
    <definedName name="End_Bal">#REF!</definedName>
    <definedName name="EngAddress" localSheetId="0">#REF!</definedName>
    <definedName name="EngAddress">#REF!</definedName>
    <definedName name="EngAddress_4" localSheetId="0">#REF!</definedName>
    <definedName name="EngAddress_4">#REF!</definedName>
    <definedName name="EngAddress_6" localSheetId="0">#REF!</definedName>
    <definedName name="EngAddress_6">#REF!</definedName>
    <definedName name="EngCity" localSheetId="0">#REF!</definedName>
    <definedName name="EngCity">#REF!</definedName>
    <definedName name="EngCity_4" localSheetId="0">#REF!</definedName>
    <definedName name="EngCity_4">#REF!</definedName>
    <definedName name="EngCity_6" localSheetId="0">#REF!</definedName>
    <definedName name="EngCity_6">#REF!</definedName>
    <definedName name="EngName" localSheetId="0">#REF!</definedName>
    <definedName name="EngName">#REF!</definedName>
    <definedName name="EngName_4" localSheetId="0">#REF!</definedName>
    <definedName name="EngName_4">#REF!</definedName>
    <definedName name="EngName_6" localSheetId="0">#REF!</definedName>
    <definedName name="EngName_6">#REF!</definedName>
    <definedName name="EngPostal" localSheetId="0">#REF!</definedName>
    <definedName name="EngPostal">#REF!</definedName>
    <definedName name="EngPostal_4" localSheetId="0">#REF!</definedName>
    <definedName name="EngPostal_4">#REF!</definedName>
    <definedName name="EngPostal_6" localSheetId="0">#REF!</definedName>
    <definedName name="EngPostal_6">#REF!</definedName>
    <definedName name="EngPrio" localSheetId="0">#REF!</definedName>
    <definedName name="EngPrio">#REF!</definedName>
    <definedName name="EngPrio_4" localSheetId="0">#REF!</definedName>
    <definedName name="EngPrio_4">#REF!</definedName>
    <definedName name="EngPrio_6" localSheetId="0">#REF!</definedName>
    <definedName name="EngPrio_6">#REF!</definedName>
    <definedName name="EngPrio_Text" localSheetId="0">#REF!</definedName>
    <definedName name="EngPrio_Text">#REF!</definedName>
    <definedName name="EngPrio_Text_4" localSheetId="0">#REF!</definedName>
    <definedName name="EngPrio_Text_4">#REF!</definedName>
    <definedName name="EngPrio_Text_6" localSheetId="0">#REF!</definedName>
    <definedName name="EngPrio_Text_6">#REF!</definedName>
    <definedName name="EngState" localSheetId="0">#REF!</definedName>
    <definedName name="EngState">#REF!</definedName>
    <definedName name="EngState_4" localSheetId="0">#REF!</definedName>
    <definedName name="EngState_4">#REF!</definedName>
    <definedName name="EngState_6" localSheetId="0">#REF!</definedName>
    <definedName name="EngState_6">#REF!</definedName>
    <definedName name="enter" localSheetId="0">#REF!</definedName>
    <definedName name="enter">#REF!</definedName>
    <definedName name="eqw" localSheetId="0">#REF!</definedName>
    <definedName name="eqw">#REF!</definedName>
    <definedName name="er" localSheetId="0">#REF!</definedName>
    <definedName name="er">#REF!</definedName>
    <definedName name="ererer" localSheetId="0">#REF!</definedName>
    <definedName name="ererer">#REF!</definedName>
    <definedName name="ererwtert" localSheetId="0">#REF!</definedName>
    <definedName name="ererwtert">#REF!</definedName>
    <definedName name="eret" localSheetId="0">#REF!</definedName>
    <definedName name="eret">#REF!</definedName>
    <definedName name="erhrhjurt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localSheetId="0">#REF!</definedName>
    <definedName name="err">#REF!</definedName>
    <definedName name="erretr" localSheetId="0">#REF!</definedName>
    <definedName name="erretr">#REF!</definedName>
    <definedName name="ert" localSheetId="0">#REF!</definedName>
    <definedName name="ert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t">#N/A</definedName>
    <definedName name="EstCost" localSheetId="0">#REF!</definedName>
    <definedName name="EstCost">#REF!</definedName>
    <definedName name="EstCost_4" localSheetId="0">#REF!</definedName>
    <definedName name="EstCost_4">#REF!</definedName>
    <definedName name="EstCost_6" localSheetId="0">#REF!</definedName>
    <definedName name="EstCost_6">#REF!</definedName>
    <definedName name="esti" localSheetId="0">#REF!</definedName>
    <definedName name="esti">#REF!</definedName>
    <definedName name="estim" localSheetId="0">#REF!</definedName>
    <definedName name="estim">'[30]Cost summary'!#REF!</definedName>
    <definedName name="estimate" localSheetId="0">#REF!</definedName>
    <definedName name="estimate">#REF!</definedName>
    <definedName name="estimate1" localSheetId="0">#REF!</definedName>
    <definedName name="estimate1">#REF!</definedName>
    <definedName name="Estimation" localSheetId="0">#REF!</definedName>
    <definedName name="Estimation">#REF!</definedName>
    <definedName name="estimation1" localSheetId="0">#REF!</definedName>
    <definedName name="estimation1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ew" localSheetId="0">#REF!</definedName>
    <definedName name="etew">#REF!</definedName>
    <definedName name="etewt" localSheetId="0">#REF!</definedName>
    <definedName name="etewt">#REF!</definedName>
    <definedName name="ET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 localSheetId="0">#REF!</definedName>
    <definedName name="eu">#REF!</definedName>
    <definedName name="eu_4" localSheetId="0">#REF!</definedName>
    <definedName name="eu_4">#REF!</definedName>
    <definedName name="eu_6" localSheetId="0">#REF!</definedName>
    <definedName name="eu_6">#REF!</definedName>
    <definedName name="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 localSheetId="0">#REF!</definedName>
    <definedName name="EWEDWFRW">#REF!</definedName>
    <definedName name="ewtew" localSheetId="0">#REF!</definedName>
    <definedName name="ewtew">#REF!</definedName>
    <definedName name="exc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 localSheetId="0">#REF!</definedName>
    <definedName name="Excel_BuiltIn_Criteria">#REF!</definedName>
    <definedName name="Excel_BuiltIn_Database" localSheetId="0">#REF!</definedName>
    <definedName name="Excel_BuiltIn_Database">#REF!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4" localSheetId="0">#REF!</definedName>
    <definedName name="Excel_BuiltIn_Print_Area_4">#REF!</definedName>
    <definedName name="Excel_BuiltIn_Print_Area_4_1" localSheetId="0">#REF!</definedName>
    <definedName name="Excel_BuiltIn_Print_Area_4_1">#REF!</definedName>
    <definedName name="Excel_BuiltIn_Print_Area_5" localSheetId="0">#REF!</definedName>
    <definedName name="Excel_BuiltIn_Print_Area_5">#REF!</definedName>
    <definedName name="Excel_BuiltIn_Print_Titles" localSheetId="0">#REF!</definedName>
    <definedName name="Excel_BuiltIn_Print_Titles">#REF!</definedName>
    <definedName name="Excel_BuiltIn_Print_Titles_1_1" localSheetId="0">#REF!</definedName>
    <definedName name="Excel_BuiltIn_Print_Titles_1_1">#REF!</definedName>
    <definedName name="Excel_BuiltIn_Print_Titles_3" localSheetId="0">#REF!</definedName>
    <definedName name="Excel_BuiltIn_Print_Titles_3">'[31]INDIGINEOUS ITEMS '!#REF!</definedName>
    <definedName name="Excel_BuiltIn_Print_Titles_3_16" localSheetId="0">#REF!</definedName>
    <definedName name="Excel_BuiltIn_Print_Titles_3_16">'[31]INDIGINEOUS ITEMS '!#REF!</definedName>
    <definedName name="Excel_BuiltIn_Print_Titles_3_3" localSheetId="0">#REF!</definedName>
    <definedName name="Excel_BuiltIn_Print_Titles_3_3">'[31]INDIGINEOUS ITEMS '!#REF!</definedName>
    <definedName name="Excel_BuiltIn_Print_Titles_3_4" localSheetId="0">#REF!</definedName>
    <definedName name="Excel_BuiltIn_Print_Titles_3_4">'[9]INDIGINEOUS ITEMS '!#REF!</definedName>
    <definedName name="Excel_BuiltIn_Print_Titles_3_6" localSheetId="0">#REF!</definedName>
    <definedName name="Excel_BuiltIn_Print_Titles_3_6">'[9]INDIGINEOUS ITEMS '!#REF!</definedName>
    <definedName name="Excel_BuiltIn_Print_Titles_3_9" localSheetId="0">#REF!</definedName>
    <definedName name="Excel_BuiltIn_Print_Titles_3_9">'[31]INDIGINEOUS ITEMS '!#REF!</definedName>
    <definedName name="Excel_BuiltIn_Print_Titles_4" localSheetId="0">#REF!</definedName>
    <definedName name="Excel_BuiltIn_Print_Titles_4">#REF!</definedName>
    <definedName name="Excel_BuiltIn_Recorder" localSheetId="0">#REF!</definedName>
    <definedName name="Excel_BuiltIn_Recorder">#REF!</definedName>
    <definedName name="Exchange_rate" localSheetId="0">#REF!</definedName>
    <definedName name="Exchange_rate">#REF!</definedName>
    <definedName name="EXIT" localSheetId="0">#REF!</definedName>
    <definedName name="EXIT">#REF!</definedName>
    <definedName name="ext" localSheetId="0">#REF!</definedName>
    <definedName name="ext">#REF!</definedName>
    <definedName name="External_Plaster" localSheetId="0">#REF!</definedName>
    <definedName name="External_Plaster">#REF!</definedName>
    <definedName name="Extra_Pay" localSheetId="0">#REF!</definedName>
    <definedName name="Extra_Pay">#REF!</definedName>
    <definedName name="eyrlp" localSheetId="0">#REF!</definedName>
    <definedName name="eyrlp">#REF!</definedName>
    <definedName name="f" localSheetId="0" hidden="1">#REF!</definedName>
    <definedName name="f" hidden="1">#REF!</definedName>
    <definedName name="f534." localSheetId="0">#REF!</definedName>
    <definedName name="f534.">#REF!</definedName>
    <definedName name="facom" localSheetId="0">#REF!</definedName>
    <definedName name="facom">'[24]TBAL9697 -group wise  sdpl'!$A$34</definedName>
    <definedName name="fafur" localSheetId="0">#REF!</definedName>
    <definedName name="fafur">'[24]TBAL9697 -group wise  sdpl'!$A$34</definedName>
    <definedName name="faofeq" localSheetId="0">#REF!</definedName>
    <definedName name="faofeq">'[24]TBAL9697 -group wise  sdpl'!$A$34</definedName>
    <definedName name="faplm" localSheetId="0">#REF!</definedName>
    <definedName name="faplm">'[24]TBAL9697 -group wise  sdpl'!$A$34</definedName>
    <definedName name="fapms" localSheetId="0">#REF!</definedName>
    <definedName name="fapms">'[24]TBAL9697 -group wise  sdpl'!$A$34</definedName>
    <definedName name="faveh" localSheetId="0">#REF!</definedName>
    <definedName name="faveh">'[24]TBAL9697 -group wise  sdpl'!$A$34</definedName>
    <definedName name="Fb" localSheetId="0">#REF!</definedName>
    <definedName name="Fb">#REF!</definedName>
    <definedName name="fd" localSheetId="0">#REF!</definedName>
    <definedName name="fd">#REF!</definedName>
    <definedName name="fdasds" localSheetId="0">#REF!</definedName>
    <definedName name="fdasds">#REF!</definedName>
    <definedName name="fdghdgfh" localSheetId="0">#REF!</definedName>
    <definedName name="fdghdgfh">#REF!</definedName>
    <definedName name="fdhjfju" localSheetId="0">#REF!</definedName>
    <definedName name="fdhjfju">#REF!</definedName>
    <definedName name="FF" localSheetId="0">#REF!</definedName>
    <definedName name="FF">#REF!</definedName>
    <definedName name="FFGTET" localSheetId="0">#N/A</definedName>
    <definedName name="FFGTET">#N/A</definedName>
    <definedName name="FFL" localSheetId="0">#REF!</definedName>
    <definedName name="FFL">'[7]Column Blk 1'!$C$650</definedName>
    <definedName name="fg" localSheetId="0">#REF!</definedName>
    <definedName name="fg">#REF!</definedName>
    <definedName name="fgececf" localSheetId="0">#REF!</definedName>
    <definedName name="fgececf">#REF!</definedName>
    <definedName name="fgf" localSheetId="0">#REF!</definedName>
    <definedName name="fgf">#REF!</definedName>
    <definedName name="fgfdg" localSheetId="0" hidden="1">#REF!</definedName>
    <definedName name="fgfdg" hidden="1">#REF!</definedName>
    <definedName name="fgh" localSheetId="0">#REF!</definedName>
    <definedName name="fgh">#REF!</definedName>
    <definedName name="FGH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 localSheetId="0">#REF!</definedName>
    <definedName name="fghg">'[32]Break up Sheet'!#REF!</definedName>
    <definedName name="FGHGFH" localSheetId="0">#REF!</definedName>
    <definedName name="FGHGFH">#REF!</definedName>
    <definedName name="fgsadgsgfd" localSheetId="0">#REF!</definedName>
    <definedName name="fgsadgsgfd">#REF!</definedName>
    <definedName name="fgty" localSheetId="0">#REF!</definedName>
    <definedName name="fgty">#REF!</definedName>
    <definedName name="FH" localSheetId="0">#REF!</definedName>
    <definedName name="FH">#REF!</definedName>
    <definedName name="fhdsgbh" localSheetId="0">#REF!</definedName>
    <definedName name="fhdsgbh">#REF!</definedName>
    <definedName name="FHFGHFF" localSheetId="0">#REF!</definedName>
    <definedName name="FHFGHFF">#REF!</definedName>
    <definedName name="FHFGHGFH" localSheetId="0">#REF!</definedName>
    <definedName name="FHFGHGFH">#REF!</definedName>
    <definedName name="FHGFHFF" localSheetId="0">#REF!</definedName>
    <definedName name="FHGFHFF">#REF!</definedName>
    <definedName name="FHGFHGFH" localSheetId="0">#REF!</definedName>
    <definedName name="FHGFHGFH">'[33]Break up Sheet'!#REF!</definedName>
    <definedName name="FHJFHGFH" localSheetId="0">#REF!</definedName>
    <definedName name="FHJFHGFH">#REF!</definedName>
    <definedName name="FHNFHFHF" localSheetId="0">#REF!</definedName>
    <definedName name="FHNFHFHF">#REF!</definedName>
    <definedName name="fhryu" localSheetId="0">#REF!</definedName>
    <definedName name="fhryu">#REF!</definedName>
    <definedName name="Fhwl" localSheetId="0">#REF!</definedName>
    <definedName name="Fhwl">#REF!</definedName>
    <definedName name="fin" localSheetId="0">#REF!</definedName>
    <definedName name="fin">#REF!</definedName>
    <definedName name="Final" localSheetId="0" hidden="1">#REF!</definedName>
    <definedName name="Final" hidden="1">#REF!</definedName>
    <definedName name="finish" localSheetId="0">#REF!</definedName>
    <definedName name="finish">#REF!</definedName>
    <definedName name="FINISHES" localSheetId="0">#REF!</definedName>
    <definedName name="FINISHES">#REF!</definedName>
    <definedName name="first" localSheetId="0">#REF!</definedName>
    <definedName name="first">#REF!</definedName>
    <definedName name="firstfloor" localSheetId="0">#REF!</definedName>
    <definedName name="firstfloor">#REF!</definedName>
    <definedName name="FiscalIDNum" localSheetId="0">#REF!</definedName>
    <definedName name="FiscalIDNum">#REF!</definedName>
    <definedName name="FiscalIDNum_4" localSheetId="0">#REF!</definedName>
    <definedName name="FiscalIDNum_4">#REF!</definedName>
    <definedName name="FiscalIDNum_6" localSheetId="0">#REF!</definedName>
    <definedName name="FiscalIDNum_6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ixed" localSheetId="0">#REF!</definedName>
    <definedName name="fixed">#REF!</definedName>
    <definedName name="fixed_asset" localSheetId="0">#REF!</definedName>
    <definedName name="fixed_asset">#REF!</definedName>
    <definedName name="fj" localSheetId="0">#REF!</definedName>
    <definedName name="fj">#REF!</definedName>
    <definedName name="flag1" localSheetId="0">#REF!</definedName>
    <definedName name="flag1">#REF!</definedName>
    <definedName name="FLG" localSheetId="0">#REF!</definedName>
    <definedName name="FLG">'[7]Column Blk 1'!$C$23</definedName>
    <definedName name="Floor" localSheetId="0">#REF!</definedName>
    <definedName name="Floor">#REF!</definedName>
    <definedName name="flr.tile" localSheetId="0">#REF!</definedName>
    <definedName name="flr.tile">#REF!</definedName>
    <definedName name="fn" localSheetId="0">#REF!</definedName>
    <definedName name="fn">#REF!</definedName>
    <definedName name="fo" localSheetId="0">#REF!</definedName>
    <definedName name="fo">#REF!</definedName>
    <definedName name="foo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 localSheetId="0">#REF!</definedName>
    <definedName name="Footing">'[34]Break up Sheet'!#REF!</definedName>
    <definedName name="Footings" localSheetId="0">#REF!</definedName>
    <definedName name="Footings">#REF!</definedName>
    <definedName name="ForestEdge" localSheetId="0" hidden="1">#REF!</definedName>
    <definedName name="ForestEdge" hidden="1">#REF!</definedName>
    <definedName name="FormTitle" localSheetId="0">#REF!</definedName>
    <definedName name="FormTitle">#REF!</definedName>
    <definedName name="FormTitle_4" localSheetId="0">#REF!</definedName>
    <definedName name="FormTitle_4">#REF!</definedName>
    <definedName name="FormTitle_6" localSheetId="0">#REF!</definedName>
    <definedName name="FormTitle_6">#REF!</definedName>
    <definedName name="Fp" localSheetId="0">#REF!</definedName>
    <definedName name="Fp">#REF!</definedName>
    <definedName name="FQAQ" localSheetId="0">#REF!</definedName>
    <definedName name="FQAQ">#REF!</definedName>
    <definedName name="FR" localSheetId="0">#REF!</definedName>
    <definedName name="FR">#REF!</definedName>
    <definedName name="fRANCIS" localSheetId="0">#REF!</definedName>
    <definedName name="fRANCIS">#REF!</definedName>
    <definedName name="Francis." localSheetId="0">#REF!</definedName>
    <definedName name="Francis.">#REF!</definedName>
    <definedName name="fRANCU" localSheetId="0">#REF!</definedName>
    <definedName name="fRANCU">#REF!</definedName>
    <definedName name="frncis" localSheetId="0">#REF!</definedName>
    <definedName name="frncis">#REF!</definedName>
    <definedName name="frt" localSheetId="0">#REF!</definedName>
    <definedName name="frt">#REF!</definedName>
    <definedName name="Fs" localSheetId="0">#REF!</definedName>
    <definedName name="Fs">#REF!</definedName>
    <definedName name="fsaf" localSheetId="0">#REF!</definedName>
    <definedName name="fsaf">#REF!</definedName>
    <definedName name="fsds" localSheetId="0">#REF!</definedName>
    <definedName name="fsds">#REF!</definedName>
    <definedName name="fsdsdf" localSheetId="0">#REF!</definedName>
    <definedName name="fsdsdf">#REF!</definedName>
    <definedName name="fsfs" localSheetId="0" hidden="1">#REF!</definedName>
    <definedName name="fsfs" hidden="1">#REF!</definedName>
    <definedName name="fsg" localSheetId="0">#REF!</definedName>
    <definedName name="fsg">#REF!</definedName>
    <definedName name="FSRVRFR" localSheetId="0">#REF!</definedName>
    <definedName name="FSRVRFR">#REF!</definedName>
    <definedName name="FSSDD" localSheetId="0">#REF!</definedName>
    <definedName name="FSSDD">#REF!</definedName>
    <definedName name="ft" localSheetId="0">#REF!</definedName>
    <definedName name="ft">#REF!</definedName>
    <definedName name="ftg" localSheetId="0">#REF!</definedName>
    <definedName name="ftg">'[35]rcc( sub)'!#REF!</definedName>
    <definedName name="Full_Print" localSheetId="0">#REF!</definedName>
    <definedName name="Full_Print">#REF!</definedName>
    <definedName name="Funiture" localSheetId="0">#REF!</definedName>
    <definedName name="Funiture">#REF!</definedName>
    <definedName name="Fv" localSheetId="0">#REF!</definedName>
    <definedName name="Fv">#REF!</definedName>
    <definedName name="FWS" localSheetId="0">#REF!</definedName>
    <definedName name="FWS">#REF!</definedName>
    <definedName name="g" localSheetId="0">#REF!</definedName>
    <definedName name="g">#REF!</definedName>
    <definedName name="g1622." localSheetId="0">#REF!</definedName>
    <definedName name="g1622.">#REF!</definedName>
    <definedName name="g2669." localSheetId="0">#REF!</definedName>
    <definedName name="g2669.">'[36]meas-wp'!#REF!</definedName>
    <definedName name="g2707." localSheetId="0">#REF!</definedName>
    <definedName name="g2707.">#REF!</definedName>
    <definedName name="G31j1620" localSheetId="0">#REF!</definedName>
    <definedName name="G31j1620">#REF!</definedName>
    <definedName name="G345d58" localSheetId="0">#REF!</definedName>
    <definedName name="G345d58">#REF!</definedName>
    <definedName name="g452." localSheetId="0">#REF!</definedName>
    <definedName name="g452.">#REF!</definedName>
    <definedName name="GA_1" localSheetId="0">#REF!</definedName>
    <definedName name="GA_1">#REF!</definedName>
    <definedName name="GA_2" localSheetId="0">#REF!</definedName>
    <definedName name="GA_2">#REF!</definedName>
    <definedName name="gala135" localSheetId="0">#REF!</definedName>
    <definedName name="gala135">#REF!</definedName>
    <definedName name="gama" localSheetId="0">#REF!</definedName>
    <definedName name="gama">#REF!</definedName>
    <definedName name="gamah" localSheetId="0">#REF!</definedName>
    <definedName name="gamah">#REF!</definedName>
    <definedName name="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 localSheetId="0">#REF!</definedName>
    <definedName name="gdg">#REF!</definedName>
    <definedName name="g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 localSheetId="0">#REF!</definedName>
    <definedName name="general">#REF!</definedName>
    <definedName name="ger" localSheetId="0">#REF!</definedName>
    <definedName name="ger">#REF!</definedName>
    <definedName name="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 localSheetId="0">#REF!</definedName>
    <definedName name="gfhfdgthj">#REF!</definedName>
    <definedName name="gfu" localSheetId="0">#REF!</definedName>
    <definedName name="gfu">'[13]Structure Bills Qty'!$A$6:$M$13</definedName>
    <definedName name="ggg" localSheetId="0" hidden="1">#REF!</definedName>
    <definedName name="ggg" hidden="1">#REF!</definedName>
    <definedName name="ggggggggggg" localSheetId="0">#REF!</definedName>
    <definedName name="ggggggggggg">#REF!</definedName>
    <definedName name="ggrtr" localSheetId="0">#REF!</definedName>
    <definedName name="ggrtr">#REF!</definedName>
    <definedName name="gh" localSheetId="0">#REF!</definedName>
    <definedName name="gh">#REF!</definedName>
    <definedName name="gherh" localSheetId="0">Scheduled_Payment+Extra_Payment</definedName>
    <definedName name="gherh">[18]!_______________b1+Extra_Payment</definedName>
    <definedName name="ghfghgfjfjgfjgfjgf" localSheetId="0" hidden="1">#REF!</definedName>
    <definedName name="ghfghgfjfjgfjgfjgf" hidden="1">#REF!</definedName>
    <definedName name="ghjfhfhl" localSheetId="0">#REF!</definedName>
    <definedName name="ghjfhfhl">#REF!</definedName>
    <definedName name="ghjhjh" localSheetId="0" hidden="1">#REF!</definedName>
    <definedName name="ghjhjh" hidden="1">#REF!</definedName>
    <definedName name="ghjkhkj">#N/A</definedName>
    <definedName name="GHJT" localSheetId="0">#REF!</definedName>
    <definedName name="GHJT">#REF!</definedName>
    <definedName name="gj" localSheetId="0">#REF!</definedName>
    <definedName name="gj">#REF!</definedName>
    <definedName name="gk" localSheetId="0">#REF!</definedName>
    <definedName name="gk">#REF!</definedName>
    <definedName name="GL" localSheetId="0">#REF!</definedName>
    <definedName name="GL">'[7]Swimming pool'!$D$16</definedName>
    <definedName name="GLAND" localSheetId="0">#REF!</definedName>
    <definedName name="GLAND">#REF!</definedName>
    <definedName name="gm" localSheetId="0">#REF!</definedName>
    <definedName name="gm">#REF!</definedName>
    <definedName name="GMAmount" localSheetId="0">#REF!</definedName>
    <definedName name="GMAmount">#REF!</definedName>
    <definedName name="GMAmount_4" localSheetId="0">#REF!</definedName>
    <definedName name="GMAmount_4">#REF!</definedName>
    <definedName name="GMAmount_6" localSheetId="0">#REF!</definedName>
    <definedName name="GMAmount_6">#REF!</definedName>
    <definedName name="GMPercent" localSheetId="0">#REF!</definedName>
    <definedName name="GMPercent">#REF!</definedName>
    <definedName name="GMPercent_4" localSheetId="0">#REF!</definedName>
    <definedName name="GMPercent_4">#REF!</definedName>
    <definedName name="GMPercent_6" localSheetId="0">#REF!</definedName>
    <definedName name="GMPercent_6">#REF!</definedName>
    <definedName name="gnotes" localSheetId="0">#REF!</definedName>
    <definedName name="gnotes">[37]Conc!$A$1:$Q$55</definedName>
    <definedName name="gopi" localSheetId="0">#REF!</definedName>
    <definedName name="gopi">#REF!</definedName>
    <definedName name="Group1" localSheetId="0">#REF!</definedName>
    <definedName name="Group1">#REF!</definedName>
    <definedName name="Group2" localSheetId="0">#REF!</definedName>
    <definedName name="Group2">#REF!</definedName>
    <definedName name="Group3" localSheetId="0">#REF!</definedName>
    <definedName name="Group3">#REF!</definedName>
    <definedName name="Group4" localSheetId="0">#REF!</definedName>
    <definedName name="Group4">#REF!</definedName>
    <definedName name="gs" localSheetId="0">#REF!</definedName>
    <definedName name="gs">#REF!</definedName>
    <definedName name="GSDFSDF" localSheetId="0">#REF!</definedName>
    <definedName name="GSDFSDF">#REF!</definedName>
    <definedName name="gsgfrr" localSheetId="0">#N/A</definedName>
    <definedName name="gsgfrr">DATE(YEAR(Loan_Start),MONTH(Loan_Start)+Payment_Number,DAY(Loan_Start))</definedName>
    <definedName name="gt" localSheetId="0">#REF!</definedName>
    <definedName name="gt">'[7]Column Blk 1'!$D$18</definedName>
    <definedName name="gyp" localSheetId="0">#REF!</definedName>
    <definedName name="gyp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" localSheetId="0">#REF!</definedName>
    <definedName name="H0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608." localSheetId="0">#REF!</definedName>
    <definedName name="h608.">'[38]EST-CIVIL'!#REF!</definedName>
    <definedName name="h974\">#REF!</definedName>
    <definedName name="Hafeez" localSheetId="0">#REF!</definedName>
    <definedName name="Hafeez">#REF!</definedName>
    <definedName name="handrail" localSheetId="0">#REF!</definedName>
    <definedName name="handrail">#REF!</definedName>
    <definedName name="handrails" localSheetId="0">#REF!</definedName>
    <definedName name="handrails">#REF!</definedName>
    <definedName name="handrails\" localSheetId="0">#REF!</definedName>
    <definedName name="handrails\">#REF!</definedName>
    <definedName name="HARI" localSheetId="0">#REF!</definedName>
    <definedName name="HARI">#REF!</definedName>
    <definedName name="hatmy145" localSheetId="0">#REF!</definedName>
    <definedName name="hatmy145">'[5]BILL COV'!#REF!</definedName>
    <definedName name="hb" localSheetId="0">#REF!</definedName>
    <definedName name="hb">'[39]final estimate'!#REF!</definedName>
    <definedName name="head" localSheetId="0">#N/A</definedName>
    <definedName name="head">DATE(YEAR(Loan_Start),MONTH(Loan_Start)+Payment_Number,DAY(Loan_Start))</definedName>
    <definedName name="Header_Row" localSheetId="0">ROW(#REF!)</definedName>
    <definedName name="Header_Row">ROW(#REF!)</definedName>
    <definedName name="Headings" localSheetId="0">#REF!</definedName>
    <definedName name="Headings">[40]Headings!$A$2:$K$123</definedName>
    <definedName name="Headings_16" localSheetId="0">#REF!</definedName>
    <definedName name="Headings_16">[40]Headings!$A$2:$K$123</definedName>
    <definedName name="Headings_3" localSheetId="0">#REF!</definedName>
    <definedName name="Headings_3">[40]Headings!$A$2:$K$123</definedName>
    <definedName name="Headings_4" localSheetId="0">#REF!</definedName>
    <definedName name="Headings_4">[10]Headings!$A$2:$K$123</definedName>
    <definedName name="Headings_6" localSheetId="0">#REF!</definedName>
    <definedName name="Headings_6">[10]Headings!$A$2:$K$123</definedName>
    <definedName name="Headings_9" localSheetId="0">#REF!</definedName>
    <definedName name="Headings_9">[40]Headings!$A$2:$K$123</definedName>
    <definedName name="hf" localSheetId="0">#REF!</definedName>
    <definedName name="hf">#REF!</definedName>
    <definedName name="hgg" localSheetId="0">#REF!</definedName>
    <definedName name="hgg">#REF!</definedName>
    <definedName name="hgjjjgfj" localSheetId="0">#REF!</definedName>
    <definedName name="hgjjjgfj">#REF!</definedName>
    <definedName name="h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 localSheetId="0">#REF!</definedName>
    <definedName name="hi">#REF!</definedName>
    <definedName name="HINDHUSTAN" localSheetId="0">#REF!</definedName>
    <definedName name="HINDHUSTAN">#REF!</definedName>
    <definedName name="HIns" localSheetId="0">#REF!</definedName>
    <definedName name="HIns">#REF!</definedName>
    <definedName name="hj" localSheetId="0" hidden="1">#REF!</definedName>
    <definedName name="hj" hidden="1">#REF!</definedName>
    <definedName name="HJGFJSDGHJ">#N/A</definedName>
    <definedName name="hjk" localSheetId="0">#REF!</definedName>
    <definedName name="hjk">#REF!</definedName>
    <definedName name="hjkhjk" localSheetId="0">#REF!</definedName>
    <definedName name="hjkhjk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rn_Speaker" localSheetId="0">#REF!</definedName>
    <definedName name="Horn_Speaker">#REF!</definedName>
    <definedName name="Housekeeping" localSheetId="0">#REF!</definedName>
    <definedName name="Housekeeping">#REF!</definedName>
    <definedName name="hr" localSheetId="0">#REF!</definedName>
    <definedName name="hr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xb" localSheetId="0">#REF!</definedName>
    <definedName name="hxb">#REF!</definedName>
    <definedName name="hxi" localSheetId="0">#REF!</definedName>
    <definedName name="hxi">#REF!</definedName>
    <definedName name="h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e" localSheetId="0">#REF!</definedName>
    <definedName name="ie">#REF!</definedName>
    <definedName name="If" localSheetId="0">#REF!</definedName>
    <definedName name="If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hkjhkj" localSheetId="0">#REF!</definedName>
    <definedName name="ihkjhkj">#REF!</definedName>
    <definedName name="iii" localSheetId="0">#REF!</definedName>
    <definedName name="iii">#REF!</definedName>
    <definedName name="iiiiiiiiiii" localSheetId="0">#REF!</definedName>
    <definedName name="iiiiiiiiiii">#REF!</definedName>
    <definedName name="iju" localSheetId="0">#REF!</definedName>
    <definedName name="iju">#REF!</definedName>
    <definedName name="ik" localSheetId="0">#REF!</definedName>
    <definedName name="ik">#REF!</definedName>
    <definedName name="IN" localSheetId="0">#REF!</definedName>
    <definedName name="IN">#REF!</definedName>
    <definedName name="income" localSheetId="0">#REF!</definedName>
    <definedName name="income">#REF!</definedName>
    <definedName name="indf" localSheetId="0">#REF!</definedName>
    <definedName name="indf">#REF!</definedName>
    <definedName name="indf_4" localSheetId="0">#REF!</definedName>
    <definedName name="indf_4">#REF!</definedName>
    <definedName name="indf_6" localSheetId="0">#REF!</definedName>
    <definedName name="indf_6">#REF!</definedName>
    <definedName name="indu" localSheetId="0">#REF!</definedName>
    <definedName name="indu">#REF!</definedName>
    <definedName name="INFRASTRUCTURE_ENTRY" localSheetId="0">#REF!</definedName>
    <definedName name="INFRASTRUCTURE_ENTRY">#REF!</definedName>
    <definedName name="insert_rows_1" localSheetId="0">#REF!</definedName>
    <definedName name="insert_rows_1">'[41]Basement Budget'!#REF!</definedName>
    <definedName name="InstBillingMethod" localSheetId="0">#REF!</definedName>
    <definedName name="InstBillingMethod">#REF!</definedName>
    <definedName name="InstBillingMethod_4" localSheetId="0">#REF!</definedName>
    <definedName name="InstBillingMethod_4">#REF!</definedName>
    <definedName name="InstBillingMethod_6" localSheetId="0">#REF!</definedName>
    <definedName name="InstBillingMethod_6">#REF!</definedName>
    <definedName name="instf" localSheetId="0">#REF!</definedName>
    <definedName name="instf">#REF!</definedName>
    <definedName name="instf_4" localSheetId="0">#REF!</definedName>
    <definedName name="instf_4">#REF!</definedName>
    <definedName name="instf_6" localSheetId="0">#REF!</definedName>
    <definedName name="instf_6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Internal_Plaster" localSheetId="0">#REF!</definedName>
    <definedName name="Internal_Plaster">#REF!</definedName>
    <definedName name="inv" localSheetId="0">#REF!</definedName>
    <definedName name="inv">#REF!</definedName>
    <definedName name="INV_SCH" localSheetId="0">#REF!</definedName>
    <definedName name="INV_SCH">#REF!</definedName>
    <definedName name="investment" localSheetId="0">#REF!</definedName>
    <definedName name="investment">#REF!</definedName>
    <definedName name="ioio" localSheetId="0">#REF!</definedName>
    <definedName name="ioio">#REF!</definedName>
    <definedName name="iop" localSheetId="0">#REF!</definedName>
    <definedName name="iop">#REF!</definedName>
    <definedName name="ipip" localSheetId="0">#REF!</definedName>
    <definedName name="ipip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i" localSheetId="0">#REF!</definedName>
    <definedName name="iri">#REF!</definedName>
    <definedName name="iris" localSheetId="0">#REF!</definedName>
    <definedName name="iris">#REF!</definedName>
    <definedName name="Is" localSheetId="0">#REF!</definedName>
    <definedName name="Is">#REF!</definedName>
    <definedName name="iui" localSheetId="0">#REF!</definedName>
    <definedName name="iui">#REF!</definedName>
    <definedName name="IV" localSheetId="0">#REF!</definedName>
    <definedName name="IV">#REF!</definedName>
    <definedName name="iyui" localSheetId="0">#REF!</definedName>
    <definedName name="iyui">#REF!</definedName>
    <definedName name="j" localSheetId="0" hidden="1">#REF!</definedName>
    <definedName name="j" hidden="1">#REF!</definedName>
    <definedName name="jas" localSheetId="0">#REF!</definedName>
    <definedName name="jas">#REF!</definedName>
    <definedName name="jaspre" localSheetId="0">#REF!</definedName>
    <definedName name="jaspre">#REF!</definedName>
    <definedName name="jbhjb" localSheetId="0">#REF!</definedName>
    <definedName name="jbhjb">#REF!</definedName>
    <definedName name="jbvhbvh" localSheetId="0">#REF!</definedName>
    <definedName name="jbvhbvh">#REF!</definedName>
    <definedName name="jd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eri" localSheetId="0">#REF!</definedName>
    <definedName name="jeri">#REF!</definedName>
    <definedName name="jfjh" localSheetId="0" hidden="1">#REF!</definedName>
    <definedName name="jfjh" hidden="1">#REF!</definedName>
    <definedName name="jfjy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 localSheetId="0">#REF!</definedName>
    <definedName name="jgjk">#REF!</definedName>
    <definedName name="jhjyhj" localSheetId="0">#REF!</definedName>
    <definedName name="jhjyhj">#REF!</definedName>
    <definedName name="jhkl" localSheetId="0">#REF!</definedName>
    <definedName name="jhkl">#REF!</definedName>
    <definedName name="jj" localSheetId="0">#REF!</definedName>
    <definedName name="jj">#REF!</definedName>
    <definedName name="jjj" localSheetId="0">#REF!</definedName>
    <definedName name="jjj">#REF!</definedName>
    <definedName name="jjjjjjjjjj" localSheetId="0">#REF!</definedName>
    <definedName name="jjjjjjjjjj">#REF!</definedName>
    <definedName name="jjk" localSheetId="0">#REF!</definedName>
    <definedName name="jjk">'[17]Break up Sheet'!#REF!</definedName>
    <definedName name="jk" localSheetId="0">#REF!</definedName>
    <definedName name="jk">#REF!</definedName>
    <definedName name="jkkkj" localSheetId="0" hidden="1">#REF!</definedName>
    <definedName name="jkkkj" hidden="1">#REF!</definedName>
    <definedName name="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 localSheetId="0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ui" localSheetId="0">#REF!</definedName>
    <definedName name="jui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1_table" localSheetId="0">#REF!</definedName>
    <definedName name="k1_table">#REF!</definedName>
    <definedName name="k1x" localSheetId="0">#REF!</definedName>
    <definedName name="k1x">[12]Design!#REF!</definedName>
    <definedName name="k1y" localSheetId="0">#REF!</definedName>
    <definedName name="k1y">[12]Design!#REF!</definedName>
    <definedName name="k2x" localSheetId="0">#REF!</definedName>
    <definedName name="k2x">[12]Design!#REF!</definedName>
    <definedName name="k2y" localSheetId="0">#REF!</definedName>
    <definedName name="k2y">[12]Design!#REF!</definedName>
    <definedName name="ka" localSheetId="0">#REF!</definedName>
    <definedName name="ka">#REF!</definedName>
    <definedName name="kaja" localSheetId="0">#REF!</definedName>
    <definedName name="kaja">#REF!</definedName>
    <definedName name="kan" localSheetId="0">#REF!</definedName>
    <definedName name="kan">#REF!</definedName>
    <definedName name="kanch" localSheetId="0">#REF!</definedName>
    <definedName name="kanch">'[42]Break up Sheet'!#REF!</definedName>
    <definedName name="KARNA" localSheetId="0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it" localSheetId="0">#REF!</definedName>
    <definedName name="kit">#REF!</definedName>
    <definedName name="kj" localSheetId="0">#REF!</definedName>
    <definedName name="kj">'[21]Labor abs-PW'!$A$20:$IV$20</definedName>
    <definedName name="kjbkjh" localSheetId="0">#REF!</definedName>
    <definedName name="kjbkjh">#REF!</definedName>
    <definedName name="kjdnfdf" localSheetId="0">#REF!</definedName>
    <definedName name="kjdnfdf">#REF!</definedName>
    <definedName name="kjh" localSheetId="0">#REF!</definedName>
    <definedName name="kjh">#REF!</definedName>
    <definedName name="k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 localSheetId="0">#REF!</definedName>
    <definedName name="kk">#REF!</definedName>
    <definedName name="kkkj" localSheetId="0" hidden="1">#REF!</definedName>
    <definedName name="kkkj" hidden="1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abourrate" localSheetId="0">#REF!</definedName>
    <definedName name="labourrate">'[8]MASTER_RATE ANALYSIS'!$A$184:$G$345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nd_adv" localSheetId="0">#REF!</definedName>
    <definedName name="Land_adv">#REF!</definedName>
    <definedName name="landscape" localSheetId="0">#REF!</definedName>
    <definedName name="landscape">#REF!</definedName>
    <definedName name="landscpe" localSheetId="0">#REF!</definedName>
    <definedName name="landscpe">#REF!</definedName>
    <definedName name="lasdk" localSheetId="0">#REF!</definedName>
    <definedName name="lasdk">'[13]Structure Bills Qty'!$A$1:$IV$3</definedName>
    <definedName name="Last_Row" localSheetId="0">IF('Beam - Clubhouse'!Values_Entered,'Beam - Clubhouse'!Header_Row+'Beam - Clubhouse'!Number_of_Payments,'Beam - Clubhouse'!Header_Row)</definedName>
    <definedName name="Last_Row">#N/A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AR100" localSheetId="0">#REF!</definedName>
    <definedName name="LCAR100">#REF!</definedName>
    <definedName name="Lead" localSheetId="0">#REF!</definedName>
    <definedName name="Lead">#REF!</definedName>
    <definedName name="leela" localSheetId="0">#REF!</definedName>
    <definedName name="leela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G_1" localSheetId="0">#REF!</definedName>
    <definedName name="LG_1">#REF!</definedName>
    <definedName name="LGF" localSheetId="0">#REF!</definedName>
    <definedName name="LGF">'[7]Column Blk 1'!$C$324</definedName>
    <definedName name="lhuuioyhuyhui" localSheetId="0">#REF!</definedName>
    <definedName name="lhuuioyhuyhui">'[26]RENT MASTER FILE'!#REF!</definedName>
    <definedName name="limcount" hidden="1">1</definedName>
    <definedName name="li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localSheetId="0" hidden="1">#REF!</definedName>
    <definedName name="lll" hidden="1">#REF!</definedName>
    <definedName name="lo" localSheetId="0">#REF!</definedName>
    <definedName name="lo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ans_adv" localSheetId="0">#REF!</definedName>
    <definedName name="loans_adv">#REF!</definedName>
    <definedName name="LOCAL_STAFF" localSheetId="0">#REF!</definedName>
    <definedName name="LOCAL_STAFF">#REF!</definedName>
    <definedName name="LOCAL_STAFF_ENTRY" localSheetId="0">#REF!</definedName>
    <definedName name="LOCAL_STAFF_ENTRY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rt" localSheetId="0">#REF!</definedName>
    <definedName name="lrt">#REF!</definedName>
    <definedName name="LSD_4100" localSheetId="0">#REF!</definedName>
    <definedName name="LSD_4100">#REF!</definedName>
    <definedName name="lsest" localSheetId="0">#REF!</definedName>
    <definedName name="lsest">#REF!</definedName>
    <definedName name="lshead" localSheetId="0">#REF!</definedName>
    <definedName name="lshead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mp_Sum_Discount" localSheetId="0">#REF!</definedName>
    <definedName name="Lump_Sum_Discount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1x" localSheetId="0">#REF!</definedName>
    <definedName name="M1x">[12]Design!#REF!</definedName>
    <definedName name="M1y" localSheetId="0">#REF!</definedName>
    <definedName name="M1y">[12]Design!#REF!</definedName>
    <definedName name="M2x" localSheetId="0">#REF!</definedName>
    <definedName name="M2x">[12]Design!#REF!</definedName>
    <definedName name="M2y" localSheetId="0">#REF!</definedName>
    <definedName name="M2y">[12]Design!#REF!</definedName>
    <definedName name="MACHINE_EQUIPMENT" localSheetId="0">#REF!</definedName>
    <definedName name="MACHINE_EQUIPMENT">#REF!</definedName>
    <definedName name="MACHINE_EQUIPMENT_ENTRY" localSheetId="0">#REF!</definedName>
    <definedName name="MACHINE_EQUIPMENT_ENTRY">#REF!</definedName>
    <definedName name="Macro1" localSheetId="0">#REF!</definedName>
    <definedName name="Macro1">#REF!</definedName>
    <definedName name="Macro2" localSheetId="0">#REF!</definedName>
    <definedName name="Macro2">#REF!</definedName>
    <definedName name="macrocopy" localSheetId="0">#N/A</definedName>
    <definedName name="macrocopy">IF(Loan_Amount*Interest_Rate*Loan_Years*Loan_Start&gt;0,1,0)</definedName>
    <definedName name="m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 localSheetId="0">#REF!</definedName>
    <definedName name="Maiantrev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nhole" localSheetId="0">#REF!</definedName>
    <definedName name="manhole">#REF!</definedName>
    <definedName name="manish" localSheetId="0">#REF!</definedName>
    <definedName name="manish">#REF!</definedName>
    <definedName name="MarketType" localSheetId="0">#REF!</definedName>
    <definedName name="MarketType">#REF!</definedName>
    <definedName name="MarketType_4" localSheetId="0">#REF!</definedName>
    <definedName name="MarketType_4">#REF!</definedName>
    <definedName name="MarketType_6" localSheetId="0">#REF!</definedName>
    <definedName name="MarketType_6">#REF!</definedName>
    <definedName name="MarketType_Text" localSheetId="0">#REF!</definedName>
    <definedName name="MarketType_Text">#REF!</definedName>
    <definedName name="MarketType_Text_4" localSheetId="0">#REF!</definedName>
    <definedName name="MarketType_Text_4">#REF!</definedName>
    <definedName name="MarketType_Text_6" localSheetId="0">#REF!</definedName>
    <definedName name="MarketType_Text_6">#REF!</definedName>
    <definedName name="Masonary" localSheetId="0">#REF!</definedName>
    <definedName name="Masonary">'[43]Builtup Area'!#REF!</definedName>
    <definedName name="masterlist">#N/A</definedName>
    <definedName name="Mat" localSheetId="0">#REF!</definedName>
    <definedName name="Mat">'[42]Break up Sheet'!#REF!</definedName>
    <definedName name="Material_rate_entry" localSheetId="0">#REF!</definedName>
    <definedName name="Material_rate_entry">#REF!</definedName>
    <definedName name="MATV" localSheetId="0">#REF!</definedName>
    <definedName name="MATV">#REF!</definedName>
    <definedName name="mayflower" localSheetId="0">#REF!</definedName>
    <definedName name="mayflower">#REF!</definedName>
    <definedName name="MDF" localSheetId="0">#REF!</definedName>
    <definedName name="MDF">#REF!</definedName>
    <definedName name="meest" localSheetId="0">#REF!</definedName>
    <definedName name="meest">#REF!</definedName>
    <definedName name="mehead" localSheetId="0">#REF!</definedName>
    <definedName name="mehead">#REF!</definedName>
    <definedName name="mena" localSheetId="0">#REF!</definedName>
    <definedName name="mena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IS" localSheetId="0">#N/A</definedName>
    <definedName name="MIS">DATE(YEAR(Loan_Start),MONTH(Loan_Start)+Payment_Number,DAY(Loan_Start))</definedName>
    <definedName name="mm" localSheetId="0">#REF!</definedName>
    <definedName name="mm">#REF!</definedName>
    <definedName name="mmm" localSheetId="0">#REF!</definedName>
    <definedName name="mmm">#REF!</definedName>
    <definedName name="mmmmmmmmmm" localSheetId="0">#REF!</definedName>
    <definedName name="mmmmmmmmmm">#REF!</definedName>
    <definedName name="mnvgdg" localSheetId="0">#REF!</definedName>
    <definedName name="mnvgdg">#REF!</definedName>
    <definedName name="mobi" localSheetId="0">#REF!</definedName>
    <definedName name="mobi">#REF!</definedName>
    <definedName name="Mobilization" localSheetId="0">#REF!</definedName>
    <definedName name="Mobilization">#REF!</definedName>
    <definedName name="Month1_Ending_Bal" localSheetId="0">#REF!</definedName>
    <definedName name="Month1_Ending_Bal">#REF!</definedName>
    <definedName name="Month2_Ending_Bal" localSheetId="0">#REF!</definedName>
    <definedName name="Month2_Ending_Bal">#REF!</definedName>
    <definedName name="Month3_Ending_Bal" localSheetId="0">#REF!</definedName>
    <definedName name="Month3_Ending_Bal">#REF!</definedName>
    <definedName name="Month4_Ending_Bal" localSheetId="0">#REF!</definedName>
    <definedName name="Month4_Ending_Bal">#REF!</definedName>
    <definedName name="Month5_Ending_Bal" localSheetId="0">#REF!</definedName>
    <definedName name="Month5_Ending_Bal">#REF!</definedName>
    <definedName name="Month6_Ending_Bal" localSheetId="0">#REF!</definedName>
    <definedName name="Month6_Ending_Bal">#REF!</definedName>
    <definedName name="MP" localSheetId="0" hidden="1">#REF!</definedName>
    <definedName name="MP" hidden="1">#REF!</definedName>
    <definedName name="ms" localSheetId="0">#REF!</definedName>
    <definedName name="ms">'[13]Structure Bills Qty'!$A$1:$IV$3</definedName>
    <definedName name="MT_1" localSheetId="0">#REF!</definedName>
    <definedName name="MT_1">#REF!</definedName>
    <definedName name="MT_2" localSheetId="0">#REF!</definedName>
    <definedName name="MT_2">#REF!</definedName>
    <definedName name="MT_3" localSheetId="0">#REF!</definedName>
    <definedName name="MT_3">#REF!</definedName>
    <definedName name="MTV" localSheetId="0">#REF!</definedName>
    <definedName name="MTV">#REF!</definedName>
    <definedName name="MV_1" localSheetId="0">#REF!</definedName>
    <definedName name="MV_1">#REF!</definedName>
    <definedName name="MV_2" localSheetId="0">#REF!</definedName>
    <definedName name="MV_2">#REF!</definedName>
    <definedName name="MV_3" localSheetId="0">#REF!</definedName>
    <definedName name="MV_3">#REF!</definedName>
    <definedName name="MV_4" localSheetId="0">#REF!</definedName>
    <definedName name="MV_4">#REF!</definedName>
    <definedName name="MV_5" localSheetId="0">#REF!</definedName>
    <definedName name="MV_5">#REF!</definedName>
    <definedName name="n" localSheetId="0">MATCH(0.01,'Beam - Clubhouse'!End_Bal,-1)+1</definedName>
    <definedName name="n">MATCH(0.01,End_Bal,-1)+1</definedName>
    <definedName name="N___0" localSheetId="0">#REF!</definedName>
    <definedName name="N___0">#REF!</definedName>
    <definedName name="N___13" localSheetId="0">#REF!</definedName>
    <definedName name="N___13">#REF!</definedName>
    <definedName name="nagapp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 localSheetId="0">#REF!</definedName>
    <definedName name="nbk">#REF!</definedName>
    <definedName name="NBMF" localSheetId="0">#REF!</definedName>
    <definedName name="NBMF">#REF!</definedName>
    <definedName name="Neck" localSheetId="0">#REF!</definedName>
    <definedName name="Neck">#REF!</definedName>
    <definedName name="NEW" localSheetId="0">#REF!</definedName>
    <definedName name="NEW">#REF!</definedName>
    <definedName name="nmmn" localSheetId="0">#REF!</definedName>
    <definedName name="nmmn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nn" localSheetId="0">#REF!</definedName>
    <definedName name="nnn">#REF!</definedName>
    <definedName name="no" localSheetId="0">#REF!</definedName>
    <definedName name="no">[16]Slab!#REF!</definedName>
    <definedName name="nonmodular" localSheetId="0">#REF!</definedName>
    <definedName name="nonmodular">#REF!</definedName>
    <definedName name="nonmodular_4" localSheetId="0">#REF!</definedName>
    <definedName name="nonmodular_4">#REF!</definedName>
    <definedName name="nonmodular_6" localSheetId="0">#REF!</definedName>
    <definedName name="nonmodular_6">#REF!</definedName>
    <definedName name="NOT_SPECIFIED" localSheetId="0">#REF!</definedName>
    <definedName name="NOT_SPECIFIED">#REF!</definedName>
    <definedName name="not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 localSheetId="0">#REF!</definedName>
    <definedName name="ntesu">#REF!</definedName>
    <definedName name="Num_Pmt_Per_Year" localSheetId="0">#REF!</definedName>
    <definedName name="Num_Pmt_Per_Year">#REF!</definedName>
    <definedName name="Number_of_Payments" localSheetId="0">MATCH(0.01,'Beam - Clubhouse'!End_Bal,-1)+1</definedName>
    <definedName name="Number_of_Payments">MATCH(0.01,End_Bal,-1)+1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o" localSheetId="0">#REF!</definedName>
    <definedName name="o">#REF!</definedName>
    <definedName name="obpl" localSheetId="0">#REF!</definedName>
    <definedName name="obpl">#REF!</definedName>
    <definedName name="octf" localSheetId="0">#REF!</definedName>
    <definedName name="octf">#REF!</definedName>
    <definedName name="OfficeBoys" localSheetId="0">#REF!</definedName>
    <definedName name="OfficeBoys">#REF!</definedName>
    <definedName name="oio" localSheetId="0">#REF!</definedName>
    <definedName name="oio">#REF!</definedName>
    <definedName name="oipo" localSheetId="0">#REF!</definedName>
    <definedName name="oipo">#REF!</definedName>
    <definedName name="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 localSheetId="0">#REF!</definedName>
    <definedName name="ool">#REF!</definedName>
    <definedName name="ooooooooo" localSheetId="0">#REF!</definedName>
    <definedName name="ooooooooo">#REF!</definedName>
    <definedName name="ooopp" localSheetId="0">#REF!</definedName>
    <definedName name="ooopp">#REF!</definedName>
    <definedName name="Open" localSheetId="0">#REF!</definedName>
    <definedName name="Open">#REF!</definedName>
    <definedName name="option22" localSheetId="0">#REF!</definedName>
    <definedName name="option22">#REF!</definedName>
    <definedName name="osdnvkls" localSheetId="0" hidden="1">#REF!</definedName>
    <definedName name="osdnvkls" hidden="1">#REF!</definedName>
    <definedName name="OVER_HEADS_ENTRY" localSheetId="0">#REF!</definedName>
    <definedName name="OVER_HEADS_ENTRY">#REF!</definedName>
    <definedName name="Overall_Summary_Title" localSheetId="0">#REF!</definedName>
    <definedName name="Overall_Summary_Title">#REF!</definedName>
    <definedName name="OVERHEADS" localSheetId="0">#REF!</definedName>
    <definedName name="OVERHEADS">#REF!</definedName>
    <definedName name="OwnAcctNum" localSheetId="0">#REF!</definedName>
    <definedName name="OwnAcctNum">#REF!</definedName>
    <definedName name="OwnAcctNum_4" localSheetId="0">#REF!</definedName>
    <definedName name="OwnAcctNum_4">#REF!</definedName>
    <definedName name="OwnAcctNum_6" localSheetId="0">#REF!</definedName>
    <definedName name="OwnAcctNum_6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r">#N/A</definedName>
    <definedName name="part" localSheetId="0">#REF!</definedName>
    <definedName name="part">'[25]RA-markate'!$A$389:$B$1034</definedName>
    <definedName name="paul">50000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DATE(YEAR('Beam - Clubhouse'!Loan_Start),MONTH('Beam - Clubhouse'!Loan_Start)+Payment_Number,DAY('Beam - Clubhouse'!Loan_Start))</definedName>
    <definedName name="Payment_Date">DATE(YEAR(Loan_Start),MONTH(Loan_Start)+Payment_Number,DAY(Loan_Start))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ILL" localSheetId="0">#REF!</definedName>
    <definedName name="PBILL">#REF!</definedName>
    <definedName name="Pbx" localSheetId="0">#REF!</definedName>
    <definedName name="Pbx">[12]Design!#REF!</definedName>
    <definedName name="Pby" localSheetId="0">#REF!</definedName>
    <definedName name="Pby">[12]Design!#REF!</definedName>
    <definedName name="PCC" localSheetId="0">#REF!</definedName>
    <definedName name="PCC">'[44]RCC,Ret. Wall'!#REF!</definedName>
    <definedName name="pd" localSheetId="0">#REF!</definedName>
    <definedName name="pd">'[7]Beam FF,SF Blk 1'!$D$22</definedName>
    <definedName name="PD_1" localSheetId="0">#REF!</definedName>
    <definedName name="PD_1">#REF!</definedName>
    <definedName name="PEDESTAL" localSheetId="0">#REF!</definedName>
    <definedName name="PEDESTAL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aseCode" localSheetId="0">#REF!</definedName>
    <definedName name="PhaseCode">#REF!</definedName>
    <definedName name="pioi" localSheetId="0">#REF!</definedName>
    <definedName name="pioi">#REF!</definedName>
    <definedName name="PL_1" localSheetId="0">#REF!</definedName>
    <definedName name="PL_1">#REF!</definedName>
    <definedName name="Plant" localSheetId="0">#REF!</definedName>
    <definedName name="Plant">#REF!</definedName>
    <definedName name="plants" localSheetId="0">#REF!</definedName>
    <definedName name="plants">#REF!</definedName>
    <definedName name="Plinth_beam" localSheetId="0">#REF!</definedName>
    <definedName name="Plinth_beam">#REF!</definedName>
    <definedName name="plumbing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 localSheetId="0">#REF!</definedName>
    <definedName name="PLYWOOD">#REF!</definedName>
    <definedName name="PM" localSheetId="0">#REF!</definedName>
    <definedName name="PM">#REF!</definedName>
    <definedName name="p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 localSheetId="0">#REF!</definedName>
    <definedName name="PO.1">#REF!</definedName>
    <definedName name="PO.2" localSheetId="0">#REF!</definedName>
    <definedName name="PO.2">#REF!</definedName>
    <definedName name="PO_1" localSheetId="0">#REF!</definedName>
    <definedName name="PO_1">#REF!</definedName>
    <definedName name="PO_2" localSheetId="0">#REF!</definedName>
    <definedName name="PO_2">#REF!</definedName>
    <definedName name="PO_3" localSheetId="0">#REF!</definedName>
    <definedName name="PO_3">#REF!</definedName>
    <definedName name="po_4" localSheetId="0">#REF!</definedName>
    <definedName name="po_4">#REF!</definedName>
    <definedName name="po_6" localSheetId="0">#REF!</definedName>
    <definedName name="po_6">#REF!</definedName>
    <definedName name="poles" localSheetId="0">#REF!</definedName>
    <definedName name="poles">'[13]Structure Bills Qty'!$A$6:$M$13</definedName>
    <definedName name="pp" localSheetId="0" hidden="1">#REF!</definedName>
    <definedName name="pp" hidden="1">#REF!</definedName>
    <definedName name="pppppppppp" localSheetId="0">#REF!</definedName>
    <definedName name="pppppppppp">#REF!</definedName>
    <definedName name="pr" localSheetId="0">#REF!</definedName>
    <definedName name="pr">#REF!</definedName>
    <definedName name="prasad145" localSheetId="0">#REF!</definedName>
    <definedName name="prasad145">#REF!</definedName>
    <definedName name="prasad146" localSheetId="0">#REF!</definedName>
    <definedName name="prasad146">#REF!</definedName>
    <definedName name="pre" localSheetId="0">#REF!</definedName>
    <definedName name="pre">#REF!</definedName>
    <definedName name="preli" localSheetId="0">#REF!</definedName>
    <definedName name="preli">#REF!</definedName>
    <definedName name="PRELIM" localSheetId="0">#REF!</definedName>
    <definedName name="PRELIM">#REF!</definedName>
    <definedName name="Preliminaries" localSheetId="0">#REF!</definedName>
    <definedName name="Preliminaries">#REF!</definedName>
    <definedName name="preliminary" localSheetId="0">#REF!</definedName>
    <definedName name="preliminary">#REF!</definedName>
    <definedName name="prelim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 localSheetId="0">#REF!</definedName>
    <definedName name="Prelm_Exp">#REF!</definedName>
    <definedName name="PREM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 localSheetId="0">#REF!</definedName>
    <definedName name="PRIME">#REF!</definedName>
    <definedName name="PrimeAddress" localSheetId="0">#REF!</definedName>
    <definedName name="PrimeAddress">#REF!</definedName>
    <definedName name="PrimeAddress_4" localSheetId="0">#REF!</definedName>
    <definedName name="PrimeAddress_4">#REF!</definedName>
    <definedName name="PrimeAddress_6" localSheetId="0">#REF!</definedName>
    <definedName name="PrimeAddress_6">#REF!</definedName>
    <definedName name="PrimeCity" localSheetId="0">#REF!</definedName>
    <definedName name="PrimeCity">#REF!</definedName>
    <definedName name="PrimeCity_4" localSheetId="0">#REF!</definedName>
    <definedName name="PrimeCity_4">#REF!</definedName>
    <definedName name="PrimeCity_6" localSheetId="0">#REF!</definedName>
    <definedName name="PrimeCity_6">#REF!</definedName>
    <definedName name="PrimeName" localSheetId="0">#REF!</definedName>
    <definedName name="PrimeName">#REF!</definedName>
    <definedName name="PrimeName_4" localSheetId="0">#REF!</definedName>
    <definedName name="PrimeName_4">#REF!</definedName>
    <definedName name="PrimeName_6" localSheetId="0">#REF!</definedName>
    <definedName name="PrimeName_6">#REF!</definedName>
    <definedName name="PrimePostal" localSheetId="0">#REF!</definedName>
    <definedName name="PrimePostal">#REF!</definedName>
    <definedName name="PrimePostal_4" localSheetId="0">#REF!</definedName>
    <definedName name="PrimePostal_4">#REF!</definedName>
    <definedName name="PrimePostal_6" localSheetId="0">#REF!</definedName>
    <definedName name="PrimePostal_6">#REF!</definedName>
    <definedName name="PrimePrio" localSheetId="0">#REF!</definedName>
    <definedName name="PrimePrio">#REF!</definedName>
    <definedName name="PrimePrio_4" localSheetId="0">#REF!</definedName>
    <definedName name="PrimePrio_4">#REF!</definedName>
    <definedName name="PrimePrio_6" localSheetId="0">#REF!</definedName>
    <definedName name="PrimePrio_6">#REF!</definedName>
    <definedName name="PrimePrio_Text" localSheetId="0">#REF!</definedName>
    <definedName name="PrimePrio_Text">#REF!</definedName>
    <definedName name="PrimePrio_Text_4" localSheetId="0">#REF!</definedName>
    <definedName name="PrimePrio_Text_4">#REF!</definedName>
    <definedName name="PrimePrio_Text_6" localSheetId="0">#REF!</definedName>
    <definedName name="PrimePrio_Text_6">#REF!</definedName>
    <definedName name="PrimeState" localSheetId="0">#REF!</definedName>
    <definedName name="PrimeState">#REF!</definedName>
    <definedName name="PrimeState_4" localSheetId="0">#REF!</definedName>
    <definedName name="PrimeState_4">#REF!</definedName>
    <definedName name="PrimeState_6" localSheetId="0">#REF!</definedName>
    <definedName name="PrimeState_6">#REF!</definedName>
    <definedName name="prin" localSheetId="0">#REF!</definedName>
    <definedName name="prin">#REF!</definedName>
    <definedName name="Princ" localSheetId="0">#REF!</definedName>
    <definedName name="Princ">#REF!</definedName>
    <definedName name="Principal" localSheetId="0">#REF!</definedName>
    <definedName name="Principal">#REF!</definedName>
    <definedName name="Print" localSheetId="0">#REF!</definedName>
    <definedName name="Print">#REF!</definedName>
    <definedName name="print_ar" localSheetId="0">#REF!</definedName>
    <definedName name="print_ar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4" localSheetId="0">#REF!</definedName>
    <definedName name="PRINT_AREA_MI_4">#REF!</definedName>
    <definedName name="PRINT_AREA_MI_6" localSheetId="0">#REF!</definedName>
    <definedName name="PRINT_AREA_MI_6">#REF!</definedName>
    <definedName name="Print_Area_Reset" localSheetId="0">OFFSET('Beam - Clubhouse'!Full_Print,0,0,'Beam - Clubhouse'!Last_Row)</definedName>
    <definedName name="Print_Area_Reset">#N/A</definedName>
    <definedName name="_xlnm.Print_Titles" localSheetId="0">#REF!</definedName>
    <definedName name="_xlnm.Print_Titles">#REF!</definedName>
    <definedName name="priya" localSheetId="0">#REF!</definedName>
    <definedName name="priya">#REF!</definedName>
    <definedName name="priya1" localSheetId="0">#REF!</definedName>
    <definedName name="priya1">'[45]Rate analysis'!$C$2</definedName>
    <definedName name="pro" localSheetId="0">'[46]Break up Sheet'!#REF!</definedName>
    <definedName name="pro">'[47]Break up Sheet'!#REF!</definedName>
    <definedName name="PROD" localSheetId="0">#REF!</definedName>
    <definedName name="PROD">#REF!</definedName>
    <definedName name="PROD_4" localSheetId="0">#REF!</definedName>
    <definedName name="PROD_4">#REF!</definedName>
    <definedName name="PROD_6" localSheetId="0">#REF!</definedName>
    <definedName name="PROD_6">#REF!</definedName>
    <definedName name="ProdCode1" localSheetId="0">#REF!</definedName>
    <definedName name="ProdCode1">#REF!</definedName>
    <definedName name="ProdCode1_4" localSheetId="0">#REF!</definedName>
    <definedName name="ProdCode1_4">#REF!</definedName>
    <definedName name="ProdCode1_6" localSheetId="0">#REF!</definedName>
    <definedName name="ProdCode1_6">#REF!</definedName>
    <definedName name="ProdCode1_Text" localSheetId="0">#REF!</definedName>
    <definedName name="ProdCode1_Text">#REF!</definedName>
    <definedName name="ProdCode1_Text_4" localSheetId="0">#REF!</definedName>
    <definedName name="ProdCode1_Text_4">#REF!</definedName>
    <definedName name="ProdCode1_Text_6" localSheetId="0">#REF!</definedName>
    <definedName name="ProdCode1_Text_6">#REF!</definedName>
    <definedName name="ProdCode2" localSheetId="0">#REF!</definedName>
    <definedName name="ProdCode2">#REF!</definedName>
    <definedName name="ProdCode2_4" localSheetId="0">#REF!</definedName>
    <definedName name="ProdCode2_4">#REF!</definedName>
    <definedName name="ProdCode2_6" localSheetId="0">#REF!</definedName>
    <definedName name="ProdCode2_6">#REF!</definedName>
    <definedName name="ProdCode2_Text" localSheetId="0">#REF!</definedName>
    <definedName name="ProdCode2_Text">#REF!</definedName>
    <definedName name="ProdCode2_Text_4" localSheetId="0">#REF!</definedName>
    <definedName name="ProdCode2_Text_4">#REF!</definedName>
    <definedName name="ProdCode2_Text_6" localSheetId="0">#REF!</definedName>
    <definedName name="ProdCode2_Text_6">#REF!</definedName>
    <definedName name="ProdCode3" localSheetId="0">#REF!</definedName>
    <definedName name="ProdCode3">#REF!</definedName>
    <definedName name="ProdCode3_4" localSheetId="0">#REF!</definedName>
    <definedName name="ProdCode3_4">#REF!</definedName>
    <definedName name="ProdCode3_6" localSheetId="0">#REF!</definedName>
    <definedName name="ProdCode3_6">#REF!</definedName>
    <definedName name="ProdCode3_Text" localSheetId="0">#REF!</definedName>
    <definedName name="ProdCode3_Text">#REF!</definedName>
    <definedName name="ProdCode3_Text_4" localSheetId="0">#REF!</definedName>
    <definedName name="ProdCode3_Text_4">#REF!</definedName>
    <definedName name="ProdCode3_Text_6" localSheetId="0">#REF!</definedName>
    <definedName name="ProdCode3_Text_6">#REF!</definedName>
    <definedName name="PRODCODE3KJGSCJKSDHCV" localSheetId="0">#REF!</definedName>
    <definedName name="PRODCODE3KJGSCJKSDHCV">#REF!</definedName>
    <definedName name="ProdCode4" localSheetId="0">#REF!</definedName>
    <definedName name="ProdCode4">#REF!</definedName>
    <definedName name="ProdCode4_4" localSheetId="0">#REF!</definedName>
    <definedName name="ProdCode4_4">#REF!</definedName>
    <definedName name="ProdCode4_6" localSheetId="0">#REF!</definedName>
    <definedName name="ProdCode4_6">#REF!</definedName>
    <definedName name="ProdCode4_Text" localSheetId="0">#REF!</definedName>
    <definedName name="ProdCode4_Text">#REF!</definedName>
    <definedName name="ProdCode4_Text_4" localSheetId="0">#REF!</definedName>
    <definedName name="ProdCode4_Text_4">#REF!</definedName>
    <definedName name="ProdCode4_Text_6" localSheetId="0">#REF!</definedName>
    <definedName name="ProdCode4_Text_6">#REF!</definedName>
    <definedName name="ProdCode5" localSheetId="0">#REF!</definedName>
    <definedName name="ProdCode5">#REF!</definedName>
    <definedName name="ProdCode5_4" localSheetId="0">#REF!</definedName>
    <definedName name="ProdCode5_4">#REF!</definedName>
    <definedName name="ProdCode5_6" localSheetId="0">#REF!</definedName>
    <definedName name="ProdCode5_6">#REF!</definedName>
    <definedName name="ProdCode5_Text" localSheetId="0">#REF!</definedName>
    <definedName name="ProdCode5_Text">#REF!</definedName>
    <definedName name="ProdCode5_Text_4" localSheetId="0">#REF!</definedName>
    <definedName name="ProdCode5_Text_4">#REF!</definedName>
    <definedName name="ProdCode5_Text_6" localSheetId="0">#REF!</definedName>
    <definedName name="ProdCode5_Text_6">#REF!</definedName>
    <definedName name="ProdPct1" localSheetId="0">#REF!</definedName>
    <definedName name="ProdPct1">#REF!</definedName>
    <definedName name="ProdPct1_4" localSheetId="0">#REF!</definedName>
    <definedName name="ProdPct1_4">#REF!</definedName>
    <definedName name="ProdPct1_6" localSheetId="0">#REF!</definedName>
    <definedName name="ProdPct1_6">#REF!</definedName>
    <definedName name="ProdPct2" localSheetId="0">#REF!</definedName>
    <definedName name="ProdPct2">#REF!</definedName>
    <definedName name="ProdPct2_4" localSheetId="0">#REF!</definedName>
    <definedName name="ProdPct2_4">#REF!</definedName>
    <definedName name="ProdPct2_6" localSheetId="0">#REF!</definedName>
    <definedName name="ProdPct2_6">#REF!</definedName>
    <definedName name="ProdPct3" localSheetId="0">#REF!</definedName>
    <definedName name="ProdPct3">#REF!</definedName>
    <definedName name="ProdPct3_4" localSheetId="0">#REF!</definedName>
    <definedName name="ProdPct3_4">#REF!</definedName>
    <definedName name="ProdPct3_6" localSheetId="0">#REF!</definedName>
    <definedName name="ProdPct3_6">#REF!</definedName>
    <definedName name="ProdPct4" localSheetId="0">#REF!</definedName>
    <definedName name="ProdPct4">#REF!</definedName>
    <definedName name="ProdPct4_4" localSheetId="0">#REF!</definedName>
    <definedName name="ProdPct4_4">#REF!</definedName>
    <definedName name="ProdPct4_6" localSheetId="0">#REF!</definedName>
    <definedName name="ProdPct4_6">#REF!</definedName>
    <definedName name="ProdPct5" localSheetId="0">#REF!</definedName>
    <definedName name="ProdPct5">#REF!</definedName>
    <definedName name="ProdPct5_4" localSheetId="0">#REF!</definedName>
    <definedName name="ProdPct5_4">#REF!</definedName>
    <definedName name="ProdPct5_6" localSheetId="0">#REF!</definedName>
    <definedName name="ProdPct5_6">#REF!</definedName>
    <definedName name="ProjAddress1" localSheetId="0">#REF!</definedName>
    <definedName name="ProjAddress1">#REF!</definedName>
    <definedName name="ProjAddress1_4" localSheetId="0">#REF!</definedName>
    <definedName name="ProjAddress1_4">#REF!</definedName>
    <definedName name="ProjAddress1_6" localSheetId="0">#REF!</definedName>
    <definedName name="ProjAddress1_6">#REF!</definedName>
    <definedName name="ProjAddress2" localSheetId="0">#REF!</definedName>
    <definedName name="ProjAddress2">#REF!</definedName>
    <definedName name="ProjAddress2_4" localSheetId="0">#REF!</definedName>
    <definedName name="ProjAddress2_4">#REF!</definedName>
    <definedName name="ProjAddress2_6" localSheetId="0">#REF!</definedName>
    <definedName name="ProjAddress2_6">#REF!</definedName>
    <definedName name="ProjCity" localSheetId="0">#REF!</definedName>
    <definedName name="ProjCity">#REF!</definedName>
    <definedName name="ProjCity_4" localSheetId="0">#REF!</definedName>
    <definedName name="ProjCity_4">#REF!</definedName>
    <definedName name="ProjCity_6" localSheetId="0">#REF!</definedName>
    <definedName name="ProjCity_6">#REF!</definedName>
    <definedName name="ProjCity1" localSheetId="0">#REF!</definedName>
    <definedName name="ProjCity1">#REF!</definedName>
    <definedName name="ProjCountry" localSheetId="0">#REF!</definedName>
    <definedName name="ProjCountry">#REF!</definedName>
    <definedName name="ProjCountry_4" localSheetId="0">#REF!</definedName>
    <definedName name="ProjCountry_4">#REF!</definedName>
    <definedName name="ProjCountry_6" localSheetId="0">#REF!</definedName>
    <definedName name="ProjCountry_6">#REF!</definedName>
    <definedName name="ProjCounty" localSheetId="0">#REF!</definedName>
    <definedName name="ProjCounty">#REF!</definedName>
    <definedName name="ProjCounty_4" localSheetId="0">#REF!</definedName>
    <definedName name="ProjCounty_4">#REF!</definedName>
    <definedName name="ProjCounty_6" localSheetId="0">#REF!</definedName>
    <definedName name="ProjCounty_6">#REF!</definedName>
    <definedName name="project" localSheetId="0">#REF!</definedName>
    <definedName name="project">#REF!</definedName>
    <definedName name="ProjectLocation" localSheetId="0">#REF!</definedName>
    <definedName name="ProjectLocation">#REF!</definedName>
    <definedName name="ProjectNumber" localSheetId="0">#REF!</definedName>
    <definedName name="ProjectNumber">#REF!</definedName>
    <definedName name="ProjectSubtitle" localSheetId="0">#REF!</definedName>
    <definedName name="ProjectSubtitle">#REF!</definedName>
    <definedName name="ProjectTitle" localSheetId="0">#REF!</definedName>
    <definedName name="ProjectTitle">#REF!</definedName>
    <definedName name="ProjName" localSheetId="0">#REF!</definedName>
    <definedName name="ProjName">#REF!</definedName>
    <definedName name="ProjName_4" localSheetId="0">#REF!</definedName>
    <definedName name="ProjName_4">#REF!</definedName>
    <definedName name="ProjName_6" localSheetId="0">#REF!</definedName>
    <definedName name="ProjName_6">#REF!</definedName>
    <definedName name="ProjNum" localSheetId="0">#REF!</definedName>
    <definedName name="ProjNum">#REF!</definedName>
    <definedName name="ProjNum_4" localSheetId="0">#REF!</definedName>
    <definedName name="ProjNum_4">#REF!</definedName>
    <definedName name="ProjNum_6" localSheetId="0">#REF!</definedName>
    <definedName name="ProjNum_6">#REF!</definedName>
    <definedName name="ProjPostal" localSheetId="0">#REF!</definedName>
    <definedName name="ProjPostal">#REF!</definedName>
    <definedName name="ProjPostal_4" localSheetId="0">#REF!</definedName>
    <definedName name="ProjPostal_4">#REF!</definedName>
    <definedName name="ProjPostal_6" localSheetId="0">#REF!</definedName>
    <definedName name="ProjPostal_6">#REF!</definedName>
    <definedName name="ProjState" localSheetId="0">#REF!</definedName>
    <definedName name="ProjState">#REF!</definedName>
    <definedName name="ProjState_4" localSheetId="0">#REF!</definedName>
    <definedName name="ProjState_4">#REF!</definedName>
    <definedName name="ProjState_6" localSheetId="0">#REF!</definedName>
    <definedName name="ProjState_6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ABillingMethod" localSheetId="0">#REF!</definedName>
    <definedName name="PSABillingMethod">#REF!</definedName>
    <definedName name="PSABillingMethod_4" localSheetId="0">#REF!</definedName>
    <definedName name="PSABillingMethod_4">#REF!</definedName>
    <definedName name="PSABillingMethod_6" localSheetId="0">#REF!</definedName>
    <definedName name="PSABillingMethod_6">#REF!</definedName>
    <definedName name="pss" localSheetId="0">#REF!</definedName>
    <definedName name="pss">#REF!</definedName>
    <definedName name="pt" localSheetId="0">#REF!</definedName>
    <definedName name="pt">'[46]HF Blk 1'!#REF!</definedName>
    <definedName name="pun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 localSheetId="0">#REF!</definedName>
    <definedName name="Puz">[12]Design!#REF!</definedName>
    <definedName name="PV" localSheetId="0">#REF!</definedName>
    <definedName name="PV">#REF!</definedName>
    <definedName name="q" localSheetId="0">#REF!</definedName>
    <definedName name="q">#REF!</definedName>
    <definedName name="qa" localSheetId="0">#REF!</definedName>
    <definedName name="qa">[48]Sheet1!$A$2:$F$262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" localSheetId="0" hidden="1">#REF!</definedName>
    <definedName name="qq" hidden="1">#REF!</definedName>
    <definedName name="QRQWD" localSheetId="0">#REF!</definedName>
    <definedName name="QRQWD">#REF!</definedName>
    <definedName name="Qspan" localSheetId="0">#REF!</definedName>
    <definedName name="Qspan">#REF!</definedName>
    <definedName name="QTY" localSheetId="0">#REF!</definedName>
    <definedName name="QTY">#REF!</definedName>
    <definedName name="qua" localSheetId="0">#REF!</definedName>
    <definedName name="qua">#REF!</definedName>
    <definedName name="Quantity" localSheetId="0">#REF!</definedName>
    <definedName name="Quantity">#REF!</definedName>
    <definedName name="QUANTITY1" localSheetId="0">#REF!</definedName>
    <definedName name="QUANTITY1">#REF!</definedName>
    <definedName name="Quantity2" localSheetId="0">#REF!</definedName>
    <definedName name="Quantity2">#REF!</definedName>
    <definedName name="quar" localSheetId="0">#REF!</definedName>
    <definedName name="quar">#REF!</definedName>
    <definedName name="QUARTZ" localSheetId="0">#REF!</definedName>
    <definedName name="QUARTZ">#REF!</definedName>
    <definedName name="quotient">"denominator"</definedName>
    <definedName name="qw" localSheetId="0">#REF!</definedName>
    <definedName name="qw">#REF!</definedName>
    <definedName name="qwe" localSheetId="0">#REF!</definedName>
    <definedName name="qwe">[48]Sheet1!$A$2:$IV$2</definedName>
    <definedName name="qwerwqerwe" localSheetId="0">#REF!</definedName>
    <definedName name="qwerwqerwe">#REF!</definedName>
    <definedName name="r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 localSheetId="0">#REF!</definedName>
    <definedName name="rad">#REF!</definedName>
    <definedName name="radhika" localSheetId="0">#REF!</definedName>
    <definedName name="radhika">'[49]Break up Sheet'!#REF!</definedName>
    <definedName name="rahaer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 localSheetId="0">#REF!</definedName>
    <definedName name="RANGE">#REF!</definedName>
    <definedName name="RANGE1" localSheetId="0">#REF!</definedName>
    <definedName name="RANGE1">#REF!</definedName>
    <definedName name="RANGE2" localSheetId="0">#REF!</definedName>
    <definedName name="RANGE2">#REF!</definedName>
    <definedName name="RANGE21" localSheetId="0">#REF!</definedName>
    <definedName name="RANGE21">#REF!</definedName>
    <definedName name="range3" localSheetId="0">#REF!</definedName>
    <definedName name="range3">#REF!</definedName>
    <definedName name="RASH" localSheetId="0">#REF!</definedName>
    <definedName name="RASH">#REF!</definedName>
    <definedName name="rashmi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 localSheetId="0">#REF!</definedName>
    <definedName name="re">'[50]Rate analysis'!$C$2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c" localSheetId="0">#REF!</definedName>
    <definedName name="rec">#REF!</definedName>
    <definedName name="Recon" localSheetId="0">#REF!</definedName>
    <definedName name="Recon">#REF!</definedName>
    <definedName name="reconcilation" localSheetId="0">#REF!</definedName>
    <definedName name="reconcilation">#REF!</definedName>
    <definedName name="reconcile" localSheetId="0">#REF!</definedName>
    <definedName name="reconcile">'[51]Rate analysis'!$C$2</definedName>
    <definedName name="Reconcole" localSheetId="0">#N/A</definedName>
    <definedName name="Reconcole">DATE(YEAR([52]!Loan_Start),MONTH([52]!Loan_Start)+Payment_Number,DAY([52]!Loan_Start))</definedName>
    <definedName name="_xlnm.Recorder" localSheetId="0">#REF!</definedName>
    <definedName name="_xlnm.Recorder">#REF!</definedName>
    <definedName name="rect_4_415" localSheetId="0">#REF!</definedName>
    <definedName name="rect_4_415">#REF!</definedName>
    <definedName name="reee" localSheetId="0">#REF!</definedName>
    <definedName name="reee">#REF!</definedName>
    <definedName name="rege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 localSheetId="0">#REF!</definedName>
    <definedName name="REGULAR_STAFF">#REF!</definedName>
    <definedName name="REGULAR_STAFF_ENTRY" localSheetId="0">#REF!</definedName>
    <definedName name="REGULAR_STAFF_ENTRY">#REF!</definedName>
    <definedName name="rel" localSheetId="0">#REF!</definedName>
    <definedName name="rel">#REF!</definedName>
    <definedName name="RES" localSheetId="0">#REF!</definedName>
    <definedName name="RES">#REF!</definedName>
    <definedName name="resd" localSheetId="0">#REF!</definedName>
    <definedName name="resd">'[53]Break up Sheet'!#REF!</definedName>
    <definedName name="reswe" localSheetId="0" hidden="1">#REF!</definedName>
    <definedName name="reswe" hidden="1">#REF!</definedName>
    <definedName name="Rev" localSheetId="0">#REF!</definedName>
    <definedName name="Rev">#REF!</definedName>
    <definedName name="REVISED" localSheetId="0">#REF!</definedName>
    <definedName name="REVISED">#REF!</definedName>
    <definedName name="Revision" localSheetId="0">#REF!</definedName>
    <definedName name="Revision">#REF!</definedName>
    <definedName name="REW" localSheetId="0">#REF!</definedName>
    <definedName name="REW">#REF!</definedName>
    <definedName name="rg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 localSheetId="0">#REF!</definedName>
    <definedName name="RID">#REF!</definedName>
    <definedName name="rig" localSheetId="0">#REF!</definedName>
    <definedName name="rig">#REF!</definedName>
    <definedName name="rim4_4" localSheetId="0">#REF!</definedName>
    <definedName name="rim4_4">#REF!</definedName>
    <definedName name="rim4_6" localSheetId="0">#REF!</definedName>
    <definedName name="rim4_6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obot" localSheetId="0">#REF!</definedName>
    <definedName name="robot">#REF!</definedName>
    <definedName name="rosid" localSheetId="0">#REF!</definedName>
    <definedName name="rosid">#REF!</definedName>
    <definedName name="RQQQ" localSheetId="0">#REF!</definedName>
    <definedName name="RQQQ">#REF!</definedName>
    <definedName name="rr" localSheetId="0">#REF!</definedName>
    <definedName name="rr">#REF!</definedName>
    <definedName name="rrr" localSheetId="0">#REF!</definedName>
    <definedName name="rrr">#REF!</definedName>
    <definedName name="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 localSheetId="0">#REF!</definedName>
    <definedName name="rrrrrr">#REF!</definedName>
    <definedName name="rrrrrrrrr" localSheetId="0">#REF!</definedName>
    <definedName name="rrrrrrrrr">#REF!</definedName>
    <definedName name="rrrrrrrrrr" localSheetId="0">#REF!</definedName>
    <definedName name="rrrrrrrrrr">#REF!</definedName>
    <definedName name="rrrrrrrrrrr" localSheetId="0">#REF!</definedName>
    <definedName name="rrrrrrrrrrr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t" localSheetId="0">#REF!</definedName>
    <definedName name="rt">#REF!</definedName>
    <definedName name="rtr" localSheetId="0">#REF!</definedName>
    <definedName name="rtr">#REF!</definedName>
    <definedName name="rtrt" localSheetId="0">#REF!</definedName>
    <definedName name="rtrt">#REF!</definedName>
    <definedName name="rt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 localSheetId="0">#REF!</definedName>
    <definedName name="rtrtrt">#REF!</definedName>
    <definedName name="rttrt" localSheetId="0">#REF!</definedName>
    <definedName name="rttrt">#REF!</definedName>
    <definedName name="rty" localSheetId="0">#REF!</definedName>
    <definedName name="rty">#REF!</definedName>
    <definedName name="rtyu" localSheetId="0">#REF!</definedName>
    <definedName name="rtyu">#REF!</definedName>
    <definedName name="RUT" localSheetId="0">#REF!</definedName>
    <definedName name="RUT">#REF!</definedName>
    <definedName name="ryy" localSheetId="0">#REF!</definedName>
    <definedName name="ryy">#REF!</definedName>
    <definedName name="S" localSheetId="0">#REF!</definedName>
    <definedName name="S">#REF!</definedName>
    <definedName name="S0" localSheetId="0">#REF!</definedName>
    <definedName name="S0">#REF!</definedName>
    <definedName name="SA" localSheetId="0">#REF!</definedName>
    <definedName name="SA">#REF!</definedName>
    <definedName name="saa" localSheetId="0">#REF!</definedName>
    <definedName name="saa">#REF!</definedName>
    <definedName name="sadd" localSheetId="0">#REF!</definedName>
    <definedName name="sadd">#REF!</definedName>
    <definedName name="sadfasdf" localSheetId="0">#REF!</definedName>
    <definedName name="sadfasdf">[54]Notes!$D$5:$K$265</definedName>
    <definedName name="sadfdasf" localSheetId="0" hidden="1">#REF!</definedName>
    <definedName name="sadfdasf" hidden="1">#REF!</definedName>
    <definedName name="sadfsadf" localSheetId="0">#REF!</definedName>
    <definedName name="sadfsadf">#REF!</definedName>
    <definedName name="sadfsdaf" localSheetId="0">#REF!</definedName>
    <definedName name="sadfsdaf">#REF!</definedName>
    <definedName name="safe" localSheetId="0">#REF!</definedName>
    <definedName name="safe">#REF!</definedName>
    <definedName name="Safety" localSheetId="0">#REF!</definedName>
    <definedName name="Safety">#REF!</definedName>
    <definedName name="salary" localSheetId="0">#REF!</definedName>
    <definedName name="salary">#REF!</definedName>
    <definedName name="SalesMgr" localSheetId="0">#REF!</definedName>
    <definedName name="SalesMgr">#REF!</definedName>
    <definedName name="SalesMgr_4" localSheetId="0">#REF!</definedName>
    <definedName name="SalesMgr_4">#REF!</definedName>
    <definedName name="SalesMgr_6" localSheetId="0">#REF!</definedName>
    <definedName name="SalesMgr_6">#REF!</definedName>
    <definedName name="SASDASD" localSheetId="0">#REF!</definedName>
    <definedName name="SASDASD">#REF!</definedName>
    <definedName name="saucomd" localSheetId="0">#REF!</definedName>
    <definedName name="saucomd">#REF!</definedName>
    <definedName name="saucstf" localSheetId="0">#REF!</definedName>
    <definedName name="saucstf">#REF!</definedName>
    <definedName name="saud" localSheetId="0">#REF!</definedName>
    <definedName name="saud">#REF!</definedName>
    <definedName name="saud_4" localSheetId="0">#REF!</definedName>
    <definedName name="saud_4">#REF!</definedName>
    <definedName name="saud_6" localSheetId="0">#REF!</definedName>
    <definedName name="saud_6">#REF!</definedName>
    <definedName name="saudirf" localSheetId="0">#REF!</definedName>
    <definedName name="saudirf">#REF!</definedName>
    <definedName name="sauf" localSheetId="0">#REF!</definedName>
    <definedName name="sauf">#REF!</definedName>
    <definedName name="sauf_4" localSheetId="0">#REF!</definedName>
    <definedName name="sauf_4">#REF!</definedName>
    <definedName name="sauf_6" localSheetId="0">#REF!</definedName>
    <definedName name="sauf_6">#REF!</definedName>
    <definedName name="sauif" localSheetId="0">#REF!</definedName>
    <definedName name="sauif">#REF!</definedName>
    <definedName name="sauif_4" localSheetId="0">#REF!</definedName>
    <definedName name="sauif_4">#REF!</definedName>
    <definedName name="sauif_6" localSheetId="0">#REF!</definedName>
    <definedName name="sauif_6">#REF!</definedName>
    <definedName name="sauspad" localSheetId="0">#REF!</definedName>
    <definedName name="sauspad">#REF!</definedName>
    <definedName name="sausysd" localSheetId="0">#REF!</definedName>
    <definedName name="sausysd">#REF!</definedName>
    <definedName name="scaffolding" localSheetId="0" hidden="1">#REF!</definedName>
    <definedName name="scaffolding" hidden="1">#REF!</definedName>
    <definedName name="SCC" localSheetId="0">#REF!</definedName>
    <definedName name="SCC">#REF!</definedName>
    <definedName name="SCD" localSheetId="0">#REF!</definedName>
    <definedName name="SCD">#REF!</definedName>
    <definedName name="SCE" localSheetId="0">#REF!</definedName>
    <definedName name="SCE">#REF!</definedName>
    <definedName name="SCED" localSheetId="0">#REF!</definedName>
    <definedName name="SCED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roll" localSheetId="0">#REF!</definedName>
    <definedName name="Scroll">#REF!</definedName>
    <definedName name="SD" localSheetId="0">#REF!</definedName>
    <definedName name="SD">#REF!</definedName>
    <definedName name="sdasd" localSheetId="0">#REF!</definedName>
    <definedName name="sdasd">[55]Notes!$D$3:$L$231</definedName>
    <definedName name="Sdate" localSheetId="0">#REF!</definedName>
    <definedName name="Sdate">#REF!</definedName>
    <definedName name="sddff" localSheetId="0">#REF!</definedName>
    <definedName name="sddff">#REF!</definedName>
    <definedName name="sdfd" localSheetId="0">#REF!</definedName>
    <definedName name="sdfd">#REF!</definedName>
    <definedName name="sdfdf" localSheetId="0">#REF!</definedName>
    <definedName name="sdfdf">#REF!</definedName>
    <definedName name="sdffggg" localSheetId="0">#REF!</definedName>
    <definedName name="sdffggg">#REF!</definedName>
    <definedName name="sdffs" localSheetId="0">#REF!</definedName>
    <definedName name="sdffs">#REF!</definedName>
    <definedName name="sdffsd" localSheetId="0">#REF!</definedName>
    <definedName name="sdffsd">#REF!</definedName>
    <definedName name="sdfgdsfgdf" localSheetId="0">#REF!</definedName>
    <definedName name="sdfgdsfgdf">#REF!</definedName>
    <definedName name="sdfgsdg" localSheetId="0">#N/A</definedName>
    <definedName name="sdfgsdg">MATCH(0.01,End_Bal,-1)+1</definedName>
    <definedName name="sdfgsdsdsdf" localSheetId="0">#REF!</definedName>
    <definedName name="sdfgsdsdsdf">#REF!</definedName>
    <definedName name="sdfjasdfklj" localSheetId="0">#REF!</definedName>
    <definedName name="sdfjasdfklj">#REF!</definedName>
    <definedName name="SDFS" localSheetId="0">#REF!</definedName>
    <definedName name="SDFS">[12]Design!#REF!</definedName>
    <definedName name="sdfsd" localSheetId="0">#REF!</definedName>
    <definedName name="sdfsd">#REF!</definedName>
    <definedName name="sdfsdf" localSheetId="0">#REF!</definedName>
    <definedName name="sdfsdf">#REF!</definedName>
    <definedName name="sdggdsfgsdf" localSheetId="0">#REF!</definedName>
    <definedName name="sdggdsfgsdf">#REF!</definedName>
    <definedName name="sdgsdht" localSheetId="0">#REF!</definedName>
    <definedName name="sdgsdht">#REF!</definedName>
    <definedName name="sdgsdsdf" localSheetId="0">#REF!</definedName>
    <definedName name="sdgsdsdf">#REF!</definedName>
    <definedName name="sdpl" localSheetId="0">#REF!</definedName>
    <definedName name="sdpl">#REF!</definedName>
    <definedName name="SDPLBS" localSheetId="0">#REF!</definedName>
    <definedName name="SDPLBS">#REF!</definedName>
    <definedName name="SDPLFA" localSheetId="0">#REF!</definedName>
    <definedName name="SDPLFA">#REF!</definedName>
    <definedName name="SDPLPL" localSheetId="0">#REF!</definedName>
    <definedName name="SDPLPL">#REF!</definedName>
    <definedName name="sdsd" localSheetId="0">#REF!</definedName>
    <definedName name="sdsd">#REF!</definedName>
    <definedName name="sdsss" localSheetId="0">#REF!</definedName>
    <definedName name="sdsss">#REF!</definedName>
    <definedName name="SDW" localSheetId="0">#REF!</definedName>
    <definedName name="SDW">#REF!</definedName>
    <definedName name="se" localSheetId="0">#REF!</definedName>
    <definedName name="se">#REF!</definedName>
    <definedName name="sec" localSheetId="0">#REF!</definedName>
    <definedName name="sec">#REF!</definedName>
    <definedName name="sec_deposit" localSheetId="0">#REF!</definedName>
    <definedName name="sec_deposit">#REF!</definedName>
    <definedName name="SECT" localSheetId="0">#REF!</definedName>
    <definedName name="SECT">#REF!</definedName>
    <definedName name="sect1" localSheetId="0">#REF!</definedName>
    <definedName name="sect1">'[56]RA-markate'!$A$389:$B$1034</definedName>
    <definedName name="SECTION" localSheetId="0">#REF!</definedName>
    <definedName name="SECTION">#REF!</definedName>
    <definedName name="Section_1_Title" localSheetId="0">#REF!</definedName>
    <definedName name="Section_1_Title">#REF!</definedName>
    <definedName name="Section_2_Title" localSheetId="0">#REF!</definedName>
    <definedName name="Section_2_Title">#REF!</definedName>
    <definedName name="Section_3_Title" localSheetId="0">#REF!</definedName>
    <definedName name="Section_3_Title">#REF!</definedName>
    <definedName name="Section_4_Title" localSheetId="0">#REF!</definedName>
    <definedName name="Section_4_Title">#REF!</definedName>
    <definedName name="Section_5_Title" localSheetId="0">#REF!</definedName>
    <definedName name="Section_5_Title">#REF!</definedName>
    <definedName name="Section_6_Title" localSheetId="0">#REF!</definedName>
    <definedName name="Section_6_Title">#REF!</definedName>
    <definedName name="Section_7_Title" localSheetId="0">#REF!</definedName>
    <definedName name="Section_7_Title">#REF!</definedName>
    <definedName name="Section_8_Title" localSheetId="0">#REF!</definedName>
    <definedName name="Section_8_Title">#REF!</definedName>
    <definedName name="secured" localSheetId="0">#REF!</definedName>
    <definedName name="secured">#REF!</definedName>
    <definedName name="securi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 localSheetId="0">#REF!</definedName>
    <definedName name="SelectedLanguage">#REF!</definedName>
    <definedName name="SelectedLanguage_4" localSheetId="0">#REF!</definedName>
    <definedName name="SelectedLanguage_4">#REF!</definedName>
    <definedName name="SelectedLanguage_6" localSheetId="0">#REF!</definedName>
    <definedName name="SelectedLanguage_6">#REF!</definedName>
    <definedName name="sencount" hidden="1">1</definedName>
    <definedName name="SER" localSheetId="0">#REF!</definedName>
    <definedName name="SER">#REF!</definedName>
    <definedName name="servf" localSheetId="0">#REF!</definedName>
    <definedName name="servf">#REF!</definedName>
    <definedName name="Setflag" localSheetId="0">#REF!</definedName>
    <definedName name="Setflag">#REF!</definedName>
    <definedName name="SF" localSheetId="0">#REF!</definedName>
    <definedName name="SF">#REF!</definedName>
    <definedName name="sfdfsd" localSheetId="0">#REF!</definedName>
    <definedName name="sfdfsd">#REF!</definedName>
    <definedName name="sfe" localSheetId="0" hidden="1">#REF!</definedName>
    <definedName name="sfe" hidden="1">#REF!</definedName>
    <definedName name="sfff" localSheetId="0">#REF!</definedName>
    <definedName name="sfff">#REF!</definedName>
    <definedName name="SFFSDF" localSheetId="0">#REF!</definedName>
    <definedName name="SFFSDF">#REF!</definedName>
    <definedName name="sffsff" localSheetId="0">#REF!</definedName>
    <definedName name="sffsff">#REF!</definedName>
    <definedName name="sffssd" localSheetId="0">#REF!</definedName>
    <definedName name="sffssd">#REF!</definedName>
    <definedName name="SFL" localSheetId="0">#REF!</definedName>
    <definedName name="SFL">'[7]Column Blk 1'!$C$950</definedName>
    <definedName name="sfsd" localSheetId="0">#REF!</definedName>
    <definedName name="sfsd">#REF!</definedName>
    <definedName name="SFSDFS" localSheetId="0">#REF!</definedName>
    <definedName name="SFSDFS">#REF!</definedName>
    <definedName name="SFSDFSD" localSheetId="0">#REF!</definedName>
    <definedName name="SFSDFSD">#REF!</definedName>
    <definedName name="SFSDFSDF" localSheetId="0">#REF!</definedName>
    <definedName name="SFSDFSDF">#REF!</definedName>
    <definedName name="SFSDFSF" localSheetId="0">#REF!</definedName>
    <definedName name="SFSDFSF">#REF!</definedName>
    <definedName name="sfsf" localSheetId="0">#REF!</definedName>
    <definedName name="sfsf">#REF!</definedName>
    <definedName name="sfsfs" localSheetId="0">#REF!</definedName>
    <definedName name="sfsfs">'[21]Labor abs-NMR'!$A$20:$IV$20</definedName>
    <definedName name="sfssdfs" localSheetId="0">#REF!</definedName>
    <definedName name="sfssdfs">#REF!</definedName>
    <definedName name="sfssf" localSheetId="0" hidden="1">#REF!</definedName>
    <definedName name="sfssf" hidden="1">#REF!</definedName>
    <definedName name="SFWEWFRWER" localSheetId="0">#REF!</definedName>
    <definedName name="SFWEWFRWER">'[57]Break up Sheet'!#REF!</definedName>
    <definedName name="sg" localSheetId="0">#REF!</definedName>
    <definedName name="sg">#REF!</definedName>
    <definedName name="sgfe" localSheetId="0" hidden="1">#REF!</definedName>
    <definedName name="sgfe" hidden="1">#REF!</definedName>
    <definedName name="sgfssfs" localSheetId="0">#REF!</definedName>
    <definedName name="sgfssfs">#REF!</definedName>
    <definedName name="sgggggg" localSheetId="0" hidden="1">#REF!</definedName>
    <definedName name="sgggggg" hidden="1">#REF!</definedName>
    <definedName name="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 localSheetId="0">#REF!</definedName>
    <definedName name="shaji545">#REF!</definedName>
    <definedName name="shank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 localSheetId="0">#REF!</definedName>
    <definedName name="shar">#REF!</definedName>
    <definedName name="Shear" localSheetId="0" hidden="1">#REF!</definedName>
    <definedName name="Shear" hidden="1">#REF!</definedName>
    <definedName name="Sheet" localSheetId="0" hidden="1">#REF!</definedName>
    <definedName name="Sheet" hidden="1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OPBOQ" localSheetId="0">#REF!</definedName>
    <definedName name="SHOPBOQ">#REF!</definedName>
    <definedName name="SHOPHED" localSheetId="0">#REF!</definedName>
    <definedName name="SHOPHED">#REF!</definedName>
    <definedName name="SHRLMR" localSheetId="0">Scheduled_Payment+Extra_Payment</definedName>
    <definedName name="SHRLMR">[18]!_______________b1+Extra_Payment</definedName>
    <definedName name="Sht" localSheetId="0">#REF!</definedName>
    <definedName name="Sht">#REF!</definedName>
    <definedName name="Shuttering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ni" localSheetId="0">#REF!</definedName>
    <definedName name="sini">'[41]Break up Sheet'!#REF!</definedName>
    <definedName name="SiteID" localSheetId="0">#REF!</definedName>
    <definedName name="SiteID">#REF!</definedName>
    <definedName name="SiteID_4" localSheetId="0">#REF!</definedName>
    <definedName name="SiteID_4">#REF!</definedName>
    <definedName name="SiteID_6" localSheetId="0">#REF!</definedName>
    <definedName name="SiteID_6">#REF!</definedName>
    <definedName name="SiteType" localSheetId="0">#REF!</definedName>
    <definedName name="SiteType">#REF!</definedName>
    <definedName name="SiteType_4" localSheetId="0">#REF!</definedName>
    <definedName name="SiteType_4">#REF!</definedName>
    <definedName name="SiteType_6" localSheetId="0">#REF!</definedName>
    <definedName name="SiteType_6">#REF!</definedName>
    <definedName name="siva" localSheetId="0">#REF!</definedName>
    <definedName name="siva">#REF!</definedName>
    <definedName name="sl" localSheetId="0">#REF!</definedName>
    <definedName name="sl">'[7]Column Blk 1'!$D$17</definedName>
    <definedName name="s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mallProj" localSheetId="0">#REF!</definedName>
    <definedName name="SmallProj">#REF!</definedName>
    <definedName name="SmallProj_4" localSheetId="0">#REF!</definedName>
    <definedName name="SmallProj_4">#REF!</definedName>
    <definedName name="SmallProj_6" localSheetId="0">#REF!</definedName>
    <definedName name="SmallProj_6">#REF!</definedName>
    <definedName name="SmallProj_Text" localSheetId="0">#REF!</definedName>
    <definedName name="SmallProj_Text">#REF!</definedName>
    <definedName name="SmallProj_Text_4" localSheetId="0">#REF!</definedName>
    <definedName name="SmallProj_Text_4">#REF!</definedName>
    <definedName name="SmallProj_Text_6" localSheetId="0">#REF!</definedName>
    <definedName name="SmallProj_Text_6">#REF!</definedName>
    <definedName name="soasia" localSheetId="0" hidden="1">#REF!</definedName>
    <definedName name="soasia" hidden="1">#REF!</definedName>
    <definedName name="sob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 localSheetId="0">#REF!</definedName>
    <definedName name="SOL">#REF!</definedName>
    <definedName name="SOL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 localSheetId="0">#REF!</definedName>
    <definedName name="SOLVENT">#REF!</definedName>
    <definedName name="solvents" localSheetId="0">#REF!</definedName>
    <definedName name="solvents">#REF!</definedName>
    <definedName name="sond" localSheetId="0">#REF!</definedName>
    <definedName name="sond">#REF!</definedName>
    <definedName name="sondf" localSheetId="0">#REF!</definedName>
    <definedName name="sondf">#REF!</definedName>
    <definedName name="soo" localSheetId="0" hidden="1">#REF!</definedName>
    <definedName name="soo" hidden="1">#REF!</definedName>
    <definedName name="sp" localSheetId="0">#REF!</definedName>
    <definedName name="sp">#REF!</definedName>
    <definedName name="SP_1" localSheetId="0">#REF!</definedName>
    <definedName name="SP_1">#REF!</definedName>
    <definedName name="SP_2" localSheetId="0">#REF!</definedName>
    <definedName name="SP_2">#REF!</definedName>
    <definedName name="SP1Branch" localSheetId="0">#REF!</definedName>
    <definedName name="SP1Branch">#REF!</definedName>
    <definedName name="SP1Branch_4" localSheetId="0">#REF!</definedName>
    <definedName name="SP1Branch_4">#REF!</definedName>
    <definedName name="SP1Branch_6" localSheetId="0">#REF!</definedName>
    <definedName name="SP1Branch_6">#REF!</definedName>
    <definedName name="SP1Credit" localSheetId="0">#REF!</definedName>
    <definedName name="SP1Credit">#REF!</definedName>
    <definedName name="SP1Credit_4" localSheetId="0">#REF!</definedName>
    <definedName name="SP1Credit_4">#REF!</definedName>
    <definedName name="SP1Credit_6" localSheetId="0">#REF!</definedName>
    <definedName name="SP1Credit_6">#REF!</definedName>
    <definedName name="SP1Name" localSheetId="0">#REF!</definedName>
    <definedName name="SP1Name">#REF!</definedName>
    <definedName name="SP1Name_4" localSheetId="0">#REF!</definedName>
    <definedName name="SP1Name_4">#REF!</definedName>
    <definedName name="SP1Name_6" localSheetId="0">#REF!</definedName>
    <definedName name="SP1Name_6">#REF!</definedName>
    <definedName name="SP1Number" localSheetId="0">#REF!</definedName>
    <definedName name="SP1Number">#REF!</definedName>
    <definedName name="SP1Number_4" localSheetId="0">#REF!</definedName>
    <definedName name="SP1Number_4">#REF!</definedName>
    <definedName name="SP1Number_6" localSheetId="0">#REF!</definedName>
    <definedName name="SP1Number_6">#REF!</definedName>
    <definedName name="SP2Branch" localSheetId="0">#REF!</definedName>
    <definedName name="SP2Branch">#REF!</definedName>
    <definedName name="SP2Branch_4" localSheetId="0">#REF!</definedName>
    <definedName name="SP2Branch_4">#REF!</definedName>
    <definedName name="SP2Branch_6" localSheetId="0">#REF!</definedName>
    <definedName name="SP2Branch_6">#REF!</definedName>
    <definedName name="SP2Credit" localSheetId="0">#REF!</definedName>
    <definedName name="SP2Credit">#REF!</definedName>
    <definedName name="SP2Credit_4" localSheetId="0">#REF!</definedName>
    <definedName name="SP2Credit_4">#REF!</definedName>
    <definedName name="SP2Credit_6" localSheetId="0">#REF!</definedName>
    <definedName name="SP2Credit_6">#REF!</definedName>
    <definedName name="SP2Name" localSheetId="0">#REF!</definedName>
    <definedName name="SP2Name">#REF!</definedName>
    <definedName name="SP2Name_4" localSheetId="0">#REF!</definedName>
    <definedName name="SP2Name_4">#REF!</definedName>
    <definedName name="SP2Name_6" localSheetId="0">#REF!</definedName>
    <definedName name="SP2Name_6">#REF!</definedName>
    <definedName name="SP2Number" localSheetId="0">#REF!</definedName>
    <definedName name="SP2Number">#REF!</definedName>
    <definedName name="SP2Number_4" localSheetId="0">#REF!</definedName>
    <definedName name="SP2Number_4">#REF!</definedName>
    <definedName name="SP2Number_6" localSheetId="0">#REF!</definedName>
    <definedName name="SP2Number_6">#REF!</definedName>
    <definedName name="SP3Branch" localSheetId="0">#REF!</definedName>
    <definedName name="SP3Branch">#REF!</definedName>
    <definedName name="SP3Branch_4" localSheetId="0">#REF!</definedName>
    <definedName name="SP3Branch_4">#REF!</definedName>
    <definedName name="SP3Branch_6" localSheetId="0">#REF!</definedName>
    <definedName name="SP3Branch_6">#REF!</definedName>
    <definedName name="SP3Credit" localSheetId="0">#REF!</definedName>
    <definedName name="SP3Credit">#REF!</definedName>
    <definedName name="SP3Credit_4" localSheetId="0">#REF!</definedName>
    <definedName name="SP3Credit_4">#REF!</definedName>
    <definedName name="SP3Credit_6" localSheetId="0">#REF!</definedName>
    <definedName name="SP3Credit_6">#REF!</definedName>
    <definedName name="SP3Name" localSheetId="0">#REF!</definedName>
    <definedName name="SP3Name">#REF!</definedName>
    <definedName name="SP3Name_4" localSheetId="0">#REF!</definedName>
    <definedName name="SP3Name_4">#REF!</definedName>
    <definedName name="SP3Name_6" localSheetId="0">#REF!</definedName>
    <definedName name="SP3Name_6">#REF!</definedName>
    <definedName name="SP3Number" localSheetId="0">#REF!</definedName>
    <definedName name="SP3Number">#REF!</definedName>
    <definedName name="SP3Number_4" localSheetId="0">#REF!</definedName>
    <definedName name="SP3Number_4">#REF!</definedName>
    <definedName name="SP3Number_6" localSheetId="0">#REF!</definedName>
    <definedName name="SP3Number_6">#REF!</definedName>
    <definedName name="SP4Branch" localSheetId="0">#REF!</definedName>
    <definedName name="SP4Branch">#REF!</definedName>
    <definedName name="SP4Branch_4" localSheetId="0">#REF!</definedName>
    <definedName name="SP4Branch_4">#REF!</definedName>
    <definedName name="SP4Branch_6" localSheetId="0">#REF!</definedName>
    <definedName name="SP4Branch_6">#REF!</definedName>
    <definedName name="SP4Credit" localSheetId="0">#REF!</definedName>
    <definedName name="SP4Credit">#REF!</definedName>
    <definedName name="SP4Credit_4" localSheetId="0">#REF!</definedName>
    <definedName name="SP4Credit_4">#REF!</definedName>
    <definedName name="SP4Credit_6" localSheetId="0">#REF!</definedName>
    <definedName name="SP4Credit_6">#REF!</definedName>
    <definedName name="SP4Name" localSheetId="0">#REF!</definedName>
    <definedName name="SP4Name">#REF!</definedName>
    <definedName name="SP4Name_4" localSheetId="0">#REF!</definedName>
    <definedName name="SP4Name_4">#REF!</definedName>
    <definedName name="SP4Name_6" localSheetId="0">#REF!</definedName>
    <definedName name="SP4Name_6">#REF!</definedName>
    <definedName name="SP4Number" localSheetId="0">#REF!</definedName>
    <definedName name="SP4Number">#REF!</definedName>
    <definedName name="SP4Number_4" localSheetId="0">#REF!</definedName>
    <definedName name="SP4Number_4">#REF!</definedName>
    <definedName name="SP4Number_6" localSheetId="0">#REF!</definedName>
    <definedName name="SP4Number_6">#REF!</definedName>
    <definedName name="SP5Branch" localSheetId="0">#REF!</definedName>
    <definedName name="SP5Branch">#REF!</definedName>
    <definedName name="SP5Branch_4" localSheetId="0">#REF!</definedName>
    <definedName name="SP5Branch_4">#REF!</definedName>
    <definedName name="SP5Branch_6" localSheetId="0">#REF!</definedName>
    <definedName name="SP5Branch_6">#REF!</definedName>
    <definedName name="SP5Credit" localSheetId="0">#REF!</definedName>
    <definedName name="SP5Credit">#REF!</definedName>
    <definedName name="SP5Credit_4" localSheetId="0">#REF!</definedName>
    <definedName name="SP5Credit_4">#REF!</definedName>
    <definedName name="SP5Credit_6" localSheetId="0">#REF!</definedName>
    <definedName name="SP5Credit_6">#REF!</definedName>
    <definedName name="SP5Name" localSheetId="0">#REF!</definedName>
    <definedName name="SP5Name">#REF!</definedName>
    <definedName name="SP5Name_4" localSheetId="0">#REF!</definedName>
    <definedName name="SP5Name_4">#REF!</definedName>
    <definedName name="SP5Name_6" localSheetId="0">#REF!</definedName>
    <definedName name="SP5Name_6">#REF!</definedName>
    <definedName name="SP5Number" localSheetId="0">#REF!</definedName>
    <definedName name="SP5Number">#REF!</definedName>
    <definedName name="SP5Number_4" localSheetId="0">#REF!</definedName>
    <definedName name="SP5Number_4">#REF!</definedName>
    <definedName name="SP5Number_6" localSheetId="0">#REF!</definedName>
    <definedName name="SP5Number_6">#REF!</definedName>
    <definedName name="spares" localSheetId="0">#REF!</definedName>
    <definedName name="spares">#REF!</definedName>
    <definedName name="SpecClass" localSheetId="0">#REF!</definedName>
    <definedName name="SpecClass">#REF!</definedName>
    <definedName name="SpecClass_4" localSheetId="0">#REF!</definedName>
    <definedName name="SpecClass_4">#REF!</definedName>
    <definedName name="SpecClass_6" localSheetId="0">#REF!</definedName>
    <definedName name="SpecClass_6">#REF!</definedName>
    <definedName name="SpecClass_Text" localSheetId="0">#REF!</definedName>
    <definedName name="SpecClass_Text">#REF!</definedName>
    <definedName name="SpecClass_Text_4" localSheetId="0">#REF!</definedName>
    <definedName name="SpecClass_Text_4">#REF!</definedName>
    <definedName name="SpecClass_Text_6" localSheetId="0">#REF!</definedName>
    <definedName name="SpecClass_Text_6">#REF!</definedName>
    <definedName name="SpecEnv1" localSheetId="0">#REF!</definedName>
    <definedName name="SpecEnv1">#REF!</definedName>
    <definedName name="SpecEnv1_4" localSheetId="0">#REF!</definedName>
    <definedName name="SpecEnv1_4">#REF!</definedName>
    <definedName name="SpecEnv1_6" localSheetId="0">#REF!</definedName>
    <definedName name="SpecEnv1_6">#REF!</definedName>
    <definedName name="SpecEnv1_Text" localSheetId="0">#REF!</definedName>
    <definedName name="SpecEnv1_Text">#REF!</definedName>
    <definedName name="SpecEnv1_Text_4" localSheetId="0">#REF!</definedName>
    <definedName name="SpecEnv1_Text_4">#REF!</definedName>
    <definedName name="SpecEnv1_Text_6" localSheetId="0">#REF!</definedName>
    <definedName name="SpecEnv1_Text_6">#REF!</definedName>
    <definedName name="SpecEnv2" localSheetId="0">#REF!</definedName>
    <definedName name="SpecEnv2">#REF!</definedName>
    <definedName name="SpecEnv2_4" localSheetId="0">#REF!</definedName>
    <definedName name="SpecEnv2_4">#REF!</definedName>
    <definedName name="SpecEnv2_6" localSheetId="0">#REF!</definedName>
    <definedName name="SpecEnv2_6">#REF!</definedName>
    <definedName name="SpecEnv2_Text" localSheetId="0">#REF!</definedName>
    <definedName name="SpecEnv2_Text">#REF!</definedName>
    <definedName name="SpecEnv2_Text_4" localSheetId="0">#REF!</definedName>
    <definedName name="SpecEnv2_Text_4">#REF!</definedName>
    <definedName name="SpecEnv2_Text_6" localSheetId="0">#REF!</definedName>
    <definedName name="SpecEnv2_Text_6">#REF!</definedName>
    <definedName name="SPLR" localSheetId="0">#REF!</definedName>
    <definedName name="SPLR">#REF!</definedName>
    <definedName name="SPLR_4" localSheetId="0">#REF!</definedName>
    <definedName name="SPLR_4">#REF!</definedName>
    <definedName name="SPLR_6" localSheetId="0">#REF!</definedName>
    <definedName name="SPLR_6">#REF!</definedName>
    <definedName name="sprare" localSheetId="0">#REF!</definedName>
    <definedName name="sprare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#N/A</definedName>
    <definedName name="SR">#N/A</definedName>
    <definedName name="SR_NO." localSheetId="0">#REF!</definedName>
    <definedName name="SR_NO.">'[8]MASTER_RATE ANALYSIS'!$B$190:$G$190</definedName>
    <definedName name="srasf" localSheetId="0">#REF!</definedName>
    <definedName name="srasf">#REF!</definedName>
    <definedName name="SRRRRR" localSheetId="0">#REF!</definedName>
    <definedName name="SRRRRR">#REF!</definedName>
    <definedName name="SrvcCode1" localSheetId="0">#REF!</definedName>
    <definedName name="SrvcCode1">#REF!</definedName>
    <definedName name="SrvcCode1_4" localSheetId="0">#REF!</definedName>
    <definedName name="SrvcCode1_4">#REF!</definedName>
    <definedName name="SrvcCode1_6" localSheetId="0">#REF!</definedName>
    <definedName name="SrvcCode1_6">#REF!</definedName>
    <definedName name="SrvcCode1_Text" localSheetId="0">#REF!</definedName>
    <definedName name="SrvcCode1_Text">#REF!</definedName>
    <definedName name="SrvcCode1_Text_4" localSheetId="0">#REF!</definedName>
    <definedName name="SrvcCode1_Text_4">#REF!</definedName>
    <definedName name="SrvcCode1_Text_6" localSheetId="0">#REF!</definedName>
    <definedName name="SrvcCode1_Text_6">#REF!</definedName>
    <definedName name="SrvcCode2" localSheetId="0">#REF!</definedName>
    <definedName name="SrvcCode2">#REF!</definedName>
    <definedName name="SrvcCode2_4" localSheetId="0">#REF!</definedName>
    <definedName name="SrvcCode2_4">#REF!</definedName>
    <definedName name="SrvcCode2_6" localSheetId="0">#REF!</definedName>
    <definedName name="SrvcCode2_6">#REF!</definedName>
    <definedName name="SrvcCode2_Text" localSheetId="0">#REF!</definedName>
    <definedName name="SrvcCode2_Text">#REF!</definedName>
    <definedName name="SrvcCode2_Text_4" localSheetId="0">#REF!</definedName>
    <definedName name="SrvcCode2_Text_4">#REF!</definedName>
    <definedName name="SrvcCode2_Text_6" localSheetId="0">#REF!</definedName>
    <definedName name="SrvcCode2_Text_6">#REF!</definedName>
    <definedName name="SrvcCode3" localSheetId="0">#REF!</definedName>
    <definedName name="SrvcCode3">#REF!</definedName>
    <definedName name="SrvcCode3_4" localSheetId="0">#REF!</definedName>
    <definedName name="SrvcCode3_4">#REF!</definedName>
    <definedName name="SrvcCode3_6" localSheetId="0">#REF!</definedName>
    <definedName name="SrvcCode3_6">#REF!</definedName>
    <definedName name="SrvcCode3_Text" localSheetId="0">#REF!</definedName>
    <definedName name="SrvcCode3_Text">#REF!</definedName>
    <definedName name="SrvcCode3_Text_4" localSheetId="0">#REF!</definedName>
    <definedName name="SrvcCode3_Text_4">#REF!</definedName>
    <definedName name="SrvcCode3_Text_6" localSheetId="0">#REF!</definedName>
    <definedName name="SrvcCode3_Text_6">#REF!</definedName>
    <definedName name="SrvcCode4" localSheetId="0">#REF!</definedName>
    <definedName name="SrvcCode4">#REF!</definedName>
    <definedName name="SrvcCode4_4" localSheetId="0">#REF!</definedName>
    <definedName name="SrvcCode4_4">#REF!</definedName>
    <definedName name="SrvcCode4_6" localSheetId="0">#REF!</definedName>
    <definedName name="SrvcCode4_6">#REF!</definedName>
    <definedName name="SrvcCode4_Text" localSheetId="0">#REF!</definedName>
    <definedName name="SrvcCode4_Text">#REF!</definedName>
    <definedName name="SrvcCode4_Text_4" localSheetId="0">#REF!</definedName>
    <definedName name="SrvcCode4_Text_4">#REF!</definedName>
    <definedName name="SrvcCode4_Text_6" localSheetId="0">#REF!</definedName>
    <definedName name="SrvcCode4_Text_6">#REF!</definedName>
    <definedName name="SrvcCode5" localSheetId="0">#REF!</definedName>
    <definedName name="SrvcCode5">#REF!</definedName>
    <definedName name="SrvcCode5_4" localSheetId="0">#REF!</definedName>
    <definedName name="SrvcCode5_4">#REF!</definedName>
    <definedName name="SrvcCode5_6" localSheetId="0">#REF!</definedName>
    <definedName name="SrvcCode5_6">#REF!</definedName>
    <definedName name="SrvcCode5_Text" localSheetId="0">#REF!</definedName>
    <definedName name="SrvcCode5_Text">#REF!</definedName>
    <definedName name="SrvcCode5_Text_4" localSheetId="0">#REF!</definedName>
    <definedName name="SrvcCode5_Text_4">#REF!</definedName>
    <definedName name="SrvcCode5_Text_6" localSheetId="0">#REF!</definedName>
    <definedName name="SrvcCode5_Text_6">#REF!</definedName>
    <definedName name="ss" localSheetId="0">#REF!</definedName>
    <definedName name="ss">#REF!</definedName>
    <definedName name="ssa" localSheetId="0">#REF!</definedName>
    <definedName name="ssa">#REF!</definedName>
    <definedName name="ssfsfsf" localSheetId="0">#REF!</definedName>
    <definedName name="ssfsfsf">'[22]Labor abs-NMR'!$A$2:$IV$2</definedName>
    <definedName name="ssfss" localSheetId="0">#REF!</definedName>
    <definedName name="ssfss">'[21]Labor abs-NMR'!$B$7645:$B$7693</definedName>
    <definedName name="ssfssf" localSheetId="0">#REF!</definedName>
    <definedName name="ssfssf">'[22]Labor abs-NMR'!$A$2:$F$282</definedName>
    <definedName name="sss" localSheetId="0">#REF!</definedName>
    <definedName name="sss">#REF!</definedName>
    <definedName name="sssdsf" localSheetId="0">#REF!</definedName>
    <definedName name="sssdsf">#REF!</definedName>
    <definedName name="sssss" localSheetId="0" hidden="1">#REF!</definedName>
    <definedName name="sssss" hidden="1">#REF!</definedName>
    <definedName name="SSWEWE" localSheetId="0" hidden="1">#REF!</definedName>
    <definedName name="SSWEWE" hidden="1">#REF!</definedName>
    <definedName name="ST" localSheetId="0">#REF!</definedName>
    <definedName name="ST">'[7]Swimming pool'!$D$17</definedName>
    <definedName name="staffing" localSheetId="0">#REF!</definedName>
    <definedName name="staffing">#REF!</definedName>
    <definedName name="Stage" localSheetId="0">#REF!</definedName>
    <definedName name="Stage">#REF!</definedName>
    <definedName name="Staircase" localSheetId="0">#REF!</definedName>
    <definedName name="Staircase">#REF!</definedName>
    <definedName name="Staircase2" localSheetId="0">#REF!</definedName>
    <definedName name="Staircase2">#REF!</definedName>
    <definedName name="Start_Date" localSheetId="0">#REF!</definedName>
    <definedName name="Start_Date">#REF!</definedName>
    <definedName name="StartDate" localSheetId="0">#REF!</definedName>
    <definedName name="StartDate">#REF!</definedName>
    <definedName name="StartDate_4" localSheetId="0">#REF!</definedName>
    <definedName name="StartDate_4">#REF!</definedName>
    <definedName name="StartDate_6" localSheetId="0">#REF!</definedName>
    <definedName name="StartDate_6">#REF!</definedName>
    <definedName name="steel" localSheetId="0">#REF!</definedName>
    <definedName name="steel">#REF!</definedName>
    <definedName name="steelc.b.d" localSheetId="0">#REF!</definedName>
    <definedName name="steelc.b.d">'[58]149'!#REF!</definedName>
    <definedName name="Steps" comment="STEPS">'[59]Plastering-CH'!#REF!</definedName>
    <definedName name="stetr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 localSheetId="0">#REF!</definedName>
    <definedName name="stock">#REF!</definedName>
    <definedName name="stoolag08" localSheetId="0">#REF!</definedName>
    <definedName name="stoolag08">#REF!</definedName>
    <definedName name="stoolag50" localSheetId="0">#REF!</definedName>
    <definedName name="stoolag50">#REF!</definedName>
    <definedName name="stoolag81" localSheetId="0">#REF!</definedName>
    <definedName name="stoolag81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tt" localSheetId="0">#REF!</definedName>
    <definedName name="stt">#REF!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 localSheetId="0">#REF!</definedName>
    <definedName name="Subject">#REF!</definedName>
    <definedName name="SUMMARY" localSheetId="0">#REF!</definedName>
    <definedName name="SUMMARY">#REF!</definedName>
    <definedName name="suresh" localSheetId="0">#REF!</definedName>
    <definedName name="suresh">#REF!</definedName>
    <definedName name="SURYA" localSheetId="0">#REF!</definedName>
    <definedName name="SURYA">#REF!</definedName>
    <definedName name="sushma" localSheetId="0">#REF!</definedName>
    <definedName name="sushma">#REF!</definedName>
    <definedName name="swf" localSheetId="0">#REF!</definedName>
    <definedName name="swf">#REF!</definedName>
    <definedName name="swf_4" localSheetId="0">#REF!</definedName>
    <definedName name="swf_4">#REF!</definedName>
    <definedName name="swf_6" localSheetId="0">#REF!</definedName>
    <definedName name="swf_6">#REF!</definedName>
    <definedName name="swimmingpool" localSheetId="0">#REF!</definedName>
    <definedName name="swimmingpool">#REF!</definedName>
    <definedName name="sysysey" localSheetId="0">Scheduled_Payment+Extra_Payment</definedName>
    <definedName name="sysysey">Scheduled_Payment+Extra_Payment</definedName>
    <definedName name="sytey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0" localSheetId="0">#REF!</definedName>
    <definedName name="T0">#REF!</definedName>
    <definedName name="TA_1" localSheetId="0">#REF!</definedName>
    <definedName name="TA_1">#REF!</definedName>
    <definedName name="TA_2" localSheetId="0">#REF!</definedName>
    <definedName name="TA_2">#REF!</definedName>
    <definedName name="Table" localSheetId="0">#REF!</definedName>
    <definedName name="Table">#REF!</definedName>
    <definedName name="table1" localSheetId="0">#REF!</definedName>
    <definedName name="table1">'[6]SPT vs PHI'!$E$2:$F$47</definedName>
    <definedName name="TABLE2" localSheetId="0">#REF!</definedName>
    <definedName name="TABLE2">#REF!</definedName>
    <definedName name="table3" localSheetId="0">#REF!</definedName>
    <definedName name="table3">#REF!</definedName>
    <definedName name="TABLE4" localSheetId="0">#REF!</definedName>
    <definedName name="TABLE4">#REF!</definedName>
    <definedName name="TableRange" localSheetId="0">#REF!</definedName>
    <definedName name="TableRange">#REF!</definedName>
    <definedName name="ta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 localSheetId="0">#REF!</definedName>
    <definedName name="tallu">#REF!</definedName>
    <definedName name="tally" localSheetId="0">#REF!</definedName>
    <definedName name="tally">#REF!</definedName>
    <definedName name="tc" localSheetId="0">#REF!</definedName>
    <definedName name="tc">#REF!</definedName>
    <definedName name="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 localSheetId="0">#REF!</definedName>
    <definedName name="TECHI">#REF!</definedName>
    <definedName name="TechnoSpace" localSheetId="0">#REF!</definedName>
    <definedName name="TechnoSpace">#REF!</definedName>
    <definedName name="tee" localSheetId="0">#REF!</definedName>
    <definedName name="tee">#REF!</definedName>
    <definedName name="tel" localSheetId="0">#REF!</definedName>
    <definedName name="tel">#REF!</definedName>
    <definedName name="TELEVISION" localSheetId="0">#REF!</definedName>
    <definedName name="TELEVISION">#REF!</definedName>
    <definedName name="tem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 localSheetId="0">#REF!</definedName>
    <definedName name="TEND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se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L" localSheetId="0">#REF!</definedName>
    <definedName name="TFL">'[7]Column Blk 1'!$C$1155</definedName>
    <definedName name="TierCode" localSheetId="0">#REF!</definedName>
    <definedName name="TierCode">#REF!</definedName>
    <definedName name="TierCode_4" localSheetId="0">#REF!</definedName>
    <definedName name="TierCode_4">#REF!</definedName>
    <definedName name="TierCode_6" localSheetId="0">#REF!</definedName>
    <definedName name="TierCode_6">#REF!</definedName>
    <definedName name="TierCode_Text" localSheetId="0">#REF!</definedName>
    <definedName name="TierCode_Text">#REF!</definedName>
    <definedName name="TierCode_Text_4" localSheetId="0">#REF!</definedName>
    <definedName name="TierCode_Text_4">#REF!</definedName>
    <definedName name="TierCode_Text_6" localSheetId="0">#REF!</definedName>
    <definedName name="TierCode_Text_6">#REF!</definedName>
    <definedName name="tileaq" localSheetId="0">#REF!</definedName>
    <definedName name="tileaq">#REF!</definedName>
    <definedName name="Timberstep" localSheetId="0">#REF!</definedName>
    <definedName name="Timberstep">#REF!</definedName>
    <definedName name="Title" localSheetId="0">#REF!</definedName>
    <definedName name="Title">'[60]Civil Boq'!$D$3</definedName>
    <definedName name="Title1" localSheetId="0">#REF!</definedName>
    <definedName name="Title1">#REF!</definedName>
    <definedName name="Title2" localSheetId="0">#REF!</definedName>
    <definedName name="Title2">#REF!</definedName>
    <definedName name="tol" localSheetId="0">#REF!</definedName>
    <definedName name="tol">#REF!</definedName>
    <definedName name="tools" localSheetId="0">#REF!</definedName>
    <definedName name="tools">#REF!</definedName>
    <definedName name="tools1" localSheetId="0">#REF!</definedName>
    <definedName name="tools1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_CONSUMPTION" localSheetId="0">#REF!</definedName>
    <definedName name="TOTAL_CONSUMPTION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[18]!_______________b1+Extra_Payment</definedName>
    <definedName name="towre" localSheetId="0">#REF!</definedName>
    <definedName name="towre">#REF!</definedName>
    <definedName name="tr" localSheetId="0">#REF!</definedName>
    <definedName name="tr">#REF!</definedName>
    <definedName name="tranformer" localSheetId="0" hidden="1">#REF!</definedName>
    <definedName name="tranformer" hidden="1">#REF!</definedName>
    <definedName name="TRAN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 localSheetId="0">#REF!</definedName>
    <definedName name="trrtr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t" localSheetId="0" hidden="1">#REF!</definedName>
    <definedName name="ttt" hidden="1">#REF!</definedName>
    <definedName name="tttt" localSheetId="0">#REF!</definedName>
    <definedName name="tttt">#REF!</definedName>
    <definedName name="ttttt" localSheetId="0">#REF!</definedName>
    <definedName name="ttttt">#REF!</definedName>
    <definedName name="tttttt" localSheetId="0">#REF!</definedName>
    <definedName name="tttttt">#REF!</definedName>
    <definedName name="tttttttt" localSheetId="0">#REF!</definedName>
    <definedName name="tttttttt">#REF!</definedName>
    <definedName name="ttttttttt" localSheetId="0">#REF!</definedName>
    <definedName name="ttttttttt">#REF!</definedName>
    <definedName name="tu" localSheetId="0">#REF!</definedName>
    <definedName name="tu">#REF!</definedName>
    <definedName name="TUES1" localSheetId="0">#REF!</definedName>
    <definedName name="TUES1">#REF!</definedName>
    <definedName name="tulip" localSheetId="0">#REF!</definedName>
    <definedName name="tulip">#REF!</definedName>
    <definedName name="tuti" localSheetId="0" hidden="1">#REF!</definedName>
    <definedName name="tuti" hidden="1">#REF!</definedName>
    <definedName name="tutyoiou">#N/A</definedName>
    <definedName name="TV" localSheetId="0">#REF!</definedName>
    <definedName name="TV">#REF!</definedName>
    <definedName name="TVV" localSheetId="0">#REF!</definedName>
    <definedName name="TVV">#REF!</definedName>
    <definedName name="ty" localSheetId="0" hidden="1">#REF!</definedName>
    <definedName name="ty" hidden="1">#REF!</definedName>
    <definedName name="tyeesgy" localSheetId="0">#REF!</definedName>
    <definedName name="tyeesgy">#REF!</definedName>
    <definedName name="type" localSheetId="0">#REF!</definedName>
    <definedName name="type">#REF!</definedName>
    <definedName name="Type1" localSheetId="0">#REF!</definedName>
    <definedName name="Type1">#REF!</definedName>
    <definedName name="Type2" localSheetId="0">#REF!</definedName>
    <definedName name="Type2">#REF!</definedName>
    <definedName name="Type3" localSheetId="0">#REF!</definedName>
    <definedName name="Type3">#REF!</definedName>
    <definedName name="tyt" localSheetId="0">#REF!</definedName>
    <definedName name="tyt">#REF!</definedName>
    <definedName name="tyy" localSheetId="0">#REF!</definedName>
    <definedName name="tyy">#REF!</definedName>
    <definedName name="u" localSheetId="0">#REF!</definedName>
    <definedName name="u">#REF!</definedName>
    <definedName name="UGF" localSheetId="0">#REF!</definedName>
    <definedName name="UGF">'[7]Column Blk 1'!$C$323</definedName>
    <definedName name="uiui" localSheetId="0">#REF!</definedName>
    <definedName name="uiui">#REF!</definedName>
    <definedName name="uiyo" localSheetId="0">#REF!</definedName>
    <definedName name="uiyo">#REF!</definedName>
    <definedName name="UNITS" localSheetId="0">#REF!</definedName>
    <definedName name="UNITS">#REF!</definedName>
    <definedName name="unsecured" localSheetId="0">#REF!</definedName>
    <definedName name="unsecured">#REF!</definedName>
    <definedName name="usd" localSheetId="0">#REF!</definedName>
    <definedName name="usd">#REF!</definedName>
    <definedName name="Use_Alternates" localSheetId="0">#REF!</definedName>
    <definedName name="Use_Alternates">#REF!</definedName>
    <definedName name="uu" localSheetId="0">#REF!</definedName>
    <definedName name="uu">#REF!</definedName>
    <definedName name="uuu" localSheetId="0">#REF!</definedName>
    <definedName name="uuu">#REF!</definedName>
    <definedName name="uuuuuuuu" localSheetId="0">#REF!</definedName>
    <definedName name="uuuuuuuu">#REF!</definedName>
    <definedName name="uyiui" localSheetId="0">#REF!</definedName>
    <definedName name="uyiui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_1" localSheetId="0">#REF!</definedName>
    <definedName name="VA_1">#REF!</definedName>
    <definedName name="VA_2" localSheetId="0">#REF!</definedName>
    <definedName name="VA_2">#REF!</definedName>
    <definedName name="VA_3" localSheetId="0">#REF!</definedName>
    <definedName name="VA_3">#REF!</definedName>
    <definedName name="VADODARA_________________________________CLIENT_______________M_s" localSheetId="0">#REF!</definedName>
    <definedName name="VADODARA_________________________________CLIENT_______________M_s">'[8]MASTER_RATE ANALYSIS'!$B$185:$G$185</definedName>
    <definedName name="vahas" localSheetId="0">#REF!</definedName>
    <definedName name="vahas">#REF!</definedName>
    <definedName name="Values_Entered" localSheetId="0">IF('Beam - Clubhouse'!Loan_Amount*'Beam - Clubhouse'!Interest_Rate*'Beam - Clubhouse'!Loan_Years*'Beam - Clubhouse'!Loan_Start&gt;0,1,0)</definedName>
    <definedName name="Values_Entered">IF(Loan_Amount*Interest_Rate*Loan_Years*Loan_Start&gt;0,1,0)</definedName>
    <definedName name="VANDEMATARAM" localSheetId="0">#REF!</definedName>
    <definedName name="VANDEMATARAM">#REF!</definedName>
    <definedName name="variance" localSheetId="0">#REF!</definedName>
    <definedName name="variance">#REF!</definedName>
    <definedName name="variance.." localSheetId="0">#REF!</definedName>
    <definedName name="variance..">#REF!</definedName>
    <definedName name="vatf" localSheetId="0">#REF!</definedName>
    <definedName name="vatf">#REF!</definedName>
    <definedName name="vatf_4" localSheetId="0">#REF!</definedName>
    <definedName name="vatf_4">#REF!</definedName>
    <definedName name="vatf_6" localSheetId="0">#REF!</definedName>
    <definedName name="vatf_6">#REF!</definedName>
    <definedName name="VB" localSheetId="0">#REF!</definedName>
    <definedName name="VB">#REF!</definedName>
    <definedName name="vbv" localSheetId="0">#REF!</definedName>
    <definedName name="vbv">#REF!</definedName>
    <definedName name="vbvb" localSheetId="0">#REF!</definedName>
    <definedName name="vbvb">#REF!</definedName>
    <definedName name="vc" localSheetId="0">#REF!</definedName>
    <definedName name="vc">#REF!</definedName>
    <definedName name="VD" localSheetId="0">#REF!</definedName>
    <definedName name="VD">#REF!</definedName>
    <definedName name="veh" localSheetId="0">#REF!</definedName>
    <definedName name="veh">#REF!</definedName>
    <definedName name="vehicle" localSheetId="0">#REF!</definedName>
    <definedName name="vehicle">#REF!</definedName>
    <definedName name="Velocity_DiCL" localSheetId="0">#REF!</definedName>
    <definedName name="Velocity_DiCL">#REF!</definedName>
    <definedName name="Velocity_ORD" localSheetId="0">#REF!</definedName>
    <definedName name="Velocity_ORD">#REF!</definedName>
    <definedName name="Vend" localSheetId="0">#REF!</definedName>
    <definedName name="Vend">#REF!</definedName>
    <definedName name="VENEER" localSheetId="0">#REF!</definedName>
    <definedName name="VENEER">#REF!</definedName>
    <definedName name="Vf" localSheetId="0">#REF!</definedName>
    <definedName name="Vf">#REF!</definedName>
    <definedName name="vgj" localSheetId="0">#REF!</definedName>
    <definedName name="vgj">'[13]Structure Bills Qty'!$A$1:$IV$3</definedName>
    <definedName name="vijay" localSheetId="0">#REF!</definedName>
    <definedName name="vijay">#REF!</definedName>
    <definedName name="VIVEKANANDA" localSheetId="0">#REF!</definedName>
    <definedName name="VIVEKANANDA">#REF!</definedName>
    <definedName name="vjj" localSheetId="0">#REF!</definedName>
    <definedName name="vjj">#REF!</definedName>
    <definedName name="VNFVBDVFBZDSD" localSheetId="0">#REF!</definedName>
    <definedName name="VNFVBDVFBZDSD">#REF!</definedName>
    <definedName name="Vsigma" localSheetId="0">#REF!</definedName>
    <definedName name="Vsigma">#REF!</definedName>
    <definedName name="vv" localSheetId="0">#REF!</definedName>
    <definedName name="vv">#REF!</definedName>
    <definedName name="vxckbmjklbgjnklgbmjh" localSheetId="0" hidden="1">#REF!</definedName>
    <definedName name="vxckbmjklbgjnklgbmjh" hidden="1">#REF!</definedName>
    <definedName name="Vz" localSheetId="0">#REF!</definedName>
    <definedName name="Vz">#REF!</definedName>
    <definedName name="w" localSheetId="0">#REF!</definedName>
    <definedName name="w">#REF!</definedName>
    <definedName name="Waiting">"Picture 1"</definedName>
    <definedName name="Water_Proofing" localSheetId="0">#REF!</definedName>
    <definedName name="Water_Proofing">#REF!</definedName>
    <definedName name="wdf" localSheetId="0">#REF!</definedName>
    <definedName name="wdf">#REF!</definedName>
    <definedName name="we" localSheetId="0">#REF!</definedName>
    <definedName name="we">#REF!</definedName>
    <definedName name="wee" localSheetId="0">#REF!</definedName>
    <definedName name="wee">#REF!</definedName>
    <definedName name="werwe" localSheetId="0">#REF!</definedName>
    <definedName name="werwe">#REF!</definedName>
    <definedName name="wetewt" localSheetId="0">#REF!</definedName>
    <definedName name="wetewt">#REF!</definedName>
    <definedName name="wewe" localSheetId="0">#REF!</definedName>
    <definedName name="wewe">#REF!</definedName>
    <definedName name="wfrwfrwefw" localSheetId="0">#REF!</definedName>
    <definedName name="wfrwfrwefw">#REF!</definedName>
    <definedName name="WHITEWOOD" localSheetId="0">#REF!</definedName>
    <definedName name="WHITEWOOD">#REF!</definedName>
    <definedName name="wid" localSheetId="0">#REF!</definedName>
    <definedName name="wid">#REF!</definedName>
    <definedName name="wip" localSheetId="0">#REF!</definedName>
    <definedName name="wip">#REF!</definedName>
    <definedName name="WLP" localSheetId="0">#REF!</definedName>
    <definedName name="WLP">#REF!</definedName>
    <definedName name="wood1344" localSheetId="0">#REF!</definedName>
    <definedName name="wood1344">'[58]149'!#REF!</definedName>
    <definedName name="woodc.b.d" localSheetId="0">#REF!</definedName>
    <definedName name="woodc.b.d">'[58]149'!#REF!</definedName>
    <definedName name="woodenflooring" localSheetId="0">#REF!</definedName>
    <definedName name="woodenflooring">#REF!</definedName>
    <definedName name="work" localSheetId="0">#REF!</definedName>
    <definedName name="work">#REF!</definedName>
    <definedName name="WP" localSheetId="0">#REF!</definedName>
    <definedName name="WP">#REF!</definedName>
    <definedName name="wreqwrt" localSheetId="0">#REF!</definedName>
    <definedName name="wreqwrt">#REF!</definedName>
    <definedName name="wrftw" localSheetId="0">#REF!</definedName>
    <definedName name="wrftw">#REF!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 localSheetId="0">#REF!</definedName>
    <definedName name="wswww">#REF!</definedName>
    <definedName name="wtrwwefr" localSheetId="0">#REF!</definedName>
    <definedName name="wtrwwefr">#REF!</definedName>
    <definedName name="ww" localSheetId="0" hidden="1">#REF!</definedName>
    <definedName name="ww" hidden="1">#REF!</definedName>
    <definedName name="wwwwww" localSheetId="0" hidden="1">#REF!</definedName>
    <definedName name="wwwwww" hidden="1">#REF!</definedName>
    <definedName name="wwwwwwe" localSheetId="0" hidden="1">#REF!</definedName>
    <definedName name="wwwwwwe" hidden="1">#REF!</definedName>
    <definedName name="x" localSheetId="0">#REF!</definedName>
    <definedName name="x">#REF!</definedName>
    <definedName name="xc" localSheetId="0">#REF!</definedName>
    <definedName name="xc">'[61]Break up Sheet'!#REF!</definedName>
    <definedName name="xcv" localSheetId="0">#REF!</definedName>
    <definedName name="xcv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 localSheetId="0">#REF!</definedName>
    <definedName name="xx">#REF!</definedName>
    <definedName name="xy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 localSheetId="0">#REF!</definedName>
    <definedName name="xz">#REF!</definedName>
    <definedName name="xzfvv" localSheetId="0">#REF!</definedName>
    <definedName name="xzfvv">#REF!</definedName>
    <definedName name="y5ey" localSheetId="0">#REF!</definedName>
    <definedName name="y5ey">#REF!</definedName>
    <definedName name="y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 localSheetId="0">#REF!</definedName>
    <definedName name="yu">#REF!</definedName>
    <definedName name="yuyu" localSheetId="0">#REF!</definedName>
    <definedName name="yuyu">#REF!</definedName>
    <definedName name="ywerteqrt" localSheetId="0">#REF!</definedName>
    <definedName name="ywerteqrt">#REF!</definedName>
    <definedName name="yyy" localSheetId="0">#REF!</definedName>
    <definedName name="yyy">#REF!</definedName>
    <definedName name="yyyyyyyyyyy" localSheetId="0">#REF!</definedName>
    <definedName name="yyyyyyyyyyy">#REF!</definedName>
    <definedName name="z" localSheetId="0">#REF!</definedName>
    <definedName name="z">#REF!</definedName>
    <definedName name="Z_01EEECA8_52E8_4BA6_B221_CB6D3C468C80_.wvu.Cols" localSheetId="0" hidden="1">#REF!</definedName>
    <definedName name="Z_01EEECA8_52E8_4BA6_B221_CB6D3C468C80_.wvu.Cols" hidden="1">#REF!</definedName>
    <definedName name="Z_01EEECA8_52E8_4BA6_B221_CB6D3C468C80_.wvu.FilterData" localSheetId="0" hidden="1">#REF!</definedName>
    <definedName name="Z_01EEECA8_52E8_4BA6_B221_CB6D3C468C80_.wvu.FilterData" hidden="1">#REF!</definedName>
    <definedName name="Z_0B3EF283_BAAE_40DA_B109_606B8002D5D4_.wvu.FilterData" localSheetId="0" hidden="1">#REF!</definedName>
    <definedName name="Z_0B3EF283_BAAE_40DA_B109_606B8002D5D4_.wvu.FilterData" hidden="1">#REF!</definedName>
    <definedName name="Z_0C509CAE_4B28_497F_9463_E056D87AE422_.wvu.Rows" localSheetId="0" hidden="1">#REF!</definedName>
    <definedName name="Z_0C509CAE_4B28_497F_9463_E056D87AE422_.wvu.Rows" hidden="1">#REF!</definedName>
    <definedName name="Z_5A4CDE39_BC84_48C0_8208_6970E7A71896_.wvu.Cols" localSheetId="0" hidden="1">#REF!,#REF!,#REF!</definedName>
    <definedName name="Z_5A4CDE39_BC84_48C0_8208_6970E7A71896_.wvu.Cols" hidden="1">#REF!,#REF!,#REF!</definedName>
    <definedName name="Z_64FBE21F_D610_4122_B662_C1CA556F0E6B_.wvu.Rows" localSheetId="0" hidden="1">#REF!,#REF!</definedName>
    <definedName name="Z_64FBE21F_D610_4122_B662_C1CA556F0E6B_.wvu.Rows" hidden="1">#REF!,#REF!</definedName>
    <definedName name="Z_67879F2D_A365_4C5F_ACA2_06A222DC585F_.wvu.FilterData" localSheetId="0" hidden="1">#REF!</definedName>
    <definedName name="Z_67879F2D_A365_4C5F_ACA2_06A222DC585F_.wvu.FilterData" hidden="1">#REF!</definedName>
    <definedName name="Z_6CDCF69B_5AF1_4147_8314_DDC51BBAE13A_.wvu.FilterData" localSheetId="0" hidden="1">#REF!</definedName>
    <definedName name="Z_6CDCF69B_5AF1_4147_8314_DDC51BBAE13A_.wvu.FilterData" hidden="1">#REF!</definedName>
    <definedName name="Z_821080B5_A53F_46D5_A7A8_C550E9A6DB8E_.wvu.Rows" localSheetId="0" hidden="1">#REF!</definedName>
    <definedName name="Z_821080B5_A53F_46D5_A7A8_C550E9A6DB8E_.wvu.Rows" hidden="1">#REF!</definedName>
    <definedName name="Z_89FC4C3A_6586_42BA_B0E6_F0959042E6A0_.wvu.Rows" localSheetId="0" hidden="1">#REF!</definedName>
    <definedName name="Z_89FC4C3A_6586_42BA_B0E6_F0959042E6A0_.wvu.Rows" hidden="1">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#REF!,#REF!</definedName>
    <definedName name="Z_8FCC9949_BB10_48DD_835F_9D6E68B3AE12_.wvu.Rows" hidden="1">#REF!,#REF!</definedName>
    <definedName name="Z_97AF8B62_D04D_48F2_A853_93998C7922D6_.wvu.FilterData" localSheetId="0" hidden="1">#REF!</definedName>
    <definedName name="Z_97AF8B62_D04D_48F2_A853_93998C7922D6_.wvu.FilterData" hidden="1">#REF!</definedName>
    <definedName name="Z_9F278A40_BF82_4E3D_9E8B_F7A34E58042E_.wvu.FilterData" localSheetId="0" hidden="1">#REF!</definedName>
    <definedName name="Z_9F278A40_BF82_4E3D_9E8B_F7A34E58042E_.wvu.FilterData" hidden="1">#REF!</definedName>
    <definedName name="Z_E61184E6_4A82_48AD_BD46_AD03682B9E61_.wvu.Rows" localSheetId="0" hidden="1">#REF!</definedName>
    <definedName name="Z_E61184E6_4A82_48AD_BD46_AD03682B9E61_.wvu.Rows" hidden="1">#REF!</definedName>
    <definedName name="Z_EA424862_9DB5_4158_B57E_464B76E20666_.wvu.FilterData" localSheetId="0" hidden="1">#REF!</definedName>
    <definedName name="Z_EA424862_9DB5_4158_B57E_464B76E20666_.wvu.FilterData" hidden="1">#REF!</definedName>
    <definedName name="Z_F56F135F_44F3_478B_BCC3_5E739B702BEF_.wvu.Cols" localSheetId="0" hidden="1">#REF!</definedName>
    <definedName name="Z_F56F135F_44F3_478B_BCC3_5E739B702BEF_.wvu.Cols" hidden="1">#REF!</definedName>
    <definedName name="Z_F56F135F_44F3_478B_BCC3_5E739B702BEF_.wvu.FilterData" localSheetId="0" hidden="1">#REF!</definedName>
    <definedName name="Z_F56F135F_44F3_478B_BCC3_5E739B702BEF_.wvu.FilterData" hidden="1">#REF!</definedName>
    <definedName name="Z_F56F135F_44F3_478B_BCC3_5E739B702BEF_.wvu.PrintTitles" localSheetId="0" hidden="1">#REF!,#REF!</definedName>
    <definedName name="Z_F56F135F_44F3_478B_BCC3_5E739B702BEF_.wvu.PrintTitles" hidden="1">#REF!,#REF!</definedName>
    <definedName name="ZAS" localSheetId="0">#REF!</definedName>
    <definedName name="ZAS">#REF!</definedName>
    <definedName name="za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 localSheetId="0">#REF!</definedName>
    <definedName name="zee">'[57]Break up Sheet'!#REF!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dgfeg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vzv" localSheetId="0">#REF!</definedName>
    <definedName name="zvzv">#REF!</definedName>
    <definedName name="zx" localSheetId="0">#REF!</definedName>
    <definedName name="zx">'[21]Labor abs-PW'!$A$1:$IV$3</definedName>
    <definedName name="zxv" localSheetId="0">#REF!</definedName>
    <definedName name="zxv">#REF!</definedName>
    <definedName name="zxvxzcvb" localSheetId="0">#REF!</definedName>
    <definedName name="zxvxzcvb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" localSheetId="0">#REF!</definedName>
    <definedName name="zz">#REF!</definedName>
    <definedName name="zzx" localSheetId="0">#REF!</definedName>
    <definedName name="zzx">#REF!</definedName>
    <definedName name="zzz" localSheetId="0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8" i="1" l="1"/>
  <c r="G127" i="1"/>
  <c r="O127" i="1" s="1"/>
  <c r="P127" i="1" s="1"/>
  <c r="G124" i="1"/>
  <c r="O124" i="1" s="1"/>
  <c r="P124" i="1" s="1"/>
  <c r="G123" i="1"/>
  <c r="O123" i="1" s="1"/>
  <c r="P123" i="1" s="1"/>
  <c r="G120" i="1"/>
  <c r="O120" i="1" s="1"/>
  <c r="P120" i="1" s="1"/>
  <c r="G119" i="1"/>
  <c r="G116" i="1"/>
  <c r="G115" i="1"/>
  <c r="G113" i="1"/>
  <c r="G111" i="1"/>
  <c r="G110" i="1"/>
  <c r="G109" i="1"/>
  <c r="G108" i="1"/>
  <c r="G104" i="1"/>
  <c r="O104" i="1" s="1"/>
  <c r="P104" i="1" s="1"/>
  <c r="G103" i="1"/>
  <c r="O103" i="1" s="1"/>
  <c r="P103" i="1" s="1"/>
  <c r="G99" i="1"/>
  <c r="O99" i="1" s="1"/>
  <c r="P99" i="1" s="1"/>
  <c r="G98" i="1"/>
  <c r="O98" i="1" s="1"/>
  <c r="P98" i="1" s="1"/>
  <c r="G95" i="1"/>
  <c r="G94" i="1"/>
  <c r="G92" i="1"/>
  <c r="G90" i="1"/>
  <c r="G89" i="1"/>
  <c r="G88" i="1"/>
  <c r="G87" i="1"/>
  <c r="G85" i="1"/>
  <c r="G83" i="1"/>
  <c r="G82" i="1"/>
  <c r="G81" i="1"/>
  <c r="G80" i="1"/>
  <c r="G78" i="1"/>
  <c r="G76" i="1"/>
  <c r="G75" i="1"/>
  <c r="G74" i="1"/>
  <c r="G73" i="1"/>
  <c r="G70" i="1"/>
  <c r="G69" i="1"/>
  <c r="G68" i="1"/>
  <c r="G65" i="1"/>
  <c r="O65" i="1" s="1"/>
  <c r="P65" i="1" s="1"/>
  <c r="G64" i="1"/>
  <c r="O64" i="1" s="1"/>
  <c r="P64" i="1" s="1"/>
  <c r="G58" i="1"/>
  <c r="O58" i="1" s="1"/>
  <c r="P58" i="1" s="1"/>
  <c r="G57" i="1"/>
  <c r="O57" i="1" s="1"/>
  <c r="P57" i="1" s="1"/>
  <c r="G56" i="1"/>
  <c r="O56" i="1" s="1"/>
  <c r="P56" i="1" s="1"/>
  <c r="G55" i="1"/>
  <c r="O55" i="1" s="1"/>
  <c r="P55" i="1" s="1"/>
  <c r="G49" i="1"/>
  <c r="G48" i="1"/>
  <c r="O48" i="1" s="1"/>
  <c r="P48" i="1" s="1"/>
  <c r="G47" i="1"/>
  <c r="O47" i="1" s="1"/>
  <c r="P47" i="1" s="1"/>
  <c r="G46" i="1"/>
  <c r="O46" i="1" s="1"/>
  <c r="P46" i="1" s="1"/>
  <c r="G43" i="1"/>
  <c r="G42" i="1"/>
  <c r="O42" i="1" s="1"/>
  <c r="P42" i="1" s="1"/>
  <c r="G37" i="1"/>
  <c r="O37" i="1" s="1"/>
  <c r="P37" i="1" s="1"/>
  <c r="G36" i="1"/>
  <c r="G35" i="1"/>
  <c r="O35" i="1" s="1"/>
  <c r="P35" i="1" s="1"/>
  <c r="G33" i="1"/>
  <c r="O33" i="1" s="1"/>
  <c r="P33" i="1" s="1"/>
  <c r="Q33" i="1" s="1"/>
  <c r="X33" i="1" s="1"/>
  <c r="G31" i="1"/>
  <c r="O31" i="1" s="1"/>
  <c r="P31" i="1" s="1"/>
  <c r="T31" i="1" s="1"/>
  <c r="G30" i="1"/>
  <c r="O30" i="1" s="1"/>
  <c r="P30" i="1" s="1"/>
  <c r="T30" i="1" s="1"/>
  <c r="G29" i="1"/>
  <c r="O29" i="1" s="1"/>
  <c r="P29" i="1" s="1"/>
  <c r="T29" i="1" s="1"/>
  <c r="G28" i="1"/>
  <c r="O28" i="1" s="1"/>
  <c r="P28" i="1" s="1"/>
  <c r="T28" i="1" s="1"/>
  <c r="W33" i="1"/>
  <c r="V33" i="1"/>
  <c r="U33" i="1"/>
  <c r="T33" i="1"/>
  <c r="S33" i="1"/>
  <c r="R33" i="1"/>
  <c r="F33" i="1"/>
  <c r="W32" i="1"/>
  <c r="V32" i="1"/>
  <c r="U32" i="1"/>
  <c r="T32" i="1"/>
  <c r="S32" i="1"/>
  <c r="R32" i="1"/>
  <c r="F32" i="1"/>
  <c r="W31" i="1"/>
  <c r="V31" i="1"/>
  <c r="S31" i="1"/>
  <c r="R31" i="1"/>
  <c r="Q31" i="1"/>
  <c r="W30" i="1"/>
  <c r="V30" i="1"/>
  <c r="S30" i="1"/>
  <c r="R30" i="1"/>
  <c r="Q30" i="1"/>
  <c r="W29" i="1"/>
  <c r="V29" i="1"/>
  <c r="U29" i="1"/>
  <c r="S29" i="1"/>
  <c r="R29" i="1"/>
  <c r="Q29" i="1"/>
  <c r="W28" i="1"/>
  <c r="V28" i="1"/>
  <c r="U28" i="1"/>
  <c r="S28" i="1"/>
  <c r="R28" i="1"/>
  <c r="Q28" i="1"/>
  <c r="M27" i="1"/>
  <c r="L27" i="1"/>
  <c r="K27" i="1"/>
  <c r="I27" i="1"/>
  <c r="H27" i="1"/>
  <c r="J27" i="1" s="1"/>
  <c r="N27" i="1" s="1"/>
  <c r="D4" i="1"/>
  <c r="O40" i="1" s="1"/>
  <c r="Q35" i="1"/>
  <c r="W129" i="1"/>
  <c r="V129" i="1"/>
  <c r="U129" i="1"/>
  <c r="T129" i="1"/>
  <c r="S129" i="1"/>
  <c r="R129" i="1"/>
  <c r="F129" i="1"/>
  <c r="W128" i="1"/>
  <c r="V128" i="1"/>
  <c r="T128" i="1"/>
  <c r="S128" i="1"/>
  <c r="R128" i="1"/>
  <c r="Q128" i="1"/>
  <c r="O128" i="1"/>
  <c r="P128" i="1" s="1"/>
  <c r="W127" i="1"/>
  <c r="V127" i="1"/>
  <c r="T127" i="1"/>
  <c r="S127" i="1"/>
  <c r="R127" i="1"/>
  <c r="Q127" i="1"/>
  <c r="M126" i="1"/>
  <c r="L126" i="1"/>
  <c r="K126" i="1"/>
  <c r="I126" i="1"/>
  <c r="H126" i="1"/>
  <c r="J126" i="1" s="1"/>
  <c r="N126" i="1" s="1"/>
  <c r="W125" i="1"/>
  <c r="V125" i="1"/>
  <c r="U125" i="1"/>
  <c r="T125" i="1"/>
  <c r="S125" i="1"/>
  <c r="R125" i="1"/>
  <c r="F125" i="1"/>
  <c r="W124" i="1"/>
  <c r="V124" i="1"/>
  <c r="T124" i="1"/>
  <c r="S124" i="1"/>
  <c r="R124" i="1"/>
  <c r="Q124" i="1"/>
  <c r="W123" i="1"/>
  <c r="V123" i="1"/>
  <c r="T123" i="1"/>
  <c r="S123" i="1"/>
  <c r="R123" i="1"/>
  <c r="Q123" i="1"/>
  <c r="M122" i="1"/>
  <c r="L122" i="1"/>
  <c r="K122" i="1"/>
  <c r="I122" i="1"/>
  <c r="H122" i="1"/>
  <c r="J122" i="1" s="1"/>
  <c r="N122" i="1" s="1"/>
  <c r="W121" i="1"/>
  <c r="V121" i="1"/>
  <c r="U121" i="1"/>
  <c r="T121" i="1"/>
  <c r="S121" i="1"/>
  <c r="R121" i="1"/>
  <c r="F121" i="1"/>
  <c r="W120" i="1"/>
  <c r="V120" i="1"/>
  <c r="U120" i="1"/>
  <c r="S120" i="1"/>
  <c r="R120" i="1"/>
  <c r="Q120" i="1"/>
  <c r="W119" i="1"/>
  <c r="V119" i="1"/>
  <c r="U119" i="1"/>
  <c r="S119" i="1"/>
  <c r="R119" i="1"/>
  <c r="Q119" i="1"/>
  <c r="O119" i="1"/>
  <c r="P119" i="1" s="1"/>
  <c r="M118" i="1"/>
  <c r="L118" i="1"/>
  <c r="K118" i="1"/>
  <c r="I118" i="1"/>
  <c r="H118" i="1"/>
  <c r="J118" i="1" s="1"/>
  <c r="N118" i="1" s="1"/>
  <c r="W117" i="1"/>
  <c r="V117" i="1"/>
  <c r="U117" i="1"/>
  <c r="T117" i="1"/>
  <c r="S117" i="1"/>
  <c r="R117" i="1"/>
  <c r="F117" i="1"/>
  <c r="W116" i="1"/>
  <c r="V116" i="1"/>
  <c r="U116" i="1"/>
  <c r="S116" i="1"/>
  <c r="R116" i="1"/>
  <c r="Q116" i="1"/>
  <c r="O116" i="1"/>
  <c r="P116" i="1" s="1"/>
  <c r="W115" i="1"/>
  <c r="V115" i="1"/>
  <c r="U115" i="1"/>
  <c r="S115" i="1"/>
  <c r="R115" i="1"/>
  <c r="Q115" i="1"/>
  <c r="O115" i="1"/>
  <c r="P115" i="1" s="1"/>
  <c r="M114" i="1"/>
  <c r="L114" i="1"/>
  <c r="K114" i="1"/>
  <c r="I114" i="1"/>
  <c r="H114" i="1"/>
  <c r="J114" i="1" s="1"/>
  <c r="N114" i="1" s="1"/>
  <c r="W113" i="1"/>
  <c r="V113" i="1"/>
  <c r="U113" i="1"/>
  <c r="T113" i="1"/>
  <c r="S113" i="1"/>
  <c r="R113" i="1"/>
  <c r="O113" i="1"/>
  <c r="F113" i="1"/>
  <c r="W112" i="1"/>
  <c r="V112" i="1"/>
  <c r="U112" i="1"/>
  <c r="T112" i="1"/>
  <c r="S112" i="1"/>
  <c r="R112" i="1"/>
  <c r="F112" i="1"/>
  <c r="W111" i="1"/>
  <c r="V111" i="1"/>
  <c r="U111" i="1"/>
  <c r="S111" i="1"/>
  <c r="R111" i="1"/>
  <c r="Q111" i="1"/>
  <c r="O111" i="1"/>
  <c r="P111" i="1" s="1"/>
  <c r="W110" i="1"/>
  <c r="V110" i="1"/>
  <c r="U110" i="1"/>
  <c r="S110" i="1"/>
  <c r="R110" i="1"/>
  <c r="Q110" i="1"/>
  <c r="O110" i="1"/>
  <c r="P110" i="1" s="1"/>
  <c r="W109" i="1"/>
  <c r="V109" i="1"/>
  <c r="U109" i="1"/>
  <c r="S109" i="1"/>
  <c r="R109" i="1"/>
  <c r="Q109" i="1"/>
  <c r="O109" i="1"/>
  <c r="P109" i="1" s="1"/>
  <c r="W108" i="1"/>
  <c r="V108" i="1"/>
  <c r="U108" i="1"/>
  <c r="S108" i="1"/>
  <c r="R108" i="1"/>
  <c r="Q108" i="1"/>
  <c r="O108" i="1"/>
  <c r="P108" i="1" s="1"/>
  <c r="M107" i="1"/>
  <c r="L107" i="1"/>
  <c r="K107" i="1"/>
  <c r="I107" i="1"/>
  <c r="H107" i="1"/>
  <c r="J107" i="1" s="1"/>
  <c r="N107" i="1" s="1"/>
  <c r="W106" i="1"/>
  <c r="V106" i="1"/>
  <c r="U106" i="1"/>
  <c r="T106" i="1"/>
  <c r="S106" i="1"/>
  <c r="R106" i="1"/>
  <c r="F106" i="1"/>
  <c r="W105" i="1"/>
  <c r="V105" i="1"/>
  <c r="U105" i="1"/>
  <c r="T105" i="1"/>
  <c r="S105" i="1"/>
  <c r="R105" i="1"/>
  <c r="F105" i="1"/>
  <c r="W104" i="1"/>
  <c r="V104" i="1"/>
  <c r="T104" i="1"/>
  <c r="S104" i="1"/>
  <c r="R104" i="1"/>
  <c r="Q104" i="1"/>
  <c r="W103" i="1"/>
  <c r="V103" i="1"/>
  <c r="U103" i="1"/>
  <c r="S103" i="1"/>
  <c r="R103" i="1"/>
  <c r="Q103" i="1"/>
  <c r="M102" i="1"/>
  <c r="L102" i="1"/>
  <c r="K102" i="1"/>
  <c r="I102" i="1"/>
  <c r="H102" i="1"/>
  <c r="J102" i="1" s="1"/>
  <c r="N102" i="1" s="1"/>
  <c r="W101" i="1"/>
  <c r="V101" i="1"/>
  <c r="U101" i="1"/>
  <c r="T101" i="1"/>
  <c r="S101" i="1"/>
  <c r="R101" i="1"/>
  <c r="F101" i="1"/>
  <c r="W100" i="1"/>
  <c r="V100" i="1"/>
  <c r="U100" i="1"/>
  <c r="T100" i="1"/>
  <c r="S100" i="1"/>
  <c r="R100" i="1"/>
  <c r="F100" i="1"/>
  <c r="W99" i="1"/>
  <c r="V99" i="1"/>
  <c r="T99" i="1"/>
  <c r="S99" i="1"/>
  <c r="R99" i="1"/>
  <c r="Q99" i="1"/>
  <c r="W98" i="1"/>
  <c r="V98" i="1"/>
  <c r="U98" i="1"/>
  <c r="S98" i="1"/>
  <c r="R98" i="1"/>
  <c r="Q98" i="1"/>
  <c r="M97" i="1"/>
  <c r="L97" i="1"/>
  <c r="K97" i="1"/>
  <c r="I97" i="1"/>
  <c r="H97" i="1"/>
  <c r="J97" i="1" s="1"/>
  <c r="N97" i="1" s="1"/>
  <c r="W96" i="1"/>
  <c r="V96" i="1"/>
  <c r="U96" i="1"/>
  <c r="T96" i="1"/>
  <c r="S96" i="1"/>
  <c r="R96" i="1"/>
  <c r="F96" i="1"/>
  <c r="W95" i="1"/>
  <c r="V95" i="1"/>
  <c r="U95" i="1"/>
  <c r="S95" i="1"/>
  <c r="R95" i="1"/>
  <c r="Q95" i="1"/>
  <c r="O95" i="1"/>
  <c r="P95" i="1" s="1"/>
  <c r="W94" i="1"/>
  <c r="V94" i="1"/>
  <c r="U94" i="1"/>
  <c r="S94" i="1"/>
  <c r="R94" i="1"/>
  <c r="Q94" i="1"/>
  <c r="O94" i="1"/>
  <c r="P94" i="1" s="1"/>
  <c r="M93" i="1"/>
  <c r="L93" i="1"/>
  <c r="K93" i="1"/>
  <c r="I93" i="1"/>
  <c r="H93" i="1"/>
  <c r="J93" i="1" s="1"/>
  <c r="N93" i="1" s="1"/>
  <c r="W92" i="1"/>
  <c r="V92" i="1"/>
  <c r="U92" i="1"/>
  <c r="T92" i="1"/>
  <c r="S92" i="1"/>
  <c r="R92" i="1"/>
  <c r="O92" i="1"/>
  <c r="F92" i="1"/>
  <c r="W91" i="1"/>
  <c r="V91" i="1"/>
  <c r="U91" i="1"/>
  <c r="T91" i="1"/>
  <c r="S91" i="1"/>
  <c r="R91" i="1"/>
  <c r="F91" i="1"/>
  <c r="W90" i="1"/>
  <c r="V90" i="1"/>
  <c r="U90" i="1"/>
  <c r="S90" i="1"/>
  <c r="R90" i="1"/>
  <c r="Q90" i="1"/>
  <c r="O90" i="1"/>
  <c r="P90" i="1" s="1"/>
  <c r="W89" i="1"/>
  <c r="V89" i="1"/>
  <c r="U89" i="1"/>
  <c r="S89" i="1"/>
  <c r="R89" i="1"/>
  <c r="Q89" i="1"/>
  <c r="O89" i="1"/>
  <c r="P89" i="1" s="1"/>
  <c r="W88" i="1"/>
  <c r="V88" i="1"/>
  <c r="U88" i="1"/>
  <c r="S88" i="1"/>
  <c r="R88" i="1"/>
  <c r="Q88" i="1"/>
  <c r="O88" i="1"/>
  <c r="P88" i="1" s="1"/>
  <c r="W87" i="1"/>
  <c r="V87" i="1"/>
  <c r="U87" i="1"/>
  <c r="S87" i="1"/>
  <c r="R87" i="1"/>
  <c r="Q87" i="1"/>
  <c r="O87" i="1"/>
  <c r="P87" i="1" s="1"/>
  <c r="M86" i="1"/>
  <c r="L86" i="1"/>
  <c r="K86" i="1"/>
  <c r="I86" i="1"/>
  <c r="H86" i="1"/>
  <c r="J86" i="1" s="1"/>
  <c r="N86" i="1" s="1"/>
  <c r="W85" i="1"/>
  <c r="V85" i="1"/>
  <c r="U85" i="1"/>
  <c r="T85" i="1"/>
  <c r="S85" i="1"/>
  <c r="R85" i="1"/>
  <c r="O85" i="1"/>
  <c r="F85" i="1"/>
  <c r="W84" i="1"/>
  <c r="V84" i="1"/>
  <c r="U84" i="1"/>
  <c r="T84" i="1"/>
  <c r="S84" i="1"/>
  <c r="R84" i="1"/>
  <c r="F84" i="1"/>
  <c r="W83" i="1"/>
  <c r="V83" i="1"/>
  <c r="U83" i="1"/>
  <c r="S83" i="1"/>
  <c r="R83" i="1"/>
  <c r="Q83" i="1"/>
  <c r="O83" i="1"/>
  <c r="P83" i="1" s="1"/>
  <c r="W82" i="1"/>
  <c r="V82" i="1"/>
  <c r="U82" i="1"/>
  <c r="S82" i="1"/>
  <c r="R82" i="1"/>
  <c r="Q82" i="1"/>
  <c r="O82" i="1"/>
  <c r="P82" i="1" s="1"/>
  <c r="W81" i="1"/>
  <c r="V81" i="1"/>
  <c r="U81" i="1"/>
  <c r="S81" i="1"/>
  <c r="R81" i="1"/>
  <c r="Q81" i="1"/>
  <c r="O81" i="1"/>
  <c r="P81" i="1" s="1"/>
  <c r="W80" i="1"/>
  <c r="V80" i="1"/>
  <c r="U80" i="1"/>
  <c r="S80" i="1"/>
  <c r="R80" i="1"/>
  <c r="Q80" i="1"/>
  <c r="O80" i="1"/>
  <c r="P80" i="1" s="1"/>
  <c r="M79" i="1"/>
  <c r="L79" i="1"/>
  <c r="K79" i="1"/>
  <c r="I79" i="1"/>
  <c r="H79" i="1"/>
  <c r="J79" i="1" s="1"/>
  <c r="N79" i="1" s="1"/>
  <c r="W78" i="1"/>
  <c r="V78" i="1"/>
  <c r="U78" i="1"/>
  <c r="T78" i="1"/>
  <c r="S78" i="1"/>
  <c r="R78" i="1"/>
  <c r="O78" i="1"/>
  <c r="F78" i="1"/>
  <c r="W77" i="1"/>
  <c r="V77" i="1"/>
  <c r="U77" i="1"/>
  <c r="T77" i="1"/>
  <c r="S77" i="1"/>
  <c r="R77" i="1"/>
  <c r="F77" i="1"/>
  <c r="W76" i="1"/>
  <c r="V76" i="1"/>
  <c r="U76" i="1"/>
  <c r="S76" i="1"/>
  <c r="R76" i="1"/>
  <c r="Q76" i="1"/>
  <c r="O76" i="1"/>
  <c r="P76" i="1" s="1"/>
  <c r="W75" i="1"/>
  <c r="V75" i="1"/>
  <c r="U75" i="1"/>
  <c r="S75" i="1"/>
  <c r="R75" i="1"/>
  <c r="Q75" i="1"/>
  <c r="O75" i="1"/>
  <c r="P75" i="1" s="1"/>
  <c r="W74" i="1"/>
  <c r="V74" i="1"/>
  <c r="U74" i="1"/>
  <c r="S74" i="1"/>
  <c r="R74" i="1"/>
  <c r="Q74" i="1"/>
  <c r="O74" i="1"/>
  <c r="P74" i="1" s="1"/>
  <c r="W73" i="1"/>
  <c r="V73" i="1"/>
  <c r="U73" i="1"/>
  <c r="S73" i="1"/>
  <c r="R73" i="1"/>
  <c r="Q73" i="1"/>
  <c r="O73" i="1"/>
  <c r="P73" i="1" s="1"/>
  <c r="M72" i="1"/>
  <c r="L72" i="1"/>
  <c r="K72" i="1"/>
  <c r="I72" i="1"/>
  <c r="H72" i="1"/>
  <c r="J72" i="1" s="1"/>
  <c r="N72" i="1" s="1"/>
  <c r="W71" i="1"/>
  <c r="V71" i="1"/>
  <c r="U71" i="1"/>
  <c r="T71" i="1"/>
  <c r="S71" i="1"/>
  <c r="Q71" i="1"/>
  <c r="F71" i="1"/>
  <c r="W70" i="1"/>
  <c r="V70" i="1"/>
  <c r="T70" i="1"/>
  <c r="S70" i="1"/>
  <c r="R70" i="1"/>
  <c r="Q70" i="1"/>
  <c r="O70" i="1"/>
  <c r="P70" i="1" s="1"/>
  <c r="W69" i="1"/>
  <c r="V69" i="1"/>
  <c r="U69" i="1"/>
  <c r="S69" i="1"/>
  <c r="R69" i="1"/>
  <c r="Q69" i="1"/>
  <c r="O69" i="1"/>
  <c r="P69" i="1" s="1"/>
  <c r="W68" i="1"/>
  <c r="V68" i="1"/>
  <c r="T68" i="1"/>
  <c r="S68" i="1"/>
  <c r="R68" i="1"/>
  <c r="Q68" i="1"/>
  <c r="O68" i="1"/>
  <c r="P68" i="1" s="1"/>
  <c r="N67" i="1"/>
  <c r="L67" i="1"/>
  <c r="K67" i="1"/>
  <c r="I67" i="1"/>
  <c r="H67" i="1"/>
  <c r="J67" i="1" s="1"/>
  <c r="M67" i="1" s="1"/>
  <c r="W66" i="1"/>
  <c r="V66" i="1"/>
  <c r="U66" i="1"/>
  <c r="T66" i="1"/>
  <c r="S66" i="1"/>
  <c r="R66" i="1"/>
  <c r="F66" i="1"/>
  <c r="W65" i="1"/>
  <c r="V65" i="1"/>
  <c r="T65" i="1"/>
  <c r="S65" i="1"/>
  <c r="R65" i="1"/>
  <c r="Q65" i="1"/>
  <c r="W64" i="1"/>
  <c r="V64" i="1"/>
  <c r="T64" i="1"/>
  <c r="S64" i="1"/>
  <c r="R64" i="1"/>
  <c r="Q64" i="1"/>
  <c r="M63" i="1"/>
  <c r="L63" i="1"/>
  <c r="K63" i="1"/>
  <c r="I63" i="1"/>
  <c r="H63" i="1"/>
  <c r="J63" i="1" s="1"/>
  <c r="N63" i="1" s="1"/>
  <c r="E62" i="1"/>
  <c r="F62" i="1" s="1"/>
  <c r="D62" i="1"/>
  <c r="W62" i="1" s="1"/>
  <c r="E61" i="1"/>
  <c r="F61" i="1" s="1"/>
  <c r="D61" i="1"/>
  <c r="W60" i="1"/>
  <c r="V60" i="1"/>
  <c r="U60" i="1"/>
  <c r="T60" i="1"/>
  <c r="S60" i="1"/>
  <c r="R60" i="1"/>
  <c r="F60" i="1"/>
  <c r="W59" i="1"/>
  <c r="V59" i="1"/>
  <c r="U59" i="1"/>
  <c r="T59" i="1"/>
  <c r="S59" i="1"/>
  <c r="R59" i="1"/>
  <c r="F59" i="1"/>
  <c r="W58" i="1"/>
  <c r="V58" i="1"/>
  <c r="U58" i="1"/>
  <c r="S58" i="1"/>
  <c r="R58" i="1"/>
  <c r="Q58" i="1"/>
  <c r="W57" i="1"/>
  <c r="V57" i="1"/>
  <c r="T57" i="1"/>
  <c r="S57" i="1"/>
  <c r="R57" i="1"/>
  <c r="Q57" i="1"/>
  <c r="W56" i="1"/>
  <c r="V56" i="1"/>
  <c r="U56" i="1"/>
  <c r="T56" i="1"/>
  <c r="R56" i="1"/>
  <c r="Q56" i="1"/>
  <c r="W55" i="1"/>
  <c r="V55" i="1"/>
  <c r="U55" i="1"/>
  <c r="S55" i="1"/>
  <c r="R55" i="1"/>
  <c r="Q55" i="1"/>
  <c r="M54" i="1"/>
  <c r="L54" i="1"/>
  <c r="K54" i="1"/>
  <c r="I54" i="1"/>
  <c r="H54" i="1"/>
  <c r="J54" i="1" s="1"/>
  <c r="N54" i="1" s="1"/>
  <c r="E53" i="1"/>
  <c r="F53" i="1" s="1"/>
  <c r="D53" i="1"/>
  <c r="W53" i="1" s="1"/>
  <c r="E52" i="1"/>
  <c r="F52" i="1" s="1"/>
  <c r="D52" i="1"/>
  <c r="R52" i="1" s="1"/>
  <c r="W51" i="1"/>
  <c r="V51" i="1"/>
  <c r="U51" i="1"/>
  <c r="T51" i="1"/>
  <c r="S51" i="1"/>
  <c r="R51" i="1"/>
  <c r="F51" i="1"/>
  <c r="W50" i="1"/>
  <c r="V50" i="1"/>
  <c r="U50" i="1"/>
  <c r="T50" i="1"/>
  <c r="S50" i="1"/>
  <c r="R50" i="1"/>
  <c r="F50" i="1"/>
  <c r="W49" i="1"/>
  <c r="V49" i="1"/>
  <c r="U49" i="1"/>
  <c r="S49" i="1"/>
  <c r="R49" i="1"/>
  <c r="Q49" i="1"/>
  <c r="O49" i="1"/>
  <c r="P49" i="1" s="1"/>
  <c r="W48" i="1"/>
  <c r="V48" i="1"/>
  <c r="T48" i="1"/>
  <c r="S48" i="1"/>
  <c r="R48" i="1"/>
  <c r="Q48" i="1"/>
  <c r="W47" i="1"/>
  <c r="V47" i="1"/>
  <c r="U47" i="1"/>
  <c r="T47" i="1"/>
  <c r="R47" i="1"/>
  <c r="Q47" i="1"/>
  <c r="W46" i="1"/>
  <c r="V46" i="1"/>
  <c r="U46" i="1"/>
  <c r="S46" i="1"/>
  <c r="R46" i="1"/>
  <c r="Q46" i="1"/>
  <c r="M45" i="1"/>
  <c r="L45" i="1"/>
  <c r="K45" i="1"/>
  <c r="I45" i="1"/>
  <c r="H45" i="1"/>
  <c r="J45" i="1" s="1"/>
  <c r="N45" i="1" s="1"/>
  <c r="W44" i="1"/>
  <c r="V44" i="1"/>
  <c r="U44" i="1"/>
  <c r="T44" i="1"/>
  <c r="S44" i="1"/>
  <c r="R44" i="1"/>
  <c r="F44" i="1"/>
  <c r="W43" i="1"/>
  <c r="V43" i="1"/>
  <c r="T43" i="1"/>
  <c r="S43" i="1"/>
  <c r="R43" i="1"/>
  <c r="Q43" i="1"/>
  <c r="O43" i="1"/>
  <c r="P43" i="1" s="1"/>
  <c r="W42" i="1"/>
  <c r="V42" i="1"/>
  <c r="T42" i="1"/>
  <c r="S42" i="1"/>
  <c r="R42" i="1"/>
  <c r="Q42" i="1"/>
  <c r="M41" i="1"/>
  <c r="L41" i="1"/>
  <c r="K41" i="1"/>
  <c r="I41" i="1"/>
  <c r="H41" i="1"/>
  <c r="J41" i="1" s="1"/>
  <c r="N41" i="1" s="1"/>
  <c r="E40" i="1"/>
  <c r="F40" i="1" s="1"/>
  <c r="D40" i="1"/>
  <c r="W40" i="1" s="1"/>
  <c r="W39" i="1"/>
  <c r="V39" i="1"/>
  <c r="U39" i="1"/>
  <c r="T39" i="1"/>
  <c r="S39" i="1"/>
  <c r="R39" i="1"/>
  <c r="F39" i="1"/>
  <c r="W38" i="1"/>
  <c r="V38" i="1"/>
  <c r="U38" i="1"/>
  <c r="T38" i="1"/>
  <c r="S38" i="1"/>
  <c r="R38" i="1"/>
  <c r="F38" i="1"/>
  <c r="W37" i="1"/>
  <c r="V37" i="1"/>
  <c r="U37" i="1"/>
  <c r="T37" i="1"/>
  <c r="R37" i="1"/>
  <c r="Q37" i="1"/>
  <c r="W36" i="1"/>
  <c r="V36" i="1"/>
  <c r="T36" i="1"/>
  <c r="S36" i="1"/>
  <c r="R36" i="1"/>
  <c r="Q36" i="1"/>
  <c r="O36" i="1"/>
  <c r="P36" i="1" s="1"/>
  <c r="W35" i="1"/>
  <c r="V35" i="1"/>
  <c r="U35" i="1"/>
  <c r="S35" i="1"/>
  <c r="R35" i="1"/>
  <c r="M34" i="1"/>
  <c r="L34" i="1"/>
  <c r="K34" i="1"/>
  <c r="I34" i="1"/>
  <c r="H34" i="1"/>
  <c r="J34" i="1" s="1"/>
  <c r="N34" i="1" s="1"/>
  <c r="W25" i="1"/>
  <c r="V25" i="1"/>
  <c r="U25" i="1"/>
  <c r="T25" i="1"/>
  <c r="S25" i="1"/>
  <c r="R25" i="1"/>
  <c r="Q25" i="1"/>
  <c r="U31" i="1" l="1"/>
  <c r="U30" i="1"/>
  <c r="X30" i="1" s="1"/>
  <c r="X28" i="1"/>
  <c r="X29" i="1"/>
  <c r="X31" i="1"/>
  <c r="O32" i="1"/>
  <c r="P32" i="1" s="1"/>
  <c r="Q32" i="1" s="1"/>
  <c r="X32" i="1" s="1"/>
  <c r="P85" i="1"/>
  <c r="Q85" i="1" s="1"/>
  <c r="X85" i="1" s="1"/>
  <c r="U53" i="1"/>
  <c r="P113" i="1"/>
  <c r="Q113" i="1" s="1"/>
  <c r="R62" i="1"/>
  <c r="T119" i="1"/>
  <c r="X119" i="1" s="1"/>
  <c r="S62" i="1"/>
  <c r="Q62" i="1"/>
  <c r="T62" i="1"/>
  <c r="P92" i="1"/>
  <c r="Q92" i="1" s="1"/>
  <c r="X92" i="1" s="1"/>
  <c r="T53" i="1"/>
  <c r="Q52" i="1"/>
  <c r="U62" i="1"/>
  <c r="Q53" i="1"/>
  <c r="P78" i="1"/>
  <c r="Q78" i="1" s="1"/>
  <c r="X78" i="1" s="1"/>
  <c r="R53" i="1"/>
  <c r="W61" i="1"/>
  <c r="U61" i="1"/>
  <c r="Q61" i="1"/>
  <c r="W52" i="1"/>
  <c r="W130" i="1" s="1"/>
  <c r="U52" i="1"/>
  <c r="T52" i="1"/>
  <c r="S52" i="1"/>
  <c r="T80" i="1"/>
  <c r="X80" i="1" s="1"/>
  <c r="A41" i="1"/>
  <c r="A45" i="1" s="1"/>
  <c r="A54" i="1" s="1"/>
  <c r="A63" i="1" s="1"/>
  <c r="A67" i="1" s="1"/>
  <c r="A72" i="1" s="1"/>
  <c r="A79" i="1" s="1"/>
  <c r="A86" i="1" s="1"/>
  <c r="A93" i="1" s="1"/>
  <c r="A97" i="1" s="1"/>
  <c r="A102" i="1" s="1"/>
  <c r="A107" i="1" s="1"/>
  <c r="A114" i="1" s="1"/>
  <c r="A118" i="1" s="1"/>
  <c r="A122" i="1" s="1"/>
  <c r="A126" i="1" s="1"/>
  <c r="O105" i="1"/>
  <c r="P105" i="1" s="1"/>
  <c r="Q105" i="1" s="1"/>
  <c r="X105" i="1" s="1"/>
  <c r="O106" i="1"/>
  <c r="P106" i="1" s="1"/>
  <c r="Q106" i="1" s="1"/>
  <c r="X106" i="1" s="1"/>
  <c r="O77" i="1"/>
  <c r="P77" i="1" s="1"/>
  <c r="Q77" i="1" s="1"/>
  <c r="X77" i="1" s="1"/>
  <c r="O44" i="1"/>
  <c r="P44" i="1" s="1"/>
  <c r="Q44" i="1" s="1"/>
  <c r="X44" i="1" s="1"/>
  <c r="O100" i="1"/>
  <c r="P100" i="1" s="1"/>
  <c r="Q100" i="1" s="1"/>
  <c r="X100" i="1" s="1"/>
  <c r="O91" i="1"/>
  <c r="P91" i="1" s="1"/>
  <c r="Q91" i="1" s="1"/>
  <c r="X91" i="1" s="1"/>
  <c r="O71" i="1"/>
  <c r="P71" i="1" s="1"/>
  <c r="R71" i="1" s="1"/>
  <c r="X71" i="1" s="1"/>
  <c r="O61" i="1"/>
  <c r="P61" i="1" s="1"/>
  <c r="V61" i="1" s="1"/>
  <c r="O59" i="1"/>
  <c r="P59" i="1" s="1"/>
  <c r="Q59" i="1" s="1"/>
  <c r="X59" i="1" s="1"/>
  <c r="O121" i="1"/>
  <c r="P121" i="1" s="1"/>
  <c r="Q121" i="1" s="1"/>
  <c r="X121" i="1" s="1"/>
  <c r="P40" i="1"/>
  <c r="V40" i="1" s="1"/>
  <c r="O38" i="1"/>
  <c r="P38" i="1" s="1"/>
  <c r="Q38" i="1" s="1"/>
  <c r="X38" i="1" s="1"/>
  <c r="O62" i="1"/>
  <c r="P62" i="1" s="1"/>
  <c r="V62" i="1" s="1"/>
  <c r="O50" i="1"/>
  <c r="P50" i="1" s="1"/>
  <c r="Q50" i="1" s="1"/>
  <c r="X50" i="1" s="1"/>
  <c r="O39" i="1"/>
  <c r="P39" i="1" s="1"/>
  <c r="Q39" i="1" s="1"/>
  <c r="X39" i="1" s="1"/>
  <c r="O60" i="1"/>
  <c r="P60" i="1" s="1"/>
  <c r="Q60" i="1" s="1"/>
  <c r="X60" i="1" s="1"/>
  <c r="O66" i="1"/>
  <c r="P66" i="1" s="1"/>
  <c r="Q66" i="1" s="1"/>
  <c r="X66" i="1" s="1"/>
  <c r="O117" i="1"/>
  <c r="P117" i="1" s="1"/>
  <c r="Q117" i="1" s="1"/>
  <c r="X117" i="1" s="1"/>
  <c r="O112" i="1"/>
  <c r="P112" i="1" s="1"/>
  <c r="Q112" i="1" s="1"/>
  <c r="X112" i="1" s="1"/>
  <c r="O101" i="1"/>
  <c r="P101" i="1" s="1"/>
  <c r="Q101" i="1" s="1"/>
  <c r="X101" i="1" s="1"/>
  <c r="O53" i="1"/>
  <c r="P53" i="1" s="1"/>
  <c r="V53" i="1" s="1"/>
  <c r="O84" i="1"/>
  <c r="P84" i="1" s="1"/>
  <c r="Q84" i="1" s="1"/>
  <c r="X84" i="1" s="1"/>
  <c r="O51" i="1"/>
  <c r="P51" i="1" s="1"/>
  <c r="Q51" i="1" s="1"/>
  <c r="X51" i="1" s="1"/>
  <c r="O125" i="1"/>
  <c r="P125" i="1" s="1"/>
  <c r="Q125" i="1" s="1"/>
  <c r="X125" i="1" s="1"/>
  <c r="O96" i="1"/>
  <c r="P96" i="1" s="1"/>
  <c r="Q96" i="1" s="1"/>
  <c r="X96" i="1" s="1"/>
  <c r="O52" i="1"/>
  <c r="P52" i="1" s="1"/>
  <c r="V52" i="1" s="1"/>
  <c r="O129" i="1"/>
  <c r="P129" i="1" s="1"/>
  <c r="Q129" i="1" s="1"/>
  <c r="X129" i="1" s="1"/>
  <c r="T90" i="1"/>
  <c r="X90" i="1" s="1"/>
  <c r="T109" i="1"/>
  <c r="X109" i="1" s="1"/>
  <c r="T82" i="1"/>
  <c r="X82" i="1" s="1"/>
  <c r="T115" i="1"/>
  <c r="X115" i="1" s="1"/>
  <c r="T116" i="1"/>
  <c r="X116" i="1" s="1"/>
  <c r="T89" i="1"/>
  <c r="X89" i="1" s="1"/>
  <c r="T88" i="1"/>
  <c r="X88" i="1" s="1"/>
  <c r="T87" i="1"/>
  <c r="X87" i="1" s="1"/>
  <c r="T76" i="1"/>
  <c r="X76" i="1" s="1"/>
  <c r="T69" i="1"/>
  <c r="X69" i="1" s="1"/>
  <c r="T55" i="1"/>
  <c r="X55" i="1" s="1"/>
  <c r="T98" i="1"/>
  <c r="X98" i="1" s="1"/>
  <c r="T35" i="1"/>
  <c r="T130" i="1" s="1"/>
  <c r="T49" i="1"/>
  <c r="X49" i="1" s="1"/>
  <c r="U123" i="1"/>
  <c r="X123" i="1" s="1"/>
  <c r="U124" i="1"/>
  <c r="X124" i="1" s="1"/>
  <c r="U36" i="1"/>
  <c r="X36" i="1" s="1"/>
  <c r="U42" i="1"/>
  <c r="X42" i="1" s="1"/>
  <c r="U43" i="1"/>
  <c r="X43" i="1" s="1"/>
  <c r="U64" i="1"/>
  <c r="X64" i="1" s="1"/>
  <c r="S47" i="1"/>
  <c r="X47" i="1" s="1"/>
  <c r="T94" i="1"/>
  <c r="X94" i="1" s="1"/>
  <c r="U65" i="1"/>
  <c r="X65" i="1" s="1"/>
  <c r="U99" i="1"/>
  <c r="X99" i="1" s="1"/>
  <c r="U70" i="1"/>
  <c r="X70" i="1" s="1"/>
  <c r="T111" i="1"/>
  <c r="X111" i="1" s="1"/>
  <c r="T58" i="1"/>
  <c r="X58" i="1" s="1"/>
  <c r="T75" i="1"/>
  <c r="X75" i="1" s="1"/>
  <c r="U127" i="1"/>
  <c r="X127" i="1" s="1"/>
  <c r="U48" i="1"/>
  <c r="X48" i="1" s="1"/>
  <c r="T74" i="1"/>
  <c r="X74" i="1" s="1"/>
  <c r="U128" i="1"/>
  <c r="X128" i="1" s="1"/>
  <c r="U68" i="1"/>
  <c r="X68" i="1" s="1"/>
  <c r="T83" i="1"/>
  <c r="X83" i="1" s="1"/>
  <c r="T103" i="1"/>
  <c r="X103" i="1" s="1"/>
  <c r="T120" i="1"/>
  <c r="X120" i="1" s="1"/>
  <c r="S56" i="1"/>
  <c r="X56" i="1" s="1"/>
  <c r="T95" i="1"/>
  <c r="X95" i="1" s="1"/>
  <c r="T46" i="1"/>
  <c r="X46" i="1" s="1"/>
  <c r="U57" i="1"/>
  <c r="X57" i="1" s="1"/>
  <c r="S37" i="1"/>
  <c r="U40" i="1"/>
  <c r="R40" i="1"/>
  <c r="R130" i="1" s="1"/>
  <c r="S40" i="1"/>
  <c r="Q40" i="1"/>
  <c r="T40" i="1"/>
  <c r="T81" i="1"/>
  <c r="X81" i="1" s="1"/>
  <c r="T73" i="1"/>
  <c r="X73" i="1" s="1"/>
  <c r="T108" i="1"/>
  <c r="X108" i="1" s="1"/>
  <c r="U104" i="1"/>
  <c r="X104" i="1" s="1"/>
  <c r="T61" i="1"/>
  <c r="S61" i="1"/>
  <c r="R61" i="1"/>
  <c r="T110" i="1"/>
  <c r="X110" i="1" s="1"/>
  <c r="S53" i="1"/>
  <c r="X37" i="1" l="1"/>
  <c r="S130" i="1"/>
  <c r="V130" i="1"/>
  <c r="Q130" i="1"/>
  <c r="U130" i="1"/>
  <c r="T131" i="1"/>
  <c r="U131" i="1"/>
  <c r="Q131" i="1"/>
  <c r="V131" i="1"/>
  <c r="S131" i="1"/>
  <c r="R131" i="1"/>
  <c r="X35" i="1"/>
  <c r="X130" i="1" s="1"/>
  <c r="W131" i="1"/>
  <c r="X62" i="1"/>
  <c r="X52" i="1"/>
  <c r="X113" i="1"/>
  <c r="X53" i="1"/>
  <c r="X40" i="1"/>
  <c r="X61" i="1"/>
  <c r="X131" i="1" l="1"/>
  <c r="Q26" i="1"/>
</calcChain>
</file>

<file path=xl/sharedStrings.xml><?xml version="1.0" encoding="utf-8"?>
<sst xmlns="http://schemas.openxmlformats.org/spreadsheetml/2006/main" count="262" uniqueCount="79">
  <si>
    <t xml:space="preserve">Project : </t>
  </si>
  <si>
    <t>Sobha Galera Clubhouse</t>
  </si>
  <si>
    <t>Concrete, Shuttering and Reinforcement Quantity Breakup :</t>
  </si>
  <si>
    <t>SI no</t>
  </si>
  <si>
    <t>Description</t>
  </si>
  <si>
    <t>No./Dia.</t>
  </si>
  <si>
    <t>L/ Spcng (m)</t>
  </si>
  <si>
    <t>D/Dvlp L (m)</t>
  </si>
  <si>
    <t>D (m)</t>
  </si>
  <si>
    <t>Quantity</t>
  </si>
  <si>
    <t>Shuttering (m²)</t>
  </si>
  <si>
    <t>Shuttering Size wise Splitup</t>
  </si>
  <si>
    <t>Cutting Length</t>
  </si>
  <si>
    <t>Total Length</t>
  </si>
  <si>
    <t>Steel in KG</t>
  </si>
  <si>
    <t>Reinf.</t>
  </si>
  <si>
    <t>Conc/Shtr</t>
  </si>
  <si>
    <t>Concrete (m³)</t>
  </si>
  <si>
    <t>L = 0.3</t>
  </si>
  <si>
    <t>0.3 &lt; L &lt;= 0.75</t>
  </si>
  <si>
    <t>0.75 &lt; L &lt;= 1.2</t>
  </si>
  <si>
    <t>L &gt; 1.2</t>
  </si>
  <si>
    <t>Cover in (m)</t>
  </si>
  <si>
    <t>Grade of concrete</t>
  </si>
  <si>
    <t>M30</t>
  </si>
  <si>
    <t xml:space="preserve">Grade of Steel </t>
  </si>
  <si>
    <t xml:space="preserve">Spacer bar </t>
  </si>
  <si>
    <t>Development Length &amp; Anchorage</t>
  </si>
  <si>
    <t>Dia (mm)</t>
  </si>
  <si>
    <t>M20</t>
  </si>
  <si>
    <t>M25</t>
  </si>
  <si>
    <t>M35</t>
  </si>
  <si>
    <t>M40 &amp; &gt;</t>
  </si>
  <si>
    <t>Clubhouse</t>
  </si>
  <si>
    <t>B(m)/ No.</t>
  </si>
  <si>
    <t>Top bars</t>
  </si>
  <si>
    <t xml:space="preserve">Bottom bars </t>
  </si>
  <si>
    <t xml:space="preserve">Stirupps </t>
  </si>
  <si>
    <t>Spacer bars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</si>
  <si>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</si>
  <si>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</si>
  <si>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</si>
  <si>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</si>
  <si>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</si>
  <si>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</si>
  <si>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</si>
  <si>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</si>
  <si>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</si>
  <si>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</si>
  <si>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</si>
  <si>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</si>
  <si>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</si>
  <si>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</si>
  <si>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</si>
  <si>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</si>
  <si>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</si>
  <si>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SFR</t>
  </si>
  <si>
    <t>Bottom bars -extra</t>
  </si>
  <si>
    <t>Top bars -extra</t>
  </si>
  <si>
    <t>TF</t>
  </si>
  <si>
    <t>SHR &amp; OHT Top</t>
  </si>
  <si>
    <t xml:space="preserve">1. Development Length &amp; Anchorage table to be considered from General Note Drawing of the Project as per Grade of Steel. </t>
  </si>
  <si>
    <t>3. Grade of Concrete to be considered from Table2 of General Note</t>
  </si>
  <si>
    <t>4. Cover of Concrete to be considered from Table2 of General Note</t>
  </si>
  <si>
    <t xml:space="preserve">6. Space bar details to be considered as 25mm dia with spacing of 1m where atleast 2 reinforcement bars come together. </t>
  </si>
  <si>
    <t>Fe550-D</t>
  </si>
  <si>
    <t>Fe550D</t>
  </si>
  <si>
    <t xml:space="preserve">2. Grade of Steel to be considered from Table2 of General Note </t>
  </si>
  <si>
    <t>From Table 2 in GN</t>
  </si>
  <si>
    <t>Value</t>
  </si>
  <si>
    <t>Diameter of Steel Bar</t>
  </si>
  <si>
    <t>Details to be conisdered:</t>
  </si>
  <si>
    <t>Varies per project</t>
  </si>
  <si>
    <t>Common for all projects</t>
  </si>
  <si>
    <t xml:space="preserve">5. Thickness of Slab to be considered from Framing plan of the beams from drawing plan. </t>
  </si>
  <si>
    <t>Note: Read and Extract from General Note provided for the project</t>
  </si>
  <si>
    <t>B1</t>
  </si>
  <si>
    <t>Top bars - Extra</t>
  </si>
  <si>
    <t>To be considered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</si>
</sst>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70C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77">
    <xf numFmtId="0" fontId="0" fillId="0" borderId="0" xfId="0"/>
    <xf numFmtId="164" fontId="4" fillId="0" borderId="0" xfId="1" applyFont="1"/>
    <xf numFmtId="164" fontId="3" fillId="0" borderId="0" xfId="1" applyFont="1"/>
    <xf numFmtId="164" fontId="2" fillId="0" borderId="0" xfId="1" applyFont="1"/>
    <xf numFmtId="164" fontId="2" fillId="0" borderId="0" xfId="1" applyFont="1" applyAlignment="1">
      <alignment vertical="center"/>
    </xf>
    <xf numFmtId="164" fontId="2" fillId="0" borderId="0" xfId="1" applyFont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4" fontId="2" fillId="0" borderId="0" xfId="1" applyFont="1" applyFill="1"/>
    <xf numFmtId="164" fontId="2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left" vertical="center"/>
    </xf>
    <xf numFmtId="164" fontId="2" fillId="0" borderId="0" xfId="1" applyFont="1" applyFill="1" applyAlignment="1">
      <alignment vertical="center"/>
    </xf>
    <xf numFmtId="164" fontId="11" fillId="0" borderId="0" xfId="1" applyFont="1" applyFill="1" applyAlignment="1">
      <alignment horizontal="center" vertical="center" wrapText="1"/>
    </xf>
    <xf numFmtId="164" fontId="4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center" vertical="center" wrapText="1"/>
    </xf>
    <xf numFmtId="164" fontId="10" fillId="0" borderId="0" xfId="1" applyFont="1" applyFill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1" fontId="4" fillId="6" borderId="7" xfId="0" applyNumberFormat="1" applyFont="1" applyFill="1" applyBorder="1" applyAlignment="1">
      <alignment horizontal="center" vertical="center" wrapText="1"/>
    </xf>
    <xf numFmtId="2" fontId="4" fillId="6" borderId="5" xfId="0" applyNumberFormat="1" applyFont="1" applyFill="1" applyBorder="1" applyAlignment="1">
      <alignment horizontal="center" vertical="center" wrapText="1"/>
    </xf>
    <xf numFmtId="164" fontId="4" fillId="6" borderId="5" xfId="1" applyFont="1" applyFill="1" applyBorder="1" applyAlignment="1">
      <alignment horizontal="center" vertical="center" wrapText="1"/>
    </xf>
    <xf numFmtId="2" fontId="4" fillId="6" borderId="6" xfId="0" applyNumberFormat="1" applyFont="1" applyFill="1" applyBorder="1" applyAlignment="1">
      <alignment horizontal="center" vertical="center" wrapText="1"/>
    </xf>
    <xf numFmtId="164" fontId="8" fillId="6" borderId="1" xfId="2" applyFont="1" applyFill="1" applyBorder="1" applyAlignment="1">
      <alignment horizontal="center" vertical="center"/>
    </xf>
    <xf numFmtId="164" fontId="2" fillId="0" borderId="1" xfId="1" applyFont="1" applyBorder="1"/>
    <xf numFmtId="1" fontId="4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6" fillId="4" borderId="1" xfId="1" applyFont="1" applyFill="1" applyBorder="1" applyAlignment="1">
      <alignment horizontal="center" vertical="center"/>
    </xf>
    <xf numFmtId="164" fontId="6" fillId="4" borderId="1" xfId="1" applyFont="1" applyFill="1" applyBorder="1" applyAlignment="1">
      <alignment horizontal="center" vertical="center" wrapText="1"/>
    </xf>
    <xf numFmtId="164" fontId="2" fillId="0" borderId="1" xfId="1" applyFont="1" applyFill="1" applyBorder="1"/>
    <xf numFmtId="164" fontId="4" fillId="0" borderId="1" xfId="1" applyFont="1" applyFill="1" applyBorder="1"/>
    <xf numFmtId="164" fontId="2" fillId="0" borderId="1" xfId="1" applyFont="1" applyFill="1" applyBorder="1" applyAlignment="1">
      <alignment vertical="center"/>
    </xf>
    <xf numFmtId="164" fontId="2" fillId="5" borderId="1" xfId="1" applyFont="1" applyFill="1" applyBorder="1" applyAlignment="1">
      <alignment horizontal="center" vertical="center"/>
    </xf>
    <xf numFmtId="164" fontId="11" fillId="0" borderId="1" xfId="1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/>
    </xf>
    <xf numFmtId="164" fontId="2" fillId="0" borderId="1" xfId="1" applyFont="1" applyBorder="1" applyAlignment="1">
      <alignment horizontal="left" vertical="center"/>
    </xf>
    <xf numFmtId="164" fontId="2" fillId="0" borderId="1" xfId="1" applyFont="1" applyBorder="1" applyAlignment="1">
      <alignment horizontal="center" vertical="center" wrapText="1"/>
    </xf>
    <xf numFmtId="164" fontId="2" fillId="0" borderId="1" xfId="1" applyFont="1" applyBorder="1" applyAlignment="1">
      <alignment vertical="center"/>
    </xf>
    <xf numFmtId="164" fontId="2" fillId="0" borderId="1" xfId="1" applyFont="1" applyFill="1" applyBorder="1" applyAlignment="1">
      <alignment horizontal="left" vertical="center"/>
    </xf>
    <xf numFmtId="164" fontId="2" fillId="0" borderId="1" xfId="1" applyFont="1" applyFill="1" applyBorder="1" applyAlignment="1">
      <alignment horizontal="center" vertical="center"/>
    </xf>
    <xf numFmtId="164" fontId="11" fillId="0" borderId="1" xfId="1" applyFont="1" applyFill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/>
    </xf>
    <xf numFmtId="164" fontId="4" fillId="0" borderId="1" xfId="1" applyFont="1" applyBorder="1"/>
    <xf numFmtId="164" fontId="4" fillId="0" borderId="1" xfId="1" applyFont="1" applyBorder="1" applyAlignment="1">
      <alignment horizontal="left"/>
    </xf>
    <xf numFmtId="164" fontId="2" fillId="0" borderId="1" xfId="1" applyFont="1" applyBorder="1" applyAlignment="1">
      <alignment horizontal="left"/>
    </xf>
    <xf numFmtId="164" fontId="2" fillId="0" borderId="2" xfId="1" applyFont="1" applyBorder="1" applyAlignment="1">
      <alignment horizontal="center" vertical="center"/>
    </xf>
    <xf numFmtId="164" fontId="2" fillId="0" borderId="8" xfId="1" applyFont="1" applyBorder="1" applyAlignment="1">
      <alignment vertical="center"/>
    </xf>
    <xf numFmtId="164" fontId="4" fillId="0" borderId="1" xfId="1" applyFont="1" applyBorder="1" applyAlignment="1">
      <alignment vertical="center"/>
    </xf>
    <xf numFmtId="164" fontId="2" fillId="0" borderId="1" xfId="1" applyFont="1" applyBorder="1" applyAlignment="1">
      <alignment wrapText="1"/>
    </xf>
    <xf numFmtId="164" fontId="2" fillId="0" borderId="0" xfId="1" applyFont="1" applyAlignment="1">
      <alignment horizontal="left"/>
    </xf>
    <xf numFmtId="164" fontId="1" fillId="5" borderId="1" xfId="1" applyFont="1" applyFill="1" applyBorder="1" applyAlignment="1">
      <alignment horizontal="center" vertical="center"/>
    </xf>
    <xf numFmtId="164" fontId="1" fillId="0" borderId="1" xfId="1" applyFont="1" applyBorder="1" applyAlignment="1">
      <alignment horizontal="left" vertical="center"/>
    </xf>
    <xf numFmtId="2" fontId="4" fillId="6" borderId="2" xfId="0" applyNumberFormat="1" applyFont="1" applyFill="1" applyBorder="1" applyAlignment="1">
      <alignment horizontal="center" vertical="center" wrapText="1"/>
    </xf>
    <xf numFmtId="2" fontId="4" fillId="6" borderId="3" xfId="0" applyNumberFormat="1" applyFont="1" applyFill="1" applyBorder="1" applyAlignment="1">
      <alignment horizontal="center" vertical="center" wrapText="1"/>
    </xf>
    <xf numFmtId="2" fontId="4" fillId="6" borderId="4" xfId="0" applyNumberFormat="1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1" fontId="2" fillId="6" borderId="3" xfId="0" applyNumberFormat="1" applyFont="1" applyFill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 wrapText="1"/>
    </xf>
    <xf numFmtId="164" fontId="4" fillId="0" borderId="1" xfId="1" applyFont="1" applyBorder="1" applyAlignment="1">
      <alignment horizontal="left"/>
    </xf>
    <xf numFmtId="164" fontId="4" fillId="0" borderId="1" xfId="1" applyFont="1" applyBorder="1" applyAlignment="1">
      <alignment horizont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6" fillId="4" borderId="1" xfId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4" fontId="4" fillId="0" borderId="2" xfId="1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164" fontId="4" fillId="0" borderId="4" xfId="1" applyFont="1" applyBorder="1" applyAlignment="1">
      <alignment horizontal="center"/>
    </xf>
    <xf numFmtId="164" fontId="2" fillId="0" borderId="2" xfId="1" applyFont="1" applyBorder="1" applyAlignment="1">
      <alignment horizontal="left"/>
    </xf>
    <xf numFmtId="164" fontId="2" fillId="0" borderId="4" xfId="1" applyFont="1" applyBorder="1" applyAlignment="1">
      <alignment horizontal="left"/>
    </xf>
    <xf numFmtId="164" fontId="4" fillId="0" borderId="2" xfId="1" applyFont="1" applyBorder="1" applyAlignment="1">
      <alignment horizontal="left"/>
    </xf>
    <xf numFmtId="164" fontId="4" fillId="0" borderId="3" xfId="1" applyFont="1" applyBorder="1" applyAlignment="1">
      <alignment horizontal="left"/>
    </xf>
    <xf numFmtId="164" fontId="4" fillId="0" borderId="4" xfId="1" applyFont="1" applyBorder="1" applyAlignment="1">
      <alignment horizontal="left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8" fillId="6" borderId="4" xfId="2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1" fontId="4" fillId="6" borderId="9" xfId="0" applyNumberFormat="1" applyFont="1" applyFill="1" applyBorder="1" applyAlignment="1">
      <alignment horizontal="center" vertical="center" wrapText="1"/>
    </xf>
    <xf numFmtId="1" fontId="4" fillId="6" borderId="10" xfId="0" applyNumberFormat="1" applyFont="1" applyFill="1" applyBorder="1" applyAlignment="1">
      <alignment horizontal="center" vertical="center" wrapText="1"/>
    </xf>
    <xf numFmtId="1" fontId="4" fillId="6" borderId="11" xfId="0" applyNumberFormat="1" applyFont="1" applyFill="1" applyBorder="1" applyAlignment="1">
      <alignment horizontal="center" vertical="center" wrapText="1"/>
    </xf>
    <xf numFmtId="1" fontId="2" fillId="7" borderId="0" xfId="0" applyNumberFormat="1" applyFont="1" applyFill="1" applyBorder="1" applyAlignment="1">
      <alignment vertical="center" wrapText="1"/>
    </xf>
  </cellXfs>
  <cellStyles count="4">
    <cellStyle name="Comma" xfId="1" builtinId="3"/>
    <cellStyle name="Comma 10" xfId="3" xr:uid="{81992E8D-D608-4166-B09D-FE1CD02079F5}"/>
    <cellStyle name="Comma 4 3" xfId="2" xr:uid="{0E6E3D16-E720-40C9-BFA1-9C589792F4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114velan\TO%20COPY%20-%20KARUKKUVELAN%203530\Shared%20folder\Lifestyle\Costing-2008\Febrary\19.2.08.%20Lifestyle\19.02.08%20lifesty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ivya\DIVYA\Sobha%20Amethyst\DETAILED%20WORKINGS\Estimate%20for%20approval\Detail%20Estimate-Sobha%20Amethyst-Divya-13.11.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My%20Documents\ESHWARI\jan-06\Documents%20and%20Settings\administrator\Desktop\Costing%20Aug-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My%20Documents\WINDOWS\RABILLS\15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TC_VOL2.ho\temp%20J\Final%20Account\Barakah\BAB_9010B_v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AHARA-CITY-HOMES\GWALIOR\OTH-AMEN\BLOCK%20ESTIMATE\MA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Pentahouse\B.O.Q%2004-05-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DOCUME~1\Ravi\LOCALS~1\Temp\notes6030C8\BookingForm%20jcs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lmwig/AppData/Local/Microsoft/Windows/Temporary%20Internet%20Files/Low/Content.IE5/U3G3UDA7/WORD%20FILES%20TENDER%2011%20DEC%202010/VOLUME-III%20-%2010%20jan%202011/KNOWLEDGE-PARK-CHANDIGRH-AHC/BLOCK%20EST/BLOCK%20A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KNOWLEDGE-PARK-CHANDIGRH-AHC/BLOCK%20EST/BLOCK%20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n-server\VOL3\BandF\Housing\kkp\KKP-ISO\KKP-ISO-9001-1994\stds\GN-ST-06(2)(Design%20Sheet-Ruled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vel\sevvel\COSTING%20-%20INHOUSE\2005\Dec%202005\Rose\Bill%20Update\updation%20Jan-18-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sting%20Aug%2031%20recon%20-%20Tulip-pq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DT-069Q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2173kisho\share%20folder\Documents%20and%20Settings\est2173\Local%20Settings\Temporary%20Internet%20Files\OLK66\02.Structure\club%20house\structure%2014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369jeshy\May%20Flower\hybiscus\New%20Hybiscus\MASTER%20WORK%20SHEET%20-%20ESTIMATE%20HIBISCU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est1808\Desktop\ICG%20mock%20u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quantity\QCS\003.03%20qc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JEYANTHI\SOBHA%20MAYFLOWER%2030.11.06\Labor%20bills%2022.11.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%20Folder\Projecteed%20Cost%20Mayflower\28.03.07%20Mayflower%20Projected%20cost%20(%2005-04-07)\Labour%20Bills%2028.03.07\Labour%20Bills%20Abstrac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radha\mis9899\consoli\sept9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lmwig/AppData/Local/Microsoft/Windows/Temporary%20Internet%20Files/Low/Content.IE5/U3G3UDA7/WORD%20FILES%20TENDER%2011%20DEC%202010/VOLUME-III%20-%2010%20jan%202011/SAKAL%20CHARITY/Comaparative%20statement/Comparative-3-05-04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SAKAL%20CHARITY/Comaparative%20statement/Comparative-3-05-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6jisha\e\Documents%20and%20Settings\cs1482\Desktop\RENT%20MASTER%20FILE.xls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lmwig/AppData/Local/Microsoft/Windows/Temporary%20Internet%20Files/Low/Content.IE5/U3G3UDA7/WORD%20FILES%20TENDER%2011%20DEC%202010/VOLUME-III%20-%2010%20jan%202011/MARKET-CITY-PUNE-PGP/MEASUREMENT%20SHEET/BOQ%20WITH%20Meas.%20-%20FINAL%20-%2024.11.2007.xls" TargetMode="External"/><Relationship Id="rId2" Type="http://schemas.microsoft.com/office/2019/04/relationships/externalLinkLongPath" Target="/Users/lmwig/AppData/Local/Microsoft/Windows/Temporary%20Internet%20Files/Low/Content.IE5/U3G3UDA7/WORD%20FILES%20TENDER%2011%20DEC%202010/VOLUME-III%20-%2010%20jan%202011/MARKET-CITY-PUNE-PGP/MEASUREMENT%20SHEET/BOQ%20WITH%20Meas.%20-%20FINAL%20-%2024.11.2007.xls?D97C82C9" TargetMode="External"/><Relationship Id="rId1" Type="http://schemas.openxmlformats.org/officeDocument/2006/relationships/externalLinkPath" Target="file:///\\D97C82C9\BOQ%20WITH%20Meas.%20-%20FINAL%20-%2024.11.20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Kerala\07_Co_Marine_View\02_Detailed\02_Detailed_Est\Version%20-2021\Detailed%20Estimate-13.04.2022\03.Structure-GFC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2\Tulip%20ajitha\Documents%20and%20Settings\sevvel\Local%20Settings\Temp\TULIP%20new%20PQ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ntahouse\B.O.Q%2004-05-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Documents%20and%20Settings\User\Local%20Settings\Temporary%20Internet%20Files\OLK1A\Tyco%20Estimates\QR1211\New%20Forma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a\Shared%20%20Folder\hybiscus\New%20Hybiscus\MASTER%20WORK%20SHEET%20-%20ESTIMATE%20HIBISCU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5sonia\Shared%20Folder\hybiscus\New%20Hybiscus\MASTER%20WORK%20SHEET%20-%20ESTIMATE%20HIBISCU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bhavathy\New%20Iris\hybiscus\New%20Hybiscus\MASTER%20WORK%20SHEET%20-%20ESTIMATE%20HIBISCU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DT-069Q.xls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lmwig/AppData/Local/Microsoft/Windows/Temporary%20Internet%20Files/Low/Content.IE5/U3G3UDA7/WORD%20FILES%20TENDER%2011%20DEC%202010/VOLUME-III%20-%2010%20jan%202011/SHREE%20RAM%20MILL/MEASUREMENT%20SHEET/Meas%20of%20water%20proofing%20work-10.12.08-JKP.xls" TargetMode="External"/><Relationship Id="rId2" Type="http://schemas.microsoft.com/office/2019/04/relationships/externalLinkLongPath" Target="/Users/lmwig/AppData/Local/Microsoft/Windows/Temporary%20Internet%20Files/Low/Content.IE5/U3G3UDA7/WORD%20FILES%20TENDER%2011%20DEC%202010/VOLUME-III%20-%2010%20jan%202011/SHREE%20RAM%20MILL/MEASUREMENT%20SHEET/Meas%20of%20water%20proofing%20work-10.12.08-JKP.xls?37D75623" TargetMode="External"/><Relationship Id="rId1" Type="http://schemas.openxmlformats.org/officeDocument/2006/relationships/externalLinkPath" Target="file:///\\37D75623\Meas%20of%20water%20proofing%20work-10.12.08-JK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lmwig/AppData/Local/Microsoft/Windows/Temporary%20Internet%20Files/Low/Content.IE5/U3G3UDA7/WORD%20FILES%20TENDER%2011%20DEC%202010/VOLUME-III%20-%2010%20jan%202011/I.T.%20PARK-S.KUMAR/ESTIMATE-15.10.09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I.T.%20PARK-S.KUMAR/ESTIMATE-15.10.0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5kumar\SHARED%20FOLDER\SHARED%20FOLDER\sobha%20inhouse\sobha%20fiorella\after%20take%20over\updated%20est%2004.04.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Ravi\LOCALS~1\Temp\notes6030C8\BookingForm%20jc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%20%20drive\meera\Prelaunch%20Estimates\Sobha%20Dewflower\Dew%20flower%20new\Prelaunch%20Est%20-%20Dewflower%20(rev%20after%20launch%20meetng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3kiran\kiran\hybiscus\New%20Hybiscus\MASTER%20WORK%20SHEET%20-%20ESTIMATE%20HIBISCU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est1808anjan\PROJECTS%20&amp;%20COSTING%20SHEETS\SMITHA\Smitha\Casa%20Paradiso\Detaild%20Estimate\Quantities\extra\steel%2012di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plprojlitha\SharedDocs\Costing%20Aug%2031%20recon%20-%20Tulip-pq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3\d\HITEC%20PHASE%202\CLIENT_INVOICE\Cyber%20gate%20way%20Phase-%20II%20(A)_UP\2B_August%202K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1297hari\Shared%20folder\Sevvel\COSTING%20-%20INHOUSE\Fine%20Sheets\31.08.07%20Mayflower%20on%2003.09.07%20%20%20Final%20MIS%20-%2024-09-07\Labour%20Bills\Abstract%20Labour%20bill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499uma\PROJECTS%20&amp;%20COSTING%20SHEETS\hybiscus\New%20Hybiscus\MASTER%20WORK%20SHEET%20-%20ESTIMATE%20HIBISCU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TULIP%20COSTING\vaidehi\COSTING\costing%20july-05\Reconcilation%20jun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chana\Sobha%20Rose\Documents%20and%20Settings\sheshagiriacc\Desktop\Tulip%20Rec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gha\d\hybiscus\New%20Hybiscus\MASTER%20WORK%20SHEET%20-%20ESTIMATE%20HIBISC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Drawing1.dwg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ofin0689madh\madhu\PROJECTWISE%20STATEMENTS%202006-07%20FINAL%20AS%20ON%20080507%2030.06.07\INHOUSE\30.06.07-SOBHA%20DAFFODIL-ACCT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suraj\Local%20Settings\Temp\30.06.07-Taj%20Residency%20at%20ITPL,%20Bangalore-acct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36\e%20share\SOBHA%20DAHLIA\RECONCILIATION\MARCH\hybiscus\New%20Hybiscus\MASTER%20WORK%20SHEET%20-%20ESTIMATE%20HIBISCU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Nitin\Program%20Files\Microsoft%20Office\Office\149K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Common\04_Est_Ref\Dinesh\Royal%20Pavilion%20Club%20house\Clubhouse%20-%20Royal%20Pavilion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46\Shared%20Folder\hybiscus\New%20Hybiscus\MASTER%20WORK%20SHEET%20-%20ESTIMATE%20HIBISCU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Abstract "/>
      <sheetName val="2 min"/>
      <sheetName val="Micro"/>
      <sheetName val="Variance Report"/>
      <sheetName val="Lab &amp; Mat Var"/>
      <sheetName val="Mat &amp; Lab"/>
      <sheetName val="Preliminary estimate"/>
      <sheetName val="preliminaries-abs (050508) "/>
      <sheetName val="Staff Salary NEW"/>
      <sheetName val="Staff Salary before start new"/>
      <sheetName val="Staff Salary(before start)"/>
      <sheetName val="Variance Abstract"/>
      <sheetName val="Fixed asset"/>
      <sheetName val="Establishment"/>
      <sheetName val="Security"/>
      <sheetName val="A-class abstract"/>
      <sheetName val="A-class Materials"/>
      <sheetName val="B &amp; C class items "/>
      <sheetName val="Indian Tools "/>
      <sheetName val="German Tools"/>
      <sheetName val="consumble"/>
      <sheetName val="Lab Equipments"/>
      <sheetName val="Safety Items"/>
      <sheetName val="MS Items Ideal cost"/>
      <sheetName val="MS Items "/>
      <sheetName val="RMC"/>
      <sheetName val="P &amp; M  "/>
      <sheetName val="Wooden Items"/>
      <sheetName val="Mobilisation Abs"/>
      <sheetName val="Mobilisation"/>
      <sheetName val="Grid Pillars"/>
      <sheetName val="Fuels"/>
      <sheetName val="NMR "/>
      <sheetName val="Petty cash"/>
      <sheetName val="Mobile cost"/>
      <sheetName val=" Accomdidation"/>
      <sheetName val="GM &amp; TA"/>
      <sheetName val="est"/>
      <sheetName val="Abstract_"/>
      <sheetName val="2_min"/>
      <sheetName val="Variance_Report"/>
      <sheetName val="Lab_&amp;_Mat_Var"/>
      <sheetName val="Mat_&amp;_Lab"/>
      <sheetName val="Preliminary_estimate"/>
      <sheetName val="preliminaries-abs_(050508)_"/>
      <sheetName val="Staff_Salary_NEW"/>
      <sheetName val="Staff_Salary_before_start_new"/>
      <sheetName val="Staff_Salary(before_start)"/>
      <sheetName val="Variance_Abstract"/>
      <sheetName val="Fixed_asset"/>
      <sheetName val="A-class_abstract"/>
      <sheetName val="A-class_Materials"/>
      <sheetName val="B_&amp;_C_class_items_"/>
      <sheetName val="Indian_Tools_"/>
      <sheetName val="German_Tools"/>
      <sheetName val="Lab_Equipments"/>
      <sheetName val="Safety_Items"/>
      <sheetName val="MS_Items_Ideal_cost"/>
      <sheetName val="MS_Items_"/>
      <sheetName val="P_&amp;_M__"/>
      <sheetName val="Wooden_Items"/>
      <sheetName val="Mobilisation_Abs"/>
      <sheetName val="Grid_Pillars"/>
      <sheetName val="NMR_"/>
      <sheetName val="Petty_cash"/>
      <sheetName val="Mobile_cost"/>
      <sheetName val="_Accomdidation"/>
      <sheetName val="GM_&amp;_TA"/>
      <sheetName val="SPT vs PHI"/>
      <sheetName val="intr stool brkup"/>
      <sheetName val="BILL COV"/>
      <sheetName val="Civil Boq"/>
      <sheetName val="Estimate for approval"/>
      <sheetName val="Abstract_6"/>
      <sheetName val="2_min6"/>
      <sheetName val="Variance_Report6"/>
      <sheetName val="Lab_&amp;_Mat_Var6"/>
      <sheetName val="Mat_&amp;_Lab6"/>
      <sheetName val="Preliminary_estimate6"/>
      <sheetName val="preliminaries-abs_(050508)_6"/>
      <sheetName val="Staff_Salary_NEW6"/>
      <sheetName val="Staff_Salary_before_start_new6"/>
      <sheetName val="Staff_Salary(before_start)6"/>
      <sheetName val="Variance_Abstract6"/>
      <sheetName val="Fixed_asset6"/>
      <sheetName val="A-class_abstract6"/>
      <sheetName val="A-class_Materials6"/>
      <sheetName val="B_&amp;_C_class_items_6"/>
      <sheetName val="Indian_Tools_6"/>
      <sheetName val="German_Tools6"/>
      <sheetName val="Lab_Equipments6"/>
      <sheetName val="Safety_Items6"/>
      <sheetName val="MS_Items_Ideal_cost6"/>
      <sheetName val="MS_Items_6"/>
      <sheetName val="P_&amp;_M__6"/>
      <sheetName val="Wooden_Items6"/>
      <sheetName val="Mobilisation_Abs6"/>
      <sheetName val="Grid_Pillars6"/>
      <sheetName val="NMR_6"/>
      <sheetName val="Petty_cash6"/>
      <sheetName val="Mobile_cost6"/>
      <sheetName val="_Accomdidation6"/>
      <sheetName val="GM_&amp;_TA6"/>
      <sheetName val="SPT_vs_PHI5"/>
      <sheetName val="intr_stool_brkup5"/>
      <sheetName val="BILL_COV5"/>
      <sheetName val="Civil_Boq5"/>
      <sheetName val="Estimate_for_approval5"/>
      <sheetName val="Abstract_4"/>
      <sheetName val="2_min4"/>
      <sheetName val="Variance_Report4"/>
      <sheetName val="Lab_&amp;_Mat_Var4"/>
      <sheetName val="Mat_&amp;_Lab4"/>
      <sheetName val="Preliminary_estimate4"/>
      <sheetName val="preliminaries-abs_(050508)_4"/>
      <sheetName val="Staff_Salary_NEW4"/>
      <sheetName val="Staff_Salary_before_start_new4"/>
      <sheetName val="Staff_Salary(before_start)4"/>
      <sheetName val="Variance_Abstract4"/>
      <sheetName val="Fixed_asset4"/>
      <sheetName val="A-class_abstract4"/>
      <sheetName val="A-class_Materials4"/>
      <sheetName val="B_&amp;_C_class_items_4"/>
      <sheetName val="Indian_Tools_4"/>
      <sheetName val="German_Tools4"/>
      <sheetName val="Lab_Equipments4"/>
      <sheetName val="Safety_Items4"/>
      <sheetName val="MS_Items_Ideal_cost4"/>
      <sheetName val="MS_Items_4"/>
      <sheetName val="P_&amp;_M__4"/>
      <sheetName val="Wooden_Items4"/>
      <sheetName val="Mobilisation_Abs4"/>
      <sheetName val="Grid_Pillars4"/>
      <sheetName val="NMR_4"/>
      <sheetName val="Petty_cash4"/>
      <sheetName val="Mobile_cost4"/>
      <sheetName val="_Accomdidation4"/>
      <sheetName val="GM_&amp;_TA4"/>
      <sheetName val="SPT_vs_PHI3"/>
      <sheetName val="intr_stool_brkup3"/>
      <sheetName val="BILL_COV3"/>
      <sheetName val="Abstract_3"/>
      <sheetName val="2_min3"/>
      <sheetName val="Variance_Report3"/>
      <sheetName val="Lab_&amp;_Mat_Var3"/>
      <sheetName val="Mat_&amp;_Lab3"/>
      <sheetName val="Preliminary_estimate3"/>
      <sheetName val="preliminaries-abs_(050508)_3"/>
      <sheetName val="Staff_Salary_NEW3"/>
      <sheetName val="Staff_Salary_before_start_new3"/>
      <sheetName val="Staff_Salary(before_start)3"/>
      <sheetName val="Variance_Abstract3"/>
      <sheetName val="Fixed_asset3"/>
      <sheetName val="A-class_abstract3"/>
      <sheetName val="A-class_Materials3"/>
      <sheetName val="B_&amp;_C_class_items_3"/>
      <sheetName val="Indian_Tools_3"/>
      <sheetName val="German_Tools3"/>
      <sheetName val="Lab_Equipments3"/>
      <sheetName val="Safety_Items3"/>
      <sheetName val="MS_Items_Ideal_cost3"/>
      <sheetName val="MS_Items_3"/>
      <sheetName val="P_&amp;_M__3"/>
      <sheetName val="Wooden_Items3"/>
      <sheetName val="Mobilisation_Abs3"/>
      <sheetName val="Grid_Pillars3"/>
      <sheetName val="NMR_3"/>
      <sheetName val="Petty_cash3"/>
      <sheetName val="Mobile_cost3"/>
      <sheetName val="_Accomdidation3"/>
      <sheetName val="GM_&amp;_TA3"/>
      <sheetName val="SPT_vs_PHI2"/>
      <sheetName val="intr_stool_brkup2"/>
      <sheetName val="BILL_COV2"/>
      <sheetName val="Civil_Boq2"/>
      <sheetName val="Estimate_for_approval2"/>
      <sheetName val="Abstract_1"/>
      <sheetName val="2_min1"/>
      <sheetName val="Variance_Report1"/>
      <sheetName val="Lab_&amp;_Mat_Var1"/>
      <sheetName val="Mat_&amp;_Lab1"/>
      <sheetName val="Preliminary_estimate1"/>
      <sheetName val="preliminaries-abs_(050508)_1"/>
      <sheetName val="Staff_Salary_NEW1"/>
      <sheetName val="Staff_Salary_before_start_new1"/>
      <sheetName val="Staff_Salary(before_start)1"/>
      <sheetName val="Variance_Abstract1"/>
      <sheetName val="Fixed_asset1"/>
      <sheetName val="A-class_abstract1"/>
      <sheetName val="A-class_Materials1"/>
      <sheetName val="B_&amp;_C_class_items_1"/>
      <sheetName val="Indian_Tools_1"/>
      <sheetName val="German_Tools1"/>
      <sheetName val="Lab_Equipments1"/>
      <sheetName val="Safety_Items1"/>
      <sheetName val="MS_Items_Ideal_cost1"/>
      <sheetName val="MS_Items_1"/>
      <sheetName val="P_&amp;_M__1"/>
      <sheetName val="Wooden_Items1"/>
      <sheetName val="Mobilisation_Abs1"/>
      <sheetName val="Grid_Pillars1"/>
      <sheetName val="NMR_1"/>
      <sheetName val="Petty_cash1"/>
      <sheetName val="Mobile_cost1"/>
      <sheetName val="_Accomdidation1"/>
      <sheetName val="GM_&amp;_TA1"/>
      <sheetName val="SPT_vs_PHI"/>
      <sheetName val="intr_stool_brkup"/>
      <sheetName val="BILL_COV"/>
      <sheetName val="Civil_Boq"/>
      <sheetName val="Estimate_for_approval"/>
      <sheetName val="Abstract_2"/>
      <sheetName val="2_min2"/>
      <sheetName val="Variance_Report2"/>
      <sheetName val="Lab_&amp;_Mat_Var2"/>
      <sheetName val="Mat_&amp;_Lab2"/>
      <sheetName val="Preliminary_estimate2"/>
      <sheetName val="preliminaries-abs_(050508)_2"/>
      <sheetName val="Staff_Salary_NEW2"/>
      <sheetName val="Staff_Salary_before_start_new2"/>
      <sheetName val="Staff_Salary(before_start)2"/>
      <sheetName val="Variance_Abstract2"/>
      <sheetName val="Fixed_asset2"/>
      <sheetName val="A-class_abstract2"/>
      <sheetName val="A-class_Materials2"/>
      <sheetName val="B_&amp;_C_class_items_2"/>
      <sheetName val="Indian_Tools_2"/>
      <sheetName val="German_Tools2"/>
      <sheetName val="Lab_Equipments2"/>
      <sheetName val="Safety_Items2"/>
      <sheetName val="MS_Items_Ideal_cost2"/>
      <sheetName val="MS_Items_2"/>
      <sheetName val="P_&amp;_M__2"/>
      <sheetName val="Wooden_Items2"/>
      <sheetName val="Mobilisation_Abs2"/>
      <sheetName val="Grid_Pillars2"/>
      <sheetName val="NMR_2"/>
      <sheetName val="Petty_cash2"/>
      <sheetName val="Mobile_cost2"/>
      <sheetName val="_Accomdidation2"/>
      <sheetName val="GM_&amp;_TA2"/>
      <sheetName val="SPT_vs_PHI1"/>
      <sheetName val="intr_stool_brkup1"/>
      <sheetName val="BILL_COV1"/>
      <sheetName val="Civil_Boq1"/>
      <sheetName val="Estimate_for_approval1"/>
      <sheetName val="Civil_Boq3"/>
      <sheetName val="Estimate_for_approval3"/>
      <sheetName val="Abstract_5"/>
      <sheetName val="2_min5"/>
      <sheetName val="Variance_Report5"/>
      <sheetName val="Lab_&amp;_Mat_Var5"/>
      <sheetName val="Mat_&amp;_Lab5"/>
      <sheetName val="Preliminary_estimate5"/>
      <sheetName val="preliminaries-abs_(050508)_5"/>
      <sheetName val="Staff_Salary_NEW5"/>
      <sheetName val="Staff_Salary_before_start_new5"/>
      <sheetName val="Staff_Salary(before_start)5"/>
      <sheetName val="Variance_Abstract5"/>
      <sheetName val="Fixed_asset5"/>
      <sheetName val="A-class_abstract5"/>
      <sheetName val="A-class_Materials5"/>
      <sheetName val="B_&amp;_C_class_items_5"/>
      <sheetName val="Indian_Tools_5"/>
      <sheetName val="German_Tools5"/>
      <sheetName val="Lab_Equipments5"/>
      <sheetName val="Safety_Items5"/>
      <sheetName val="MS_Items_Ideal_cost5"/>
      <sheetName val="MS_Items_5"/>
      <sheetName val="P_&amp;_M__5"/>
      <sheetName val="Wooden_Items5"/>
      <sheetName val="Mobilisation_Abs5"/>
      <sheetName val="Grid_Pillars5"/>
      <sheetName val="NMR_5"/>
      <sheetName val="Petty_cash5"/>
      <sheetName val="Mobile_cost5"/>
      <sheetName val="_Accomdidation5"/>
      <sheetName val="GM_&amp;_TA5"/>
      <sheetName val="SPT_vs_PHI4"/>
      <sheetName val="intr_stool_brkup4"/>
      <sheetName val="BILL_COV4"/>
      <sheetName val="Civil_Boq4"/>
      <sheetName val="Estimate_for_approval4"/>
      <sheetName val="PointNo.5"/>
      <sheetName val="P &amp; M"/>
      <sheetName val="MS Item"/>
      <sheetName val="MS Item Consumables"/>
      <sheetName val="Scaffolding"/>
      <sheetName val="Prelims Projected Delay"/>
      <sheetName val="Preliminaries SCG"/>
      <sheetName val="Unimax"/>
      <sheetName val="FPS"/>
      <sheetName val="MS Item Idle"/>
      <sheetName val="FPS Idle"/>
      <sheetName val="P &amp; M Idle"/>
      <sheetName val="Scaffolding Idle"/>
      <sheetName val="ERP Admin Expense"/>
      <sheetName val="Abstract_7"/>
      <sheetName val="2_min7"/>
      <sheetName val="Variance_Report7"/>
      <sheetName val="Lab_&amp;_Mat_Var7"/>
      <sheetName val="Mat_&amp;_Lab7"/>
      <sheetName val="Preliminary_estimate7"/>
      <sheetName val="preliminaries-abs_(050508)_7"/>
      <sheetName val="Staff_Salary_NEW7"/>
      <sheetName val="Staff_Salary_before_start_new7"/>
      <sheetName val="Staff_Salary(before_start)7"/>
      <sheetName val="Variance_Abstract7"/>
      <sheetName val="Fixed_asset7"/>
      <sheetName val="A-class_abstract7"/>
      <sheetName val="A-class_Materials7"/>
      <sheetName val="B_&amp;_C_class_items_7"/>
      <sheetName val="Indian_Tools_7"/>
      <sheetName val="German_Tools7"/>
      <sheetName val="Lab_Equipments7"/>
      <sheetName val="Safety_Items7"/>
      <sheetName val="MS_Items_Ideal_cost7"/>
      <sheetName val="MS_Items_7"/>
      <sheetName val="P_&amp;_M__7"/>
      <sheetName val="Wooden_Items7"/>
      <sheetName val="Mobilisation_Abs7"/>
      <sheetName val="Grid_Pillars7"/>
      <sheetName val="NMR_7"/>
      <sheetName val="Petty_cash7"/>
      <sheetName val="Mobile_cost7"/>
      <sheetName val="_Accomdidation7"/>
      <sheetName val="GM_&amp;_TA7"/>
      <sheetName val="SPT_vs_PHI6"/>
      <sheetName val="intr_stool_brkup6"/>
      <sheetName val="BILL_COV6"/>
      <sheetName val="Civil_Boq6"/>
      <sheetName val="Estimate_for_approval6"/>
      <sheetName val="P_&amp;_M"/>
      <sheetName val="MS_Item"/>
      <sheetName val="MS_Item_Consumables"/>
      <sheetName val="Prelims_Projected_Delay"/>
      <sheetName val="Preliminaries_SCG"/>
      <sheetName val="MS_Item_Idle"/>
      <sheetName val="FPS_Idle"/>
      <sheetName val="P_&amp;_M_Idle"/>
      <sheetName val="Scaffolding_Idle"/>
      <sheetName val="ERP_Admin_Expense"/>
      <sheetName val="PointNo_5"/>
      <sheetName val="Rate analysis"/>
      <sheetName val="India F&amp;S Template"/>
      <sheetName val="BOQ (2)"/>
      <sheetName val="India_F&amp;S_Template"/>
      <sheetName val="BOQ_(2)"/>
      <sheetName val="India_F&amp;S_Template1"/>
      <sheetName val="BOQ_(2)1"/>
      <sheetName val="BOQ"/>
      <sheetName val="India_F&amp;S_Template2"/>
      <sheetName val="BOQ_(2)2"/>
      <sheetName val="19.02.08 lifestyle"/>
      <sheetName val="Abstract_8"/>
      <sheetName val="2_min8"/>
      <sheetName val="Variance_Report8"/>
      <sheetName val="Lab_&amp;_Mat_Var8"/>
      <sheetName val="Mat_&amp;_Lab8"/>
      <sheetName val="Preliminary_estimate8"/>
      <sheetName val="preliminaries-abs_(050508)_8"/>
      <sheetName val="Staff_Salary_NEW8"/>
      <sheetName val="Staff_Salary_before_start_new8"/>
      <sheetName val="Staff_Salary(before_start)8"/>
      <sheetName val="Variance_Abstract8"/>
      <sheetName val="Fixed_asset8"/>
      <sheetName val="A-class_abstract8"/>
      <sheetName val="A-class_Materials8"/>
      <sheetName val="B_&amp;_C_class_items_8"/>
      <sheetName val="Indian_Tools_8"/>
      <sheetName val="German_Tools8"/>
      <sheetName val="Lab_Equipments8"/>
      <sheetName val="Safety_Items8"/>
      <sheetName val="MS_Items_Ideal_cost8"/>
      <sheetName val="MS_Items_8"/>
      <sheetName val="P_&amp;_M__8"/>
      <sheetName val="Wooden_Items8"/>
      <sheetName val="Mobilisation_Abs8"/>
      <sheetName val="Grid_Pillars8"/>
      <sheetName val="NMR_8"/>
      <sheetName val="Petty_cash8"/>
      <sheetName val="Mobile_cost8"/>
      <sheetName val="_Accomdidation8"/>
      <sheetName val="GM_&amp;_TA8"/>
      <sheetName val="SPT_vs_PHI7"/>
      <sheetName val="intr_stool_brkup7"/>
      <sheetName val="BILL_COV7"/>
      <sheetName val="Civil_Boq7"/>
      <sheetName val="Estimate_for_approval7"/>
      <sheetName val="PointNo_51"/>
      <sheetName val="P_&amp;_M1"/>
      <sheetName val="MS_Item1"/>
      <sheetName val="MS_Item_Consumables1"/>
      <sheetName val="Prelims_Projected_Delay1"/>
      <sheetName val="Preliminaries_SCG1"/>
      <sheetName val="MS_Item_Idle1"/>
      <sheetName val="FPS_Idle1"/>
      <sheetName val="P_&amp;_M_Idle1"/>
      <sheetName val="Scaffolding_Idle1"/>
      <sheetName val="ERP_Admin_Expense1"/>
      <sheetName val="Rate_analysis"/>
      <sheetName val="India_F&amp;S_Template3"/>
      <sheetName val="BOQ_(2)3"/>
      <sheetName val="19_02_08_lifestyle"/>
      <sheetName val="analysis"/>
      <sheetName val="col-reinft1"/>
      <sheetName val="Abstract_11"/>
      <sheetName val="2_min11"/>
      <sheetName val="Variance_Report11"/>
      <sheetName val="Lab_&amp;_Mat_Var11"/>
      <sheetName val="Mat_&amp;_Lab11"/>
      <sheetName val="Preliminary_estimate11"/>
      <sheetName val="preliminaries-abs_(050508)_11"/>
      <sheetName val="Staff_Salary_NEW11"/>
      <sheetName val="Staff_Salary_before_start_new11"/>
      <sheetName val="Staff_Salary(before_start)11"/>
      <sheetName val="Variance_Abstract11"/>
      <sheetName val="Fixed_asset11"/>
      <sheetName val="A-class_abstract11"/>
      <sheetName val="A-class_Materials11"/>
      <sheetName val="B_&amp;_C_class_items_11"/>
      <sheetName val="Indian_Tools_11"/>
      <sheetName val="German_Tools11"/>
      <sheetName val="Lab_Equipments11"/>
      <sheetName val="Safety_Items11"/>
      <sheetName val="MS_Items_Ideal_cost11"/>
      <sheetName val="MS_Items_11"/>
      <sheetName val="P_&amp;_M__11"/>
      <sheetName val="Wooden_Items11"/>
      <sheetName val="Mobilisation_Abs11"/>
      <sheetName val="Grid_Pillars11"/>
      <sheetName val="NMR_11"/>
      <sheetName val="Petty_cash11"/>
      <sheetName val="Mobile_cost11"/>
      <sheetName val="_Accomdidation11"/>
      <sheetName val="GM_&amp;_TA11"/>
      <sheetName val="SPT_vs_PHI10"/>
      <sheetName val="intr_stool_brkup10"/>
      <sheetName val="BILL_COV10"/>
      <sheetName val="Civil_Boq10"/>
      <sheetName val="Estimate_for_approval10"/>
      <sheetName val="PointNo_54"/>
      <sheetName val="P_&amp;_M4"/>
      <sheetName val="MS_Item4"/>
      <sheetName val="MS_Item_Consumables4"/>
      <sheetName val="Prelims_Projected_Delay4"/>
      <sheetName val="Preliminaries_SCG4"/>
      <sheetName val="MS_Item_Idle4"/>
      <sheetName val="FPS_Idle4"/>
      <sheetName val="P_&amp;_M_Idle4"/>
      <sheetName val="Scaffolding_Idle4"/>
      <sheetName val="ERP_Admin_Expense4"/>
      <sheetName val="Rate_analysis3"/>
      <sheetName val="India_F&amp;S_Template6"/>
      <sheetName val="BOQ_(2)6"/>
      <sheetName val="19_02_08_lifestyle3"/>
      <sheetName val="Abstract_10"/>
      <sheetName val="2_min10"/>
      <sheetName val="Variance_Report10"/>
      <sheetName val="Lab_&amp;_Mat_Var10"/>
      <sheetName val="Mat_&amp;_Lab10"/>
      <sheetName val="Preliminary_estimate10"/>
      <sheetName val="preliminaries-abs_(050508)_10"/>
      <sheetName val="Staff_Salary_NEW10"/>
      <sheetName val="Staff_Salary_before_start_new10"/>
      <sheetName val="Staff_Salary(before_start)10"/>
      <sheetName val="Variance_Abstract10"/>
      <sheetName val="Fixed_asset10"/>
      <sheetName val="A-class_abstract10"/>
      <sheetName val="A-class_Materials10"/>
      <sheetName val="B_&amp;_C_class_items_10"/>
      <sheetName val="Indian_Tools_10"/>
      <sheetName val="German_Tools10"/>
      <sheetName val="Lab_Equipments10"/>
      <sheetName val="Safety_Items10"/>
      <sheetName val="MS_Items_Ideal_cost10"/>
      <sheetName val="MS_Items_10"/>
      <sheetName val="P_&amp;_M__10"/>
      <sheetName val="Wooden_Items10"/>
      <sheetName val="Mobilisation_Abs10"/>
      <sheetName val="Grid_Pillars10"/>
      <sheetName val="NMR_10"/>
      <sheetName val="Petty_cash10"/>
      <sheetName val="Mobile_cost10"/>
      <sheetName val="_Accomdidation10"/>
      <sheetName val="GM_&amp;_TA10"/>
      <sheetName val="SPT_vs_PHI9"/>
      <sheetName val="intr_stool_brkup9"/>
      <sheetName val="BILL_COV9"/>
      <sheetName val="Civil_Boq9"/>
      <sheetName val="Estimate_for_approval9"/>
      <sheetName val="PointNo_53"/>
      <sheetName val="P_&amp;_M3"/>
      <sheetName val="MS_Item3"/>
      <sheetName val="MS_Item_Consumables3"/>
      <sheetName val="Prelims_Projected_Delay3"/>
      <sheetName val="Preliminaries_SCG3"/>
      <sheetName val="MS_Item_Idle3"/>
      <sheetName val="FPS_Idle3"/>
      <sheetName val="P_&amp;_M_Idle3"/>
      <sheetName val="Scaffolding_Idle3"/>
      <sheetName val="ERP_Admin_Expense3"/>
      <sheetName val="Rate_analysis2"/>
      <sheetName val="India_F&amp;S_Template5"/>
      <sheetName val="BOQ_(2)5"/>
      <sheetName val="19_02_08_lifestyle2"/>
      <sheetName val="Abstract_9"/>
      <sheetName val="2_min9"/>
      <sheetName val="Variance_Report9"/>
      <sheetName val="Lab_&amp;_Mat_Var9"/>
      <sheetName val="Mat_&amp;_Lab9"/>
      <sheetName val="Preliminary_estimate9"/>
      <sheetName val="preliminaries-abs_(050508)_9"/>
      <sheetName val="Staff_Salary_NEW9"/>
      <sheetName val="Staff_Salary_before_start_new9"/>
      <sheetName val="Staff_Salary(before_start)9"/>
      <sheetName val="Variance_Abstract9"/>
      <sheetName val="Fixed_asset9"/>
      <sheetName val="A-class_abstract9"/>
      <sheetName val="A-class_Materials9"/>
      <sheetName val="B_&amp;_C_class_items_9"/>
      <sheetName val="Indian_Tools_9"/>
      <sheetName val="German_Tools9"/>
      <sheetName val="Lab_Equipments9"/>
      <sheetName val="Safety_Items9"/>
      <sheetName val="MS_Items_Ideal_cost9"/>
      <sheetName val="MS_Items_9"/>
      <sheetName val="P_&amp;_M__9"/>
      <sheetName val="Wooden_Items9"/>
      <sheetName val="Mobilisation_Abs9"/>
      <sheetName val="Grid_Pillars9"/>
      <sheetName val="NMR_9"/>
      <sheetName val="Petty_cash9"/>
      <sheetName val="Mobile_cost9"/>
      <sheetName val="_Accomdidation9"/>
      <sheetName val="GM_&amp;_TA9"/>
      <sheetName val="SPT_vs_PHI8"/>
      <sheetName val="intr_stool_brkup8"/>
      <sheetName val="BILL_COV8"/>
      <sheetName val="Civil_Boq8"/>
      <sheetName val="Estimate_for_approval8"/>
      <sheetName val="PointNo_52"/>
      <sheetName val="P_&amp;_M2"/>
      <sheetName val="MS_Item2"/>
      <sheetName val="MS_Item_Consumables2"/>
      <sheetName val="Prelims_Projected_Delay2"/>
      <sheetName val="Preliminaries_SCG2"/>
      <sheetName val="MS_Item_Idle2"/>
      <sheetName val="FPS_Idle2"/>
      <sheetName val="P_&amp;_M_Idle2"/>
      <sheetName val="Scaffolding_Idle2"/>
      <sheetName val="ERP_Admin_Expense2"/>
      <sheetName val="Rate_analysis1"/>
      <sheetName val="India_F&amp;S_Template4"/>
      <sheetName val="BOQ_(2)4"/>
      <sheetName val="19_02_08_lifesty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ormation"/>
      <sheetName val="Material resource"/>
      <sheetName val="Labour resource"/>
      <sheetName val="Estimate for approval"/>
      <sheetName val="Total Quantity"/>
      <sheetName val="Material rates (June-08)"/>
      <sheetName val="Material rates (July-08)"/>
      <sheetName val="Material rates (October-08)"/>
      <sheetName val="Material rates (Jan-09)"/>
      <sheetName val="Price list-Blocks"/>
      <sheetName val="08-09 SLR"/>
      <sheetName val="ABSTR-Plumbing Estimate"/>
      <sheetName val="Tower crane SLR"/>
      <sheetName val="PlasteringOther-SLR"/>
      <sheetName val="P &amp; M avilability"/>
      <sheetName val="P&amp;M -Final"/>
      <sheetName val="07-08 SLR"/>
      <sheetName val="Anti Termite"/>
      <sheetName val="Steel weighted average"/>
      <sheetName val="Abstract- All Reinforcement"/>
      <sheetName val="Reinf-Footing"/>
      <sheetName val="Isolated Footing"/>
      <sheetName val="Raft Footing"/>
      <sheetName val="Pedestal"/>
      <sheetName val="Slope Cutting"/>
      <sheetName val="Excavation-Abs"/>
      <sheetName val="Podium-Exc"/>
      <sheetName val="Tower Mass Exc"/>
      <sheetName val="Backfill"/>
      <sheetName val="Excavation "/>
      <sheetName val="PCC &amp; RCC for footing"/>
      <sheetName val="Retaining Wall"/>
      <sheetName val="Ret wall reft"/>
      <sheetName val="vdf flooring"/>
      <sheetName val="Abstract-Colums"/>
      <sheetName val="Below Lower Basement-Col"/>
      <sheetName val="From LB floor to UB floor-Col"/>
      <sheetName val="From UB floor to G floor-Col"/>
      <sheetName val="From G floor to F floor-Col"/>
      <sheetName val="From F floor to S floor-Col"/>
      <sheetName val="From S floor to T floor-Col"/>
      <sheetName val="From T floor to F floor-Col"/>
      <sheetName val="From F floor to Fif  floor-Col"/>
      <sheetName val="From Fi floor to Six floor-Col"/>
      <sheetName val="From Six  floor to Se floor-Col"/>
      <sheetName val="From Se floor to Eig floor-Col"/>
      <sheetName val="From Ei floor to Nin floor-Col"/>
      <sheetName val="From Ni floor to Ten floor-Col"/>
      <sheetName val="Tenth to 11th floor"/>
      <sheetName val="11th to 12th floor"/>
      <sheetName val="12th to 13th floor"/>
      <sheetName val="13th to 14th floor"/>
      <sheetName val="14th to 15th floor"/>
      <sheetName val="15th to 16th floor"/>
      <sheetName val="16th to 17th floor"/>
      <sheetName val="17th to 18th floor"/>
      <sheetName val="columns in terrace floor"/>
      <sheetName val="Column Splicing"/>
      <sheetName val="Cover Blocks"/>
      <sheetName val="Abstract-Slab LB"/>
      <sheetName val="L.B. Roof Slab- Block 1&amp;4"/>
      <sheetName val="L.B. Roof Slab-Block 2&amp;3"/>
      <sheetName val="ABSTRACT-slab UB"/>
      <sheetName val="U.B. Roof Slab block1&amp;4"/>
      <sheetName val="U.B. Roof Slab block2"/>
      <sheetName val="ABSTRACT slab GF"/>
      <sheetName val="Ground floor slab -Blk1&amp;4"/>
      <sheetName val="Ground floor slab -Blk2&amp;3"/>
      <sheetName val="ABSTRACT slab 1st floor"/>
      <sheetName val="First floor slab -Blk1&amp;4"/>
      <sheetName val="First floor slab -Blk2&amp;3"/>
      <sheetName val="ABSTRACT slab typ flr"/>
      <sheetName val="Typical floor slab -Blk1&amp;4"/>
      <sheetName val="Typical floor slab -Blk2&amp;3"/>
      <sheetName val="Typ flr slab-II lvl -B1&amp;4"/>
      <sheetName val="Abstract-Beams LB"/>
      <sheetName val="L.B.Roof Beams-Block 1&amp;4"/>
      <sheetName val="L.B. Roof beams-Block 2&amp;3"/>
      <sheetName val="ABSTRACT beams UB"/>
      <sheetName val="Upper Basement floor-B1&amp;4"/>
      <sheetName val="Upper Basement-Beams-Block2"/>
      <sheetName val="Upper Basement-Block3"/>
      <sheetName val="ABSTRACT beam GF"/>
      <sheetName val="Ground floor-B1&amp;4"/>
      <sheetName val="Ground Floor-Beams-Block2&amp;3"/>
      <sheetName val="ABSTRACT beams 1st flr"/>
      <sheetName val="first floor-B1&amp;4"/>
      <sheetName val="first Floor-Beams-Block2&amp;3"/>
      <sheetName val="ABSTRACT beam typ floor"/>
      <sheetName val="Typ floor-B1&amp;4"/>
      <sheetName val="Typ Floor-Beams-Block2&amp;3"/>
      <sheetName val="13th flr roof beam B1&amp;4"/>
      <sheetName val="13th Flr roof-Beams-B2&amp;3 "/>
      <sheetName val="14th-18t flr roof beam B1&amp;4"/>
      <sheetName val="14th-18 Flr roof-Beams-B2&amp;3"/>
      <sheetName val="ABSTRACT staircase"/>
      <sheetName val="Staircase block-1A"/>
      <sheetName val="Staircase-1A(Reif)"/>
      <sheetName val="Staircase block-1B"/>
      <sheetName val="Staircase-1B(Reif) "/>
      <sheetName val="Staircase block-2"/>
      <sheetName val="Staircase block-2(Reif)"/>
      <sheetName val="Abstract lift wall"/>
      <sheetName val="Lift wall Shuttering"/>
      <sheetName val="lift wall-reinf"/>
      <sheetName val="lift wall-Block2 &amp; 3"/>
      <sheetName val="LMR"/>
      <sheetName val="lift wall-Block1 &amp; 4"/>
      <sheetName val="Lintel, chejja,sill"/>
      <sheetName val="Sheet1"/>
      <sheetName val="plastering"/>
      <sheetName val="Plaster Band"/>
      <sheetName val="waterproofing"/>
      <sheetName val="flooring"/>
      <sheetName val="painting"/>
      <sheetName val="Plastering Floorwise "/>
      <sheetName val="blockwork"/>
      <sheetName val="balcony grill  "/>
      <sheetName val="Cello Bubble"/>
      <sheetName val="Tiling-Breakups"/>
      <sheetName val="staircase railing"/>
      <sheetName val="Extra bars"/>
      <sheetName val="doors&amp;windows-others"/>
      <sheetName val="doors&amp;windows-flats"/>
      <sheetName val="sanitary shafts DOORS"/>
      <sheetName val="Al templates &amp; c beads"/>
      <sheetName val="POP fin"/>
      <sheetName val="Al. BOQ"/>
      <sheetName val="Bore"/>
      <sheetName val="Breakup-POP"/>
      <sheetName val="Ramp"/>
      <sheetName val="nib columns"/>
      <sheetName val="Shutt mater"/>
      <sheetName val="food allowance"/>
      <sheetName val="Calciumsilicate encasing"/>
      <sheetName val="UG sump"/>
      <sheetName val="OHT"/>
      <sheetName val="Abstract-Arch.feat."/>
      <sheetName val="Window box"/>
      <sheetName val="Rcc cornice &amp; facia"/>
      <sheetName val="Pls. Grooves"/>
      <sheetName val="Fin wall"/>
      <sheetName val="pergola beams"/>
      <sheetName val="Feature at entrance of each blk"/>
      <sheetName val="Summary( Amethyst) "/>
      <sheetName val="Summary(3Bed)"/>
      <sheetName val="without accomod"/>
      <sheetName val="MS Door"/>
      <sheetName val="Boq"/>
      <sheetName val="Rungs"/>
      <sheetName val="CWD-LB"/>
      <sheetName val="CWD-UB"/>
      <sheetName val="car wash sump-LB-3,4,5"/>
      <sheetName val="CLOTH LINE"/>
      <sheetName val="cement slurry"/>
      <sheetName val="Tiling Labour Costs"/>
      <sheetName val="Fire rated door"/>
      <sheetName val="BOQ- Wooden door"/>
      <sheetName val="Al D -Tower Bolt R1 BOQ"/>
      <sheetName val="ceralatex"/>
      <sheetName val="Amethyst vsMagnolia"/>
      <sheetName val="14th-18t ft_x0000_-_x0000_oof beam B1&amp;4"/>
      <sheetName val="14th-18t ft"/>
      <sheetName val="Project_Information"/>
      <sheetName val="Material_resource"/>
      <sheetName val="Labour_resource"/>
      <sheetName val="Estimate_for_approval"/>
      <sheetName val="Total_Quantity"/>
      <sheetName val="Material_rates_(June-08)"/>
      <sheetName val="Material_rates_(July-08)"/>
      <sheetName val="Material_rates_(October-08)"/>
      <sheetName val="Material_rates_(Jan-09)"/>
      <sheetName val="Price_list-Blocks"/>
      <sheetName val="08-09_SLR"/>
      <sheetName val="ABSTR-Plumbing_Estimate"/>
      <sheetName val="Tower_crane_SLR"/>
      <sheetName val="P_&amp;_M_avilability"/>
      <sheetName val="P&amp;M_-Final"/>
      <sheetName val="07-08_SLR"/>
      <sheetName val="Anti_Termite"/>
      <sheetName val="Steel_weighted_average"/>
      <sheetName val="Abstract-_All_Reinforcement"/>
      <sheetName val="Isolated_Footing"/>
      <sheetName val="Raft_Footing"/>
      <sheetName val="Slope_Cutting"/>
      <sheetName val="Tower_Mass_Exc"/>
      <sheetName val="Excavation_"/>
      <sheetName val="PCC_&amp;_RCC_for_footing"/>
      <sheetName val="Retaining_Wall"/>
      <sheetName val="Ret_wall_reft"/>
      <sheetName val="vdf_flooring"/>
      <sheetName val="Below_Lower_Basement-Col"/>
      <sheetName val="From_LB_floor_to_UB_floor-Col"/>
      <sheetName val="From_UB_floor_to_G_floor-Col"/>
      <sheetName val="From_G_floor_to_F_floor-Col"/>
      <sheetName val="From_F_floor_to_S_floor-Col"/>
      <sheetName val="From_S_floor_to_T_floor-Col"/>
      <sheetName val="From_T_floor_to_F_floor-Col"/>
      <sheetName val="From_F_floor_to_Fif__floor-Col"/>
      <sheetName val="From_Fi_floor_to_Six_floor-Col"/>
      <sheetName val="From_Six__floor_to_Se_floor-Col"/>
      <sheetName val="From_Se_floor_to_Eig_floor-Col"/>
      <sheetName val="From_Ei_floor_to_Nin_floor-Col"/>
      <sheetName val="From_Ni_floor_to_Ten_floor-Col"/>
      <sheetName val="Tenth_to_11th_floor"/>
      <sheetName val="11th_to_12th_floor"/>
      <sheetName val="12th_to_13th_floor"/>
      <sheetName val="13th_to_14th_floor"/>
      <sheetName val="14th_to_15th_floor"/>
      <sheetName val="15th_to_16th_floor"/>
      <sheetName val="16th_to_17th_floor"/>
      <sheetName val="17th_to_18th_floor"/>
      <sheetName val="columns_in_terrace_floor"/>
      <sheetName val="Column_Splicing"/>
      <sheetName val="Cover_Blocks"/>
      <sheetName val="Abstract-Slab_LB"/>
      <sheetName val="L_B__Roof_Slab-_Block_1&amp;4"/>
      <sheetName val="L_B__Roof_Slab-Block_2&amp;3"/>
      <sheetName val="ABSTRACT-slab_UB"/>
      <sheetName val="U_B__Roof_Slab_block1&amp;4"/>
      <sheetName val="U_B__Roof_Slab_block2"/>
      <sheetName val="ABSTRACT_slab_GF"/>
      <sheetName val="Ground_floor_slab_-Blk1&amp;4"/>
      <sheetName val="Ground_floor_slab_-Blk2&amp;3"/>
      <sheetName val="ABSTRACT_slab_1st_floor"/>
      <sheetName val="First_floor_slab_-Blk1&amp;4"/>
      <sheetName val="First_floor_slab_-Blk2&amp;3"/>
      <sheetName val="ABSTRACT_slab_typ_flr"/>
      <sheetName val="Typical_floor_slab_-Blk1&amp;4"/>
      <sheetName val="Typical_floor_slab_-Blk2&amp;3"/>
      <sheetName val="Typ_flr_slab-II_lvl_-B1&amp;4"/>
      <sheetName val="Abstract-Beams_LB"/>
      <sheetName val="L_B_Roof_Beams-Block_1&amp;4"/>
      <sheetName val="L_B__Roof_beams-Block_2&amp;3"/>
      <sheetName val="ABSTRACT_beams_UB"/>
      <sheetName val="Upper_Basement_floor-B1&amp;4"/>
      <sheetName val="Upper_Basement-Beams-Block2"/>
      <sheetName val="Upper_Basement-Block3"/>
      <sheetName val="ABSTRACT_beam_GF"/>
      <sheetName val="Ground_floor-B1&amp;4"/>
      <sheetName val="Ground_Floor-Beams-Block2&amp;3"/>
      <sheetName val="ABSTRACT_beams_1st_flr"/>
      <sheetName val="first_floor-B1&amp;4"/>
      <sheetName val="first_Floor-Beams-Block2&amp;3"/>
      <sheetName val="ABSTRACT_beam_typ_floor"/>
      <sheetName val="Typ_floor-B1&amp;4"/>
      <sheetName val="Typ_Floor-Beams-Block2&amp;3"/>
      <sheetName val="13th_flr_roof_beam_B1&amp;4"/>
      <sheetName val="13th_Flr_roof-Beams-B2&amp;3_"/>
      <sheetName val="14th-18t_flr_roof_beam_B1&amp;4"/>
      <sheetName val="14th-18_Flr_roof-Beams-B2&amp;3"/>
      <sheetName val="ABSTRACT_staircase"/>
      <sheetName val="Staircase_block-1A"/>
      <sheetName val="Staircase_block-1B"/>
      <sheetName val="Staircase-1B(Reif)_"/>
      <sheetName val="Staircase_block-2"/>
      <sheetName val="Staircase_block-2(Reif)"/>
      <sheetName val="Abstract_lift_wall"/>
      <sheetName val="Lift_wall_Shuttering"/>
      <sheetName val="lift_wall-reinf"/>
      <sheetName val="lift_wall-Block2_&amp;_3"/>
      <sheetName val="lift_wall-Block1_&amp;_4"/>
      <sheetName val="Lintel,_chejja,sill"/>
      <sheetName val="Plaster_Band"/>
      <sheetName val="Plastering_Floorwise_"/>
      <sheetName val="balcony_grill__"/>
      <sheetName val="Cello_Bubble"/>
      <sheetName val="staircase_railing"/>
      <sheetName val="Extra_bars"/>
      <sheetName val="sanitary_shafts_DOORS"/>
      <sheetName val="Al_templates_&amp;_c_beads"/>
      <sheetName val="POP_fin"/>
      <sheetName val="Al__BOQ"/>
      <sheetName val="nib_columns"/>
      <sheetName val="Shutt_mater"/>
      <sheetName val="food_allowance"/>
      <sheetName val="Calciumsilicate_encasing"/>
      <sheetName val="UG_sump"/>
      <sheetName val="Abstract-Arch_feat_"/>
      <sheetName val="Window_box"/>
      <sheetName val="Rcc_cornice_&amp;_facia"/>
      <sheetName val="Pls__Grooves"/>
      <sheetName val="Fin_wall"/>
      <sheetName val="pergola_beams"/>
      <sheetName val="Feature_at_entrance_of_each_blk"/>
      <sheetName val="Summary(_Amethyst)_"/>
      <sheetName val="without_accomod"/>
      <sheetName val="MS_Door"/>
      <sheetName val="car_wash_sump-LB-3,4,5"/>
      <sheetName val="CLOTH_LINE"/>
      <sheetName val="cement_slurry"/>
      <sheetName val="Tiling_Labour_Costs"/>
      <sheetName val="Fire_rated_door"/>
      <sheetName val="BOQ-_Wooden_door"/>
      <sheetName val="Al_D_-Tower_Bolt_R1_BOQ"/>
      <sheetName val="Amethyst_vsMagnolia"/>
      <sheetName val="14th-18t_ft-oof_beam_B1&amp;4"/>
      <sheetName val="14th-18t_ft"/>
      <sheetName val="B &amp; C class items "/>
      <sheetName val="SPT vs PHI"/>
      <sheetName val="Rate analysis"/>
      <sheetName val="BILL COV"/>
      <sheetName val="intr stool brkup"/>
      <sheetName val="Project_Information6"/>
      <sheetName val="Material_resource6"/>
      <sheetName val="Labour_resource6"/>
      <sheetName val="Estimate_for_approval6"/>
      <sheetName val="Total_Quantity6"/>
      <sheetName val="Material_rates_(June-08)6"/>
      <sheetName val="Material_rates_(July-08)6"/>
      <sheetName val="Material_rates_(October-08)6"/>
      <sheetName val="Material_rates_(Jan-09)6"/>
      <sheetName val="Price_list-Blocks6"/>
      <sheetName val="08-09_SLR6"/>
      <sheetName val="ABSTR-Plumbing_Estimate6"/>
      <sheetName val="Tower_crane_SLR6"/>
      <sheetName val="P_&amp;_M_avilability6"/>
      <sheetName val="P&amp;M_-Final6"/>
      <sheetName val="07-08_SLR6"/>
      <sheetName val="Anti_Termite6"/>
      <sheetName val="Steel_weighted_average6"/>
      <sheetName val="Abstract-_All_Reinforcement6"/>
      <sheetName val="Isolated_Footing6"/>
      <sheetName val="Raft_Footing6"/>
      <sheetName val="Slope_Cutting6"/>
      <sheetName val="Tower_Mass_Exc6"/>
      <sheetName val="Excavation_6"/>
      <sheetName val="PCC_&amp;_RCC_for_footing6"/>
      <sheetName val="Retaining_Wall6"/>
      <sheetName val="Ret_wall_reft6"/>
      <sheetName val="vdf_flooring6"/>
      <sheetName val="Below_Lower_Basement-Col6"/>
      <sheetName val="From_LB_floor_to_UB_floor-Col6"/>
      <sheetName val="From_UB_floor_to_G_floor-Col6"/>
      <sheetName val="From_G_floor_to_F_floor-Col6"/>
      <sheetName val="From_F_floor_to_S_floor-Col6"/>
      <sheetName val="From_S_floor_to_T_floor-Col6"/>
      <sheetName val="From_T_floor_to_F_floor-Col6"/>
      <sheetName val="From_F_floor_to_Fif__floor-Col6"/>
      <sheetName val="From_Fi_floor_to_Six_floor-Col6"/>
      <sheetName val="From_Six__floor_to_Se_floor-Co6"/>
      <sheetName val="From_Se_floor_to_Eig_floor-Col6"/>
      <sheetName val="From_Ei_floor_to_Nin_floor-Col6"/>
      <sheetName val="From_Ni_floor_to_Ten_floor-Col6"/>
      <sheetName val="Tenth_to_11th_floor6"/>
      <sheetName val="11th_to_12th_floor6"/>
      <sheetName val="12th_to_13th_floor6"/>
      <sheetName val="13th_to_14th_floor6"/>
      <sheetName val="14th_to_15th_floor6"/>
      <sheetName val="15th_to_16th_floor6"/>
      <sheetName val="16th_to_17th_floor6"/>
      <sheetName val="17th_to_18th_floor6"/>
      <sheetName val="columns_in_terrace_floor6"/>
      <sheetName val="Column_Splicing6"/>
      <sheetName val="Cover_Blocks6"/>
      <sheetName val="Abstract-Slab_LB6"/>
      <sheetName val="L_B__Roof_Slab-_Block_1&amp;46"/>
      <sheetName val="L_B__Roof_Slab-Block_2&amp;36"/>
      <sheetName val="ABSTRACT-slab_UB6"/>
      <sheetName val="U_B__Roof_Slab_block1&amp;46"/>
      <sheetName val="U_B__Roof_Slab_block26"/>
      <sheetName val="ABSTRACT_slab_GF6"/>
      <sheetName val="Ground_floor_slab_-Blk1&amp;46"/>
      <sheetName val="Ground_floor_slab_-Blk2&amp;36"/>
      <sheetName val="ABSTRACT_slab_1st_floor6"/>
      <sheetName val="First_floor_slab_-Blk1&amp;46"/>
      <sheetName val="First_floor_slab_-Blk2&amp;36"/>
      <sheetName val="ABSTRACT_slab_typ_flr6"/>
      <sheetName val="RO Plant"/>
      <sheetName val="Typical_floor_slab_-Blk1&amp;46"/>
      <sheetName val="Typical_floor_slab_-Blk2&amp;36"/>
      <sheetName val="Typ_flr_slab-II_lvl_-B1&amp;46"/>
      <sheetName val="Abstract-Beams_LB6"/>
      <sheetName val="L_B_Roof_Beams-Block_1&amp;46"/>
      <sheetName val="L_B__Roof_beams-Block_2&amp;36"/>
      <sheetName val="ABSTRACT_beams_UB6"/>
      <sheetName val="Upper_Basement_floor-B1&amp;46"/>
      <sheetName val="Upper_Basement-Beams-Block26"/>
      <sheetName val="Upper_Basement-Block36"/>
      <sheetName val="ABSTRACT_beam_GF6"/>
      <sheetName val="Ground_floor-B1&amp;46"/>
      <sheetName val="Ground_Floor-Beams-Block2&amp;36"/>
      <sheetName val="ABSTRACT_beams_1st_flr6"/>
      <sheetName val="first_floor-B1&amp;46"/>
      <sheetName val="first_Floor-Beams-Block2&amp;36"/>
      <sheetName val="ABSTRACT_beam_typ_floor6"/>
      <sheetName val="Typ_floor-B1&amp;46"/>
      <sheetName val="Typ_Floor-Beams-Block2&amp;36"/>
      <sheetName val="13th_flr_roof_beam_B1&amp;46"/>
      <sheetName val="13th_Flr_roof-Beams-B2&amp;3_6"/>
      <sheetName val="14th-18t_flr_roof_beam_B1&amp;46"/>
      <sheetName val="14th-18_Flr_roof-Beams-B2&amp;36"/>
      <sheetName val="ABSTRACT_staircase6"/>
      <sheetName val="Staircase_block-1A6"/>
      <sheetName val="Staircase_block-1B6"/>
      <sheetName val="Staircase-1B(Reif)_6"/>
      <sheetName val="Staircase_block-26"/>
      <sheetName val="Staircase_block-2(Reif)6"/>
      <sheetName val="Abstract_lift_wall6"/>
      <sheetName val="Lift_wall_Shuttering6"/>
      <sheetName val="lift_wall-reinf6"/>
      <sheetName val="lift_wall-Block2_&amp;_36"/>
      <sheetName val="lift_wall-Block1_&amp;_46"/>
      <sheetName val="Lintel,_chejja,sill6"/>
      <sheetName val="Plaster_Band6"/>
      <sheetName val="Plastering_Floorwise_6"/>
      <sheetName val="balcony_grill__6"/>
      <sheetName val="Cello_Bubble6"/>
      <sheetName val="staircase_railing6"/>
      <sheetName val="Extra_bars6"/>
      <sheetName val="sanitary_shafts_DOORS6"/>
      <sheetName val="Al_templates_&amp;_c_beads6"/>
      <sheetName val="POP_fin6"/>
      <sheetName val="Al__BOQ6"/>
      <sheetName val="nib_columns6"/>
      <sheetName val="Shutt_mater6"/>
      <sheetName val="food_allowance6"/>
      <sheetName val="Calciumsilicate_encasing6"/>
      <sheetName val="UG_sump6"/>
      <sheetName val="Abstract-Arch_feat_6"/>
      <sheetName val="Window_box6"/>
      <sheetName val="Rcc_cornice_&amp;_facia6"/>
      <sheetName val="Pls__Grooves6"/>
      <sheetName val="Fin_wall6"/>
      <sheetName val="pergola_beams6"/>
      <sheetName val="Feature_at_entrance_of_each_bl6"/>
      <sheetName val="Summary(_Amethyst)_6"/>
      <sheetName val="without_accomod6"/>
      <sheetName val="MS_Door6"/>
      <sheetName val="car_wash_sump-LB-3,4,56"/>
      <sheetName val="CLOTH_LINE6"/>
      <sheetName val="cement_slurry6"/>
      <sheetName val="Tiling_Labour_Costs6"/>
      <sheetName val="Fire_rated_door6"/>
      <sheetName val="BOQ-_Wooden_door6"/>
      <sheetName val="Al_D_-Tower_Bolt_R1_BOQ6"/>
      <sheetName val="Amethyst_vsMagnolia6"/>
      <sheetName val="14th-18t_ft6"/>
      <sheetName val="B_&amp;_C_class_items_5"/>
      <sheetName val="SPT_vs_PHI5"/>
      <sheetName val="BILL_COV5"/>
      <sheetName val="Rate_analysis5"/>
      <sheetName val="intr_stool_brkup5"/>
      <sheetName val="Project_Information4"/>
      <sheetName val="Material_resource4"/>
      <sheetName val="Labour_resource4"/>
      <sheetName val="Estimate_for_approval4"/>
      <sheetName val="Total_Quantity4"/>
      <sheetName val="Material_rates_(June-08)4"/>
      <sheetName val="Material_rates_(July-08)4"/>
      <sheetName val="Material_rates_(October-08)4"/>
      <sheetName val="Material_rates_(Jan-09)4"/>
      <sheetName val="Price_list-Blocks4"/>
      <sheetName val="08-09_SLR4"/>
      <sheetName val="ABSTR-Plumbing_Estimate4"/>
      <sheetName val="Tower_crane_SLR4"/>
      <sheetName val="P_&amp;_M_avilability4"/>
      <sheetName val="P&amp;M_-Final4"/>
      <sheetName val="07-08_SLR4"/>
      <sheetName val="Anti_Termite4"/>
      <sheetName val="Steel_weighted_average4"/>
      <sheetName val="Abstract-_All_Reinforcement4"/>
      <sheetName val="Isolated_Footing4"/>
      <sheetName val="Raft_Footing4"/>
      <sheetName val="Slope_Cutting4"/>
      <sheetName val="Tower_Mass_Exc4"/>
      <sheetName val="Excavation_4"/>
      <sheetName val="PCC_&amp;_RCC_for_footing4"/>
      <sheetName val="Retaining_Wall4"/>
      <sheetName val="Ret_wall_reft4"/>
      <sheetName val="vdf_flooring4"/>
      <sheetName val="Below_Lower_Basement-Col4"/>
      <sheetName val="From_LB_floor_to_UB_floor-Col4"/>
      <sheetName val="From_UB_floor_to_G_floor-Col4"/>
      <sheetName val="From_G_floor_to_F_floor-Col4"/>
      <sheetName val="From_F_floor_to_S_floor-Col4"/>
      <sheetName val="From_S_floor_to_T_floor-Col4"/>
      <sheetName val="From_T_floor_to_F_floor-Col4"/>
      <sheetName val="From_F_floor_to_Fif__floor-Col4"/>
      <sheetName val="From_Fi_floor_to_Six_floor-Col4"/>
      <sheetName val="From_Six__floor_to_Se_floor-Co4"/>
      <sheetName val="From_Se_floor_to_Eig_floor-Col4"/>
      <sheetName val="From_Ei_floor_to_Nin_floor-Col4"/>
      <sheetName val="From_Ni_floor_to_Ten_floor-Col4"/>
      <sheetName val="Tenth_to_11th_floor4"/>
      <sheetName val="11th_to_12th_floor4"/>
      <sheetName val="12th_to_13th_floor4"/>
      <sheetName val="13th_to_14th_floor4"/>
      <sheetName val="14th_to_15th_floor4"/>
      <sheetName val="15th_to_16th_floor4"/>
      <sheetName val="16th_to_17th_floor4"/>
      <sheetName val="17th_to_18th_floor4"/>
      <sheetName val="columns_in_terrace_floor4"/>
      <sheetName val="Column_Splicing4"/>
      <sheetName val="Cover_Blocks4"/>
      <sheetName val="Abstract-Slab_LB4"/>
      <sheetName val="L_B__Roof_Slab-_Block_1&amp;44"/>
      <sheetName val="L_B__Roof_Slab-Block_2&amp;34"/>
      <sheetName val="ABSTRACT-slab_UB4"/>
      <sheetName val="U_B__Roof_Slab_block1&amp;44"/>
      <sheetName val="U_B__Roof_Slab_block24"/>
      <sheetName val="ABSTRACT_slab_GF4"/>
      <sheetName val="Ground_floor_slab_-Blk1&amp;44"/>
      <sheetName val="Ground_floor_slab_-Blk2&amp;34"/>
      <sheetName val="ABSTRACT_slab_1st_floor4"/>
      <sheetName val="First_floor_slab_-Blk1&amp;44"/>
      <sheetName val="First_floor_slab_-Blk2&amp;34"/>
      <sheetName val="ABSTRACT_slab_typ_flr4"/>
      <sheetName val="Typical_floor_slab_-Blk1&amp;44"/>
      <sheetName val="Typical_floor_slab_-Blk2&amp;34"/>
      <sheetName val="Typ_flr_slab-II_lvl_-B1&amp;44"/>
      <sheetName val="Abstract-Beams_LB4"/>
      <sheetName val="L_B_Roof_Beams-Block_1&amp;44"/>
      <sheetName val="L_B__Roof_beams-Block_2&amp;34"/>
      <sheetName val="ABSTRACT_beams_UB4"/>
      <sheetName val="Upper_Basement_floor-B1&amp;44"/>
      <sheetName val="Upper_Basement-Beams-Block24"/>
      <sheetName val="Upper_Basement-Block34"/>
      <sheetName val="ABSTRACT_beam_GF4"/>
      <sheetName val="Ground_floor-B1&amp;44"/>
      <sheetName val="Ground_Floor-Beams-Block2&amp;34"/>
      <sheetName val="ABSTRACT_beams_1st_flr4"/>
      <sheetName val="first_floor-B1&amp;44"/>
      <sheetName val="first_Floor-Beams-Block2&amp;34"/>
      <sheetName val="ABSTRACT_beam_typ_floor4"/>
      <sheetName val="Typ_floor-B1&amp;44"/>
      <sheetName val="Typ_Floor-Beams-Block2&amp;34"/>
      <sheetName val="13th_flr_roof_beam_B1&amp;44"/>
      <sheetName val="13th_Flr_roof-Beams-B2&amp;3_4"/>
      <sheetName val="14th-18t_flr_roof_beam_B1&amp;44"/>
      <sheetName val="14th-18_Flr_roof-Beams-B2&amp;34"/>
      <sheetName val="ABSTRACT_staircase4"/>
      <sheetName val="Staircase_block-1A4"/>
      <sheetName val="Staircase_block-1B4"/>
      <sheetName val="Staircase-1B(Reif)_4"/>
      <sheetName val="Staircase_block-24"/>
      <sheetName val="Staircase_block-2(Reif)4"/>
      <sheetName val="Abstract_lift_wall4"/>
      <sheetName val="Lift_wall_Shuttering4"/>
      <sheetName val="lift_wall-reinf4"/>
      <sheetName val="lift_wall-Block2_&amp;_34"/>
      <sheetName val="lift_wall-Block1_&amp;_44"/>
      <sheetName val="Lintel,_chejja,sill4"/>
      <sheetName val="Plaster_Band4"/>
      <sheetName val="Plastering_Floorwise_4"/>
      <sheetName val="balcony_grill__4"/>
      <sheetName val="Cello_Bubble4"/>
      <sheetName val="staircase_railing4"/>
      <sheetName val="Extra_bars4"/>
      <sheetName val="sanitary_shafts_DOORS4"/>
      <sheetName val="Al_templates_&amp;_c_beads4"/>
      <sheetName val="POP_fin4"/>
      <sheetName val="Al__BOQ4"/>
      <sheetName val="nib_columns4"/>
      <sheetName val="Shutt_mater4"/>
      <sheetName val="food_allowance4"/>
      <sheetName val="Calciumsilicate_encasing4"/>
      <sheetName val="UG_sump4"/>
      <sheetName val="Abstract-Arch_feat_4"/>
      <sheetName val="Window_box4"/>
      <sheetName val="Rcc_cornice_&amp;_facia4"/>
      <sheetName val="Pls__Grooves4"/>
      <sheetName val="Fin_wall4"/>
      <sheetName val="pergola_beams4"/>
      <sheetName val="Feature_at_entrance_of_each_bl4"/>
      <sheetName val="Summary(_Amethyst)_4"/>
      <sheetName val="without_accomod4"/>
      <sheetName val="MS_Door4"/>
      <sheetName val="car_wash_sump-LB-3,4,54"/>
      <sheetName val="CLOTH_LINE4"/>
      <sheetName val="cement_slurry4"/>
      <sheetName val="Tiling_Labour_Costs4"/>
      <sheetName val="Fire_rated_door4"/>
      <sheetName val="BOQ-_Wooden_door4"/>
      <sheetName val="Al_D_-Tower_Bolt_R1_BOQ4"/>
      <sheetName val="Amethyst_vsMagnolia4"/>
      <sheetName val="14th-18t_ft4"/>
      <sheetName val="B_&amp;_C_class_items_3"/>
      <sheetName val="SPT_vs_PHI3"/>
      <sheetName val="BILL_COV3"/>
      <sheetName val="Rate_analysis3"/>
      <sheetName val="intr_stool_brkup3"/>
      <sheetName val="Project_Information3"/>
      <sheetName val="Material_resource3"/>
      <sheetName val="Labour_resource3"/>
      <sheetName val="Estimate_for_approval3"/>
      <sheetName val="Total_Quantity3"/>
      <sheetName val="Material_rates_(June-08)3"/>
      <sheetName val="Material_rates_(July-08)3"/>
      <sheetName val="Material_rates_(October-08)3"/>
      <sheetName val="Material_rates_(Jan-09)3"/>
      <sheetName val="Price_list-Blocks3"/>
      <sheetName val="08-09_SLR3"/>
      <sheetName val="ABSTR-Plumbing_Estimate3"/>
      <sheetName val="Tower_crane_SLR3"/>
      <sheetName val="P_&amp;_M_avilability3"/>
      <sheetName val="P&amp;M_-Final3"/>
      <sheetName val="07-08_SLR3"/>
      <sheetName val="Anti_Termite3"/>
      <sheetName val="Steel_weighted_average3"/>
      <sheetName val="Abstract-_All_Reinforcement3"/>
      <sheetName val="Isolated_Footing3"/>
      <sheetName val="Raft_Footing3"/>
      <sheetName val="Slope_Cutting3"/>
      <sheetName val="Tower_Mass_Exc3"/>
      <sheetName val="Excavation_3"/>
      <sheetName val="PCC_&amp;_RCC_for_footing3"/>
      <sheetName val="Retaining_Wall3"/>
      <sheetName val="Ret_wall_reft3"/>
      <sheetName val="vdf_flooring3"/>
      <sheetName val="Below_Lower_Basement-Col3"/>
      <sheetName val="From_LB_floor_to_UB_floor-Col3"/>
      <sheetName val="From_UB_floor_to_G_floor-Col3"/>
      <sheetName val="From_G_floor_to_F_floor-Col3"/>
      <sheetName val="From_F_floor_to_S_floor-Col3"/>
      <sheetName val="From_S_floor_to_T_floor-Col3"/>
      <sheetName val="From_T_floor_to_F_floor-Col3"/>
      <sheetName val="From_F_floor_to_Fif__floor-Col3"/>
      <sheetName val="From_Fi_floor_to_Six_floor-Col3"/>
      <sheetName val="From_Six__floor_to_Se_floor-Co3"/>
      <sheetName val="From_Se_floor_to_Eig_floor-Col3"/>
      <sheetName val="From_Ei_floor_to_Nin_floor-Col3"/>
      <sheetName val="From_Ni_floor_to_Ten_floor-Col3"/>
      <sheetName val="Tenth_to_11th_floor3"/>
      <sheetName val="11th_to_12th_floor3"/>
      <sheetName val="12th_to_13th_floor3"/>
      <sheetName val="13th_to_14th_floor3"/>
      <sheetName val="14th_to_15th_floor3"/>
      <sheetName val="15th_to_16th_floor3"/>
      <sheetName val="16th_to_17th_floor3"/>
      <sheetName val="17th_to_18th_floor3"/>
      <sheetName val="columns_in_terrace_floor3"/>
      <sheetName val="Column_Splicing3"/>
      <sheetName val="Cover_Blocks3"/>
      <sheetName val="Abstract-Slab_LB3"/>
      <sheetName val="L_B__Roof_Slab-_Block_1&amp;43"/>
      <sheetName val="L_B__Roof_Slab-Block_2&amp;33"/>
      <sheetName val="ABSTRACT-slab_UB3"/>
      <sheetName val="U_B__Roof_Slab_block1&amp;43"/>
      <sheetName val="U_B__Roof_Slab_block23"/>
      <sheetName val="ABSTRACT_slab_GF3"/>
      <sheetName val="Ground_floor_slab_-Blk1&amp;43"/>
      <sheetName val="Ground_floor_slab_-Blk2&amp;33"/>
      <sheetName val="ABSTRACT_slab_1st_floor3"/>
      <sheetName val="First_floor_slab_-Blk1&amp;43"/>
      <sheetName val="First_floor_slab_-Blk2&amp;33"/>
      <sheetName val="ABSTRACT_slab_typ_flr3"/>
      <sheetName val="Typical_floor_slab_-Blk1&amp;43"/>
      <sheetName val="Typical_floor_slab_-Blk2&amp;33"/>
      <sheetName val="Typ_flr_slab-II_lvl_-B1&amp;43"/>
      <sheetName val="Abstract-Beams_LB3"/>
      <sheetName val="L_B_Roof_Beams-Block_1&amp;43"/>
      <sheetName val="L_B__Roof_beams-Block_2&amp;33"/>
      <sheetName val="ABSTRACT_beams_UB3"/>
      <sheetName val="Upper_Basement_floor-B1&amp;43"/>
      <sheetName val="Upper_Basement-Beams-Block23"/>
      <sheetName val="Upper_Basement-Block33"/>
      <sheetName val="ABSTRACT_beam_GF3"/>
      <sheetName val="Ground_floor-B1&amp;43"/>
      <sheetName val="Ground_Floor-Beams-Block2&amp;33"/>
      <sheetName val="ABSTRACT_beams_1st_flr3"/>
      <sheetName val="first_floor-B1&amp;43"/>
      <sheetName val="first_Floor-Beams-Block2&amp;33"/>
      <sheetName val="ABSTRACT_beam_typ_floor3"/>
      <sheetName val="Typ_floor-B1&amp;43"/>
      <sheetName val="Typ_Floor-Beams-Block2&amp;33"/>
      <sheetName val="13th_flr_roof_beam_B1&amp;43"/>
      <sheetName val="13th_Flr_roof-Beams-B2&amp;3_3"/>
      <sheetName val="14th-18t_flr_roof_beam_B1&amp;43"/>
      <sheetName val="14th-18_Flr_roof-Beams-B2&amp;33"/>
      <sheetName val="ABSTRACT_staircase3"/>
      <sheetName val="Staircase_block-1A3"/>
      <sheetName val="Staircase_block-1B3"/>
      <sheetName val="Staircase-1B(Reif)_3"/>
      <sheetName val="Staircase_block-23"/>
      <sheetName val="Staircase_block-2(Reif)3"/>
      <sheetName val="Abstract_lift_wall3"/>
      <sheetName val="Lift_wall_Shuttering3"/>
      <sheetName val="lift_wall-reinf3"/>
      <sheetName val="lift_wall-Block2_&amp;_33"/>
      <sheetName val="lift_wall-Block1_&amp;_43"/>
      <sheetName val="Lintel,_chejja,sill3"/>
      <sheetName val="Plaster_Band3"/>
      <sheetName val="Plastering_Floorwise_3"/>
      <sheetName val="balcony_grill__3"/>
      <sheetName val="Cello_Bubble3"/>
      <sheetName val="staircase_railing3"/>
      <sheetName val="Extra_bars3"/>
      <sheetName val="sanitary_shafts_DOORS3"/>
      <sheetName val="Al_templates_&amp;_c_beads3"/>
      <sheetName val="POP_fin3"/>
      <sheetName val="Al__BOQ3"/>
      <sheetName val="nib_columns3"/>
      <sheetName val="Shutt_mater3"/>
      <sheetName val="food_allowance3"/>
      <sheetName val="Calciumsilicate_encasing3"/>
      <sheetName val="UG_sump3"/>
      <sheetName val="Abstract-Arch_feat_3"/>
      <sheetName val="Window_box3"/>
      <sheetName val="Rcc_cornice_&amp;_facia3"/>
      <sheetName val="Pls__Grooves3"/>
      <sheetName val="Fin_wall3"/>
      <sheetName val="pergola_beams3"/>
      <sheetName val="Feature_at_entrance_of_each_bl3"/>
      <sheetName val="Summary(_Amethyst)_3"/>
      <sheetName val="without_accomod3"/>
      <sheetName val="MS_Door3"/>
      <sheetName val="car_wash_sump-LB-3,4,53"/>
      <sheetName val="CLOTH_LINE3"/>
      <sheetName val="cement_slurry3"/>
      <sheetName val="Tiling_Labour_Costs3"/>
      <sheetName val="Fire_rated_door3"/>
      <sheetName val="BOQ-_Wooden_door3"/>
      <sheetName val="Al_D_-Tower_Bolt_R1_BOQ3"/>
      <sheetName val="Amethyst_vsMagnolia3"/>
      <sheetName val="14th-18t_ft3"/>
      <sheetName val="B_&amp;_C_class_items_2"/>
      <sheetName val="SPT_vs_PHI2"/>
      <sheetName val="BILL_COV2"/>
      <sheetName val="Rate_analysis2"/>
      <sheetName val="intr_stool_brkup2"/>
      <sheetName val="Project_Information1"/>
      <sheetName val="Material_resource1"/>
      <sheetName val="Labour_resource1"/>
      <sheetName val="Estimate_for_approval1"/>
      <sheetName val="Total_Quantity1"/>
      <sheetName val="Material_rates_(June-08)1"/>
      <sheetName val="Material_rates_(July-08)1"/>
      <sheetName val="Material_rates_(October-08)1"/>
      <sheetName val="Material_rates_(Jan-09)1"/>
      <sheetName val="Price_list-Blocks1"/>
      <sheetName val="08-09_SLR1"/>
      <sheetName val="ABSTR-Plumbing_Estimate1"/>
      <sheetName val="Tower_crane_SLR1"/>
      <sheetName val="P_&amp;_M_avilability1"/>
      <sheetName val="P&amp;M_-Final1"/>
      <sheetName val="07-08_SLR1"/>
      <sheetName val="Anti_Termite1"/>
      <sheetName val="Steel_weighted_average1"/>
      <sheetName val="Abstract-_All_Reinforcement1"/>
      <sheetName val="Isolated_Footing1"/>
      <sheetName val="Raft_Footing1"/>
      <sheetName val="Slope_Cutting1"/>
      <sheetName val="Tower_Mass_Exc1"/>
      <sheetName val="Excavation_1"/>
      <sheetName val="PCC_&amp;_RCC_for_footing1"/>
      <sheetName val="Retaining_Wall1"/>
      <sheetName val="Ret_wall_reft1"/>
      <sheetName val="vdf_flooring1"/>
      <sheetName val="Below_Lower_Basement-Col1"/>
      <sheetName val="From_LB_floor_to_UB_floor-Col1"/>
      <sheetName val="From_UB_floor_to_G_floor-Col1"/>
      <sheetName val="From_G_floor_to_F_floor-Col1"/>
      <sheetName val="From_F_floor_to_S_floor-Col1"/>
      <sheetName val="From_S_floor_to_T_floor-Col1"/>
      <sheetName val="From_T_floor_to_F_floor-Col1"/>
      <sheetName val="From_F_floor_to_Fif__floor-Col1"/>
      <sheetName val="From_Fi_floor_to_Six_floor-Col1"/>
      <sheetName val="From_Six__floor_to_Se_floor-Co1"/>
      <sheetName val="From_Se_floor_to_Eig_floor-Col1"/>
      <sheetName val="From_Ei_floor_to_Nin_floor-Col1"/>
      <sheetName val="From_Ni_floor_to_Ten_floor-Col1"/>
      <sheetName val="Tenth_to_11th_floor1"/>
      <sheetName val="11th_to_12th_floor1"/>
      <sheetName val="12th_to_13th_floor1"/>
      <sheetName val="13th_to_14th_floor1"/>
      <sheetName val="14th_to_15th_floor1"/>
      <sheetName val="15th_to_16th_floor1"/>
      <sheetName val="16th_to_17th_floor1"/>
      <sheetName val="17th_to_18th_floor1"/>
      <sheetName val="columns_in_terrace_floor1"/>
      <sheetName val="Column_Splicing1"/>
      <sheetName val="Cover_Blocks1"/>
      <sheetName val="Abstract-Slab_LB1"/>
      <sheetName val="L_B__Roof_Slab-_Block_1&amp;41"/>
      <sheetName val="L_B__Roof_Slab-Block_2&amp;31"/>
      <sheetName val="ABSTRACT-slab_UB1"/>
      <sheetName val="U_B__Roof_Slab_block1&amp;41"/>
      <sheetName val="U_B__Roof_Slab_block21"/>
      <sheetName val="ABSTRACT_slab_GF1"/>
      <sheetName val="Ground_floor_slab_-Blk1&amp;41"/>
      <sheetName val="Ground_floor_slab_-Blk2&amp;31"/>
      <sheetName val="ABSTRACT_slab_1st_floor1"/>
      <sheetName val="First_floor_slab_-Blk1&amp;41"/>
      <sheetName val="First_floor_slab_-Blk2&amp;31"/>
      <sheetName val="ABSTRACT_slab_typ_flr1"/>
      <sheetName val="Typical_floor_slab_-Blk1&amp;41"/>
      <sheetName val="Typical_floor_slab_-Blk2&amp;31"/>
      <sheetName val="Typ_flr_slab-II_lvl_-B1&amp;41"/>
      <sheetName val="Abstract-Beams_LB1"/>
      <sheetName val="L_B_Roof_Beams-Block_1&amp;41"/>
      <sheetName val="L_B__Roof_beams-Block_2&amp;31"/>
      <sheetName val="ABSTRACT_beams_UB1"/>
      <sheetName val="Upper_Basement_floor-B1&amp;41"/>
      <sheetName val="Upper_Basement-Beams-Block21"/>
      <sheetName val="Upper_Basement-Block31"/>
      <sheetName val="ABSTRACT_beam_GF1"/>
      <sheetName val="Ground_floor-B1&amp;41"/>
      <sheetName val="Ground_Floor-Beams-Block2&amp;31"/>
      <sheetName val="ABSTRACT_beams_1st_flr1"/>
      <sheetName val="first_floor-B1&amp;41"/>
      <sheetName val="first_Floor-Beams-Block2&amp;31"/>
      <sheetName val="ABSTRACT_beam_typ_floor1"/>
      <sheetName val="Typ_floor-B1&amp;41"/>
      <sheetName val="Typ_Floor-Beams-Block2&amp;31"/>
      <sheetName val="13th_flr_roof_beam_B1&amp;41"/>
      <sheetName val="13th_Flr_roof-Beams-B2&amp;3_1"/>
      <sheetName val="14th-18t_flr_roof_beam_B1&amp;41"/>
      <sheetName val="14th-18_Flr_roof-Beams-B2&amp;31"/>
      <sheetName val="ABSTRACT_staircase1"/>
      <sheetName val="Staircase_block-1A1"/>
      <sheetName val="Staircase_block-1B1"/>
      <sheetName val="Staircase-1B(Reif)_1"/>
      <sheetName val="Staircase_block-21"/>
      <sheetName val="Staircase_block-2(Reif)1"/>
      <sheetName val="Abstract_lift_wall1"/>
      <sheetName val="Lift_wall_Shuttering1"/>
      <sheetName val="lift_wall-reinf1"/>
      <sheetName val="lift_wall-Block2_&amp;_31"/>
      <sheetName val="lift_wall-Block1_&amp;_41"/>
      <sheetName val="Lintel,_chejja,sill1"/>
      <sheetName val="Plaster_Band1"/>
      <sheetName val="Plastering_Floorwise_1"/>
      <sheetName val="balcony_grill__1"/>
      <sheetName val="Cello_Bubble1"/>
      <sheetName val="staircase_railing1"/>
      <sheetName val="Extra_bars1"/>
      <sheetName val="sanitary_shafts_DOORS1"/>
      <sheetName val="Al_templates_&amp;_c_beads1"/>
      <sheetName val="POP_fin1"/>
      <sheetName val="Al__BOQ1"/>
      <sheetName val="nib_columns1"/>
      <sheetName val="Shutt_mater1"/>
      <sheetName val="food_allowance1"/>
      <sheetName val="Calciumsilicate_encasing1"/>
      <sheetName val="UG_sump1"/>
      <sheetName val="Abstract-Arch_feat_1"/>
      <sheetName val="Window_box1"/>
      <sheetName val="Rcc_cornice_&amp;_facia1"/>
      <sheetName val="Pls__Grooves1"/>
      <sheetName val="Fin_wall1"/>
      <sheetName val="pergola_beams1"/>
      <sheetName val="Feature_at_entrance_of_each_bl1"/>
      <sheetName val="Summary(_Amethyst)_1"/>
      <sheetName val="without_accomod1"/>
      <sheetName val="MS_Door1"/>
      <sheetName val="car_wash_sump-LB-3,4,51"/>
      <sheetName val="CLOTH_LINE1"/>
      <sheetName val="cement_slurry1"/>
      <sheetName val="Tiling_Labour_Costs1"/>
      <sheetName val="Fire_rated_door1"/>
      <sheetName val="BOQ-_Wooden_door1"/>
      <sheetName val="Al_D_-Tower_Bolt_R1_BOQ1"/>
      <sheetName val="Amethyst_vsMagnolia1"/>
      <sheetName val="14th-18t_ft1"/>
      <sheetName val="B_&amp;_C_class_items_"/>
      <sheetName val="SPT_vs_PHI"/>
      <sheetName val="BILL_COV"/>
      <sheetName val="Rate_analysis"/>
      <sheetName val="intr_stool_brkup"/>
      <sheetName val="Project_Information2"/>
      <sheetName val="Material_resource2"/>
      <sheetName val="Labour_resource2"/>
      <sheetName val="Estimate_for_approval2"/>
      <sheetName val="Total_Quantity2"/>
      <sheetName val="Material_rates_(June-08)2"/>
      <sheetName val="Material_rates_(July-08)2"/>
      <sheetName val="Material_rates_(October-08)2"/>
      <sheetName val="Material_rates_(Jan-09)2"/>
      <sheetName val="Price_list-Blocks2"/>
      <sheetName val="08-09_SLR2"/>
      <sheetName val="ABSTR-Plumbing_Estimate2"/>
      <sheetName val="Tower_crane_SLR2"/>
      <sheetName val="P_&amp;_M_avilability2"/>
      <sheetName val="P&amp;M_-Final2"/>
      <sheetName val="07-08_SLR2"/>
      <sheetName val="Anti_Termite2"/>
      <sheetName val="Steel_weighted_average2"/>
      <sheetName val="Abstract-_All_Reinforcement2"/>
      <sheetName val="Isolated_Footing2"/>
      <sheetName val="Raft_Footing2"/>
      <sheetName val="Slope_Cutting2"/>
      <sheetName val="Tower_Mass_Exc2"/>
      <sheetName val="Excavation_2"/>
      <sheetName val="PCC_&amp;_RCC_for_footing2"/>
      <sheetName val="Retaining_Wall2"/>
      <sheetName val="Ret_wall_reft2"/>
      <sheetName val="vdf_flooring2"/>
      <sheetName val="Below_Lower_Basement-Col2"/>
      <sheetName val="From_LB_floor_to_UB_floor-Col2"/>
      <sheetName val="From_UB_floor_to_G_floor-Col2"/>
      <sheetName val="From_G_floor_to_F_floor-Col2"/>
      <sheetName val="From_F_floor_to_S_floor-Col2"/>
      <sheetName val="From_S_floor_to_T_floor-Col2"/>
      <sheetName val="From_T_floor_to_F_floor-Col2"/>
      <sheetName val="From_F_floor_to_Fif__floor-Col2"/>
      <sheetName val="From_Fi_floor_to_Six_floor-Col2"/>
      <sheetName val="From_Six__floor_to_Se_floor-Co2"/>
      <sheetName val="From_Se_floor_to_Eig_floor-Col2"/>
      <sheetName val="From_Ei_floor_to_Nin_floor-Col2"/>
      <sheetName val="From_Ni_floor_to_Ten_floor-Col2"/>
      <sheetName val="Tenth_to_11th_floor2"/>
      <sheetName val="11th_to_12th_floor2"/>
      <sheetName val="12th_to_13th_floor2"/>
      <sheetName val="13th_to_14th_floor2"/>
      <sheetName val="14th_to_15th_floor2"/>
      <sheetName val="15th_to_16th_floor2"/>
      <sheetName val="16th_to_17th_floor2"/>
      <sheetName val="17th_to_18th_floor2"/>
      <sheetName val="columns_in_terrace_floor2"/>
      <sheetName val="Column_Splicing2"/>
      <sheetName val="Cover_Blocks2"/>
      <sheetName val="Abstract-Slab_LB2"/>
      <sheetName val="L_B__Roof_Slab-_Block_1&amp;42"/>
      <sheetName val="L_B__Roof_Slab-Block_2&amp;32"/>
      <sheetName val="ABSTRACT-slab_UB2"/>
      <sheetName val="U_B__Roof_Slab_block1&amp;42"/>
      <sheetName val="U_B__Roof_Slab_block22"/>
      <sheetName val="ABSTRACT_slab_GF2"/>
      <sheetName val="Ground_floor_slab_-Blk1&amp;42"/>
      <sheetName val="Ground_floor_slab_-Blk2&amp;32"/>
      <sheetName val="ABSTRACT_slab_1st_floor2"/>
      <sheetName val="First_floor_slab_-Blk1&amp;42"/>
      <sheetName val="First_floor_slab_-Blk2&amp;32"/>
      <sheetName val="ABSTRACT_slab_typ_flr2"/>
      <sheetName val="Typical_floor_slab_-Blk1&amp;42"/>
      <sheetName val="Typical_floor_slab_-Blk2&amp;32"/>
      <sheetName val="Typ_flr_slab-II_lvl_-B1&amp;42"/>
      <sheetName val="Abstract-Beams_LB2"/>
      <sheetName val="L_B_Roof_Beams-Block_1&amp;42"/>
      <sheetName val="L_B__Roof_beams-Block_2&amp;32"/>
      <sheetName val="ABSTRACT_beams_UB2"/>
      <sheetName val="Upper_Basement_floor-B1&amp;42"/>
      <sheetName val="Upper_Basement-Beams-Block22"/>
      <sheetName val="Upper_Basement-Block32"/>
      <sheetName val="ABSTRACT_beam_GF2"/>
      <sheetName val="Ground_floor-B1&amp;42"/>
      <sheetName val="Ground_Floor-Beams-Block2&amp;32"/>
      <sheetName val="ABSTRACT_beams_1st_flr2"/>
      <sheetName val="first_floor-B1&amp;42"/>
      <sheetName val="first_Floor-Beams-Block2&amp;32"/>
      <sheetName val="ABSTRACT_beam_typ_floor2"/>
      <sheetName val="Typ_floor-B1&amp;42"/>
      <sheetName val="Typ_Floor-Beams-Block2&amp;32"/>
      <sheetName val="13th_flr_roof_beam_B1&amp;42"/>
      <sheetName val="13th_Flr_roof-Beams-B2&amp;3_2"/>
      <sheetName val="14th-18t_flr_roof_beam_B1&amp;42"/>
      <sheetName val="14th-18_Flr_roof-Beams-B2&amp;32"/>
      <sheetName val="ABSTRACT_staircase2"/>
      <sheetName val="Staircase_block-1A2"/>
      <sheetName val="Staircase_block-1B2"/>
      <sheetName val="Staircase-1B(Reif)_2"/>
      <sheetName val="Staircase_block-22"/>
      <sheetName val="Staircase_block-2(Reif)2"/>
      <sheetName val="Abstract_lift_wall2"/>
      <sheetName val="Lift_wall_Shuttering2"/>
      <sheetName val="lift_wall-reinf2"/>
      <sheetName val="lift_wall-Block2_&amp;_32"/>
      <sheetName val="lift_wall-Block1_&amp;_42"/>
      <sheetName val="Lintel,_chejja,sill2"/>
      <sheetName val="Plaster_Band2"/>
      <sheetName val="Plastering_Floorwise_2"/>
      <sheetName val="balcony_grill__2"/>
      <sheetName val="Cello_Bubble2"/>
      <sheetName val="staircase_railing2"/>
      <sheetName val="Extra_bars2"/>
      <sheetName val="sanitary_shafts_DOORS2"/>
      <sheetName val="Al_templates_&amp;_c_beads2"/>
      <sheetName val="POP_fin2"/>
      <sheetName val="Al__BOQ2"/>
      <sheetName val="nib_columns2"/>
      <sheetName val="Shutt_mater2"/>
      <sheetName val="food_allowance2"/>
      <sheetName val="Calciumsilicate_encasing2"/>
      <sheetName val="UG_sump2"/>
      <sheetName val="Abstract-Arch_feat_2"/>
      <sheetName val="Window_box2"/>
      <sheetName val="Rcc_cornice_&amp;_facia2"/>
      <sheetName val="Pls__Grooves2"/>
      <sheetName val="Fin_wall2"/>
      <sheetName val="pergola_beams2"/>
      <sheetName val="Feature_at_entrance_of_each_bl2"/>
      <sheetName val="Summary(_Amethyst)_2"/>
      <sheetName val="without_accomod2"/>
      <sheetName val="MS_Door2"/>
      <sheetName val="car_wash_sump-LB-3,4,52"/>
      <sheetName val="CLOTH_LINE2"/>
      <sheetName val="cement_slurry2"/>
      <sheetName val="Tiling_Labour_Costs2"/>
      <sheetName val="Fire_rated_door2"/>
      <sheetName val="BOQ-_Wooden_door2"/>
      <sheetName val="Al_D_-Tower_Bolt_R1_BOQ2"/>
      <sheetName val="Amethyst_vsMagnolia2"/>
      <sheetName val="14th-18t_ft2"/>
      <sheetName val="B_&amp;_C_class_items_1"/>
      <sheetName val="SPT_vs_PHI1"/>
      <sheetName val="BILL_COV1"/>
      <sheetName val="Rate_analysis1"/>
      <sheetName val="intr_stool_brkup1"/>
      <sheetName val="Project_Information5"/>
      <sheetName val="Material_resource5"/>
      <sheetName val="Labour_resource5"/>
      <sheetName val="Estimate_for_approval5"/>
      <sheetName val="Total_Quantity5"/>
      <sheetName val="Material_rates_(June-08)5"/>
      <sheetName val="Material_rates_(July-08)5"/>
      <sheetName val="Material_rates_(October-08)5"/>
      <sheetName val="Material_rates_(Jan-09)5"/>
      <sheetName val="Price_list-Blocks5"/>
      <sheetName val="08-09_SLR5"/>
      <sheetName val="ABSTR-Plumbing_Estimate5"/>
      <sheetName val="Tower_crane_SLR5"/>
      <sheetName val="P_&amp;_M_avilability5"/>
      <sheetName val="P&amp;M_-Final5"/>
      <sheetName val="07-08_SLR5"/>
      <sheetName val="Anti_Termite5"/>
      <sheetName val="Steel_weighted_average5"/>
      <sheetName val="Abstract-_All_Reinforcement5"/>
      <sheetName val="Isolated_Footing5"/>
      <sheetName val="Raft_Footing5"/>
      <sheetName val="Slope_Cutting5"/>
      <sheetName val="Tower_Mass_Exc5"/>
      <sheetName val="Excavation_5"/>
      <sheetName val="PCC_&amp;_RCC_for_footing5"/>
      <sheetName val="Retaining_Wall5"/>
      <sheetName val="Ret_wall_reft5"/>
      <sheetName val="vdf_flooring5"/>
      <sheetName val="Below_Lower_Basement-Col5"/>
      <sheetName val="From_LB_floor_to_UB_floor-Col5"/>
      <sheetName val="From_UB_floor_to_G_floor-Col5"/>
      <sheetName val="From_G_floor_to_F_floor-Col5"/>
      <sheetName val="From_F_floor_to_S_floor-Col5"/>
      <sheetName val="From_S_floor_to_T_floor-Col5"/>
      <sheetName val="From_T_floor_to_F_floor-Col5"/>
      <sheetName val="From_F_floor_to_Fif__floor-Col5"/>
      <sheetName val="From_Fi_floor_to_Six_floor-Col5"/>
      <sheetName val="From_Six__floor_to_Se_floor-Co5"/>
      <sheetName val="From_Se_floor_to_Eig_floor-Col5"/>
      <sheetName val="From_Ei_floor_to_Nin_floor-Col5"/>
      <sheetName val="From_Ni_floor_to_Ten_floor-Col5"/>
      <sheetName val="Tenth_to_11th_floor5"/>
      <sheetName val="11th_to_12th_floor5"/>
      <sheetName val="12th_to_13th_floor5"/>
      <sheetName val="13th_to_14th_floor5"/>
      <sheetName val="14th_to_15th_floor5"/>
      <sheetName val="15th_to_16th_floor5"/>
      <sheetName val="16th_to_17th_floor5"/>
      <sheetName val="17th_to_18th_floor5"/>
      <sheetName val="columns_in_terrace_floor5"/>
      <sheetName val="Column_Splicing5"/>
      <sheetName val="Cover_Blocks5"/>
      <sheetName val="Abstract-Slab_LB5"/>
      <sheetName val="L_B__Roof_Slab-_Block_1&amp;45"/>
      <sheetName val="L_B__Roof_Slab-Block_2&amp;35"/>
      <sheetName val="ABSTRACT-slab_UB5"/>
      <sheetName val="U_B__Roof_Slab_block1&amp;45"/>
      <sheetName val="U_B__Roof_Slab_block25"/>
      <sheetName val="ABSTRACT_slab_GF5"/>
      <sheetName val="Ground_floor_slab_-Blk1&amp;45"/>
      <sheetName val="Ground_floor_slab_-Blk2&amp;35"/>
      <sheetName val="ABSTRACT_slab_1st_floor5"/>
      <sheetName val="First_floor_slab_-Blk1&amp;45"/>
      <sheetName val="First_floor_slab_-Blk2&amp;35"/>
      <sheetName val="ABSTRACT_slab_typ_flr5"/>
      <sheetName val="Typical_floor_slab_-Blk1&amp;45"/>
      <sheetName val="Typical_floor_slab_-Blk2&amp;35"/>
      <sheetName val="Typ_flr_slab-II_lvl_-B1&amp;45"/>
      <sheetName val="Abstract-Beams_LB5"/>
      <sheetName val="L_B_Roof_Beams-Block_1&amp;45"/>
      <sheetName val="L_B__Roof_beams-Block_2&amp;35"/>
      <sheetName val="ABSTRACT_beams_UB5"/>
      <sheetName val="Upper_Basement_floor-B1&amp;45"/>
      <sheetName val="Upper_Basement-Beams-Block25"/>
      <sheetName val="Upper_Basement-Block35"/>
      <sheetName val="ABSTRACT_beam_GF5"/>
      <sheetName val="Ground_floor-B1&amp;45"/>
      <sheetName val="Ground_Floor-Beams-Block2&amp;35"/>
      <sheetName val="ABSTRACT_beams_1st_flr5"/>
      <sheetName val="first_floor-B1&amp;45"/>
      <sheetName val="first_Floor-Beams-Block2&amp;35"/>
      <sheetName val="ABSTRACT_beam_typ_floor5"/>
      <sheetName val="Typ_floor-B1&amp;45"/>
      <sheetName val="Typ_Floor-Beams-Block2&amp;35"/>
      <sheetName val="13th_flr_roof_beam_B1&amp;45"/>
      <sheetName val="13th_Flr_roof-Beams-B2&amp;3_5"/>
      <sheetName val="14th-18t_flr_roof_beam_B1&amp;45"/>
      <sheetName val="14th-18_Flr_roof-Beams-B2&amp;35"/>
      <sheetName val="ABSTRACT_staircase5"/>
      <sheetName val="Staircase_block-1A5"/>
      <sheetName val="Staircase_block-1B5"/>
      <sheetName val="Staircase-1B(Reif)_5"/>
      <sheetName val="Staircase_block-25"/>
      <sheetName val="Staircase_block-2(Reif)5"/>
      <sheetName val="Abstract_lift_wall5"/>
      <sheetName val="Lift_wall_Shuttering5"/>
      <sheetName val="lift_wall-reinf5"/>
      <sheetName val="lift_wall-Block2_&amp;_35"/>
      <sheetName val="lift_wall-Block1_&amp;_45"/>
      <sheetName val="Lintel,_chejja,sill5"/>
      <sheetName val="Plaster_Band5"/>
      <sheetName val="Plastering_Floorwise_5"/>
      <sheetName val="balcony_grill__5"/>
      <sheetName val="Cello_Bubble5"/>
      <sheetName val="staircase_railing5"/>
      <sheetName val="Extra_bars5"/>
      <sheetName val="sanitary_shafts_DOORS5"/>
      <sheetName val="Al_templates_&amp;_c_beads5"/>
      <sheetName val="POP_fin5"/>
      <sheetName val="Al__BOQ5"/>
      <sheetName val="nib_columns5"/>
      <sheetName val="Shutt_mater5"/>
      <sheetName val="food_allowance5"/>
      <sheetName val="Calciumsilicate_encasing5"/>
      <sheetName val="UG_sump5"/>
      <sheetName val="Abstract-Arch_feat_5"/>
      <sheetName val="Window_box5"/>
      <sheetName val="Rcc_cornice_&amp;_facia5"/>
      <sheetName val="Pls__Grooves5"/>
      <sheetName val="Fin_wall5"/>
      <sheetName val="pergola_beams5"/>
      <sheetName val="Feature_at_entrance_of_each_bl5"/>
      <sheetName val="Summary(_Amethyst)_5"/>
      <sheetName val="without_accomod5"/>
      <sheetName val="MS_Door5"/>
      <sheetName val="car_wash_sump-LB-3,4,55"/>
      <sheetName val="CLOTH_LINE5"/>
      <sheetName val="cement_slurry5"/>
      <sheetName val="Tiling_Labour_Costs5"/>
      <sheetName val="Fire_rated_door5"/>
      <sheetName val="BOQ-_Wooden_door5"/>
      <sheetName val="Al_D_-Tower_Bolt_R1_BOQ5"/>
      <sheetName val="Amethyst_vsMagnolia5"/>
      <sheetName val="14th-18t_ft5"/>
      <sheetName val="B_&amp;_C_class_items_4"/>
      <sheetName val="SPT_vs_PHI4"/>
      <sheetName val="BILL_COV4"/>
      <sheetName val="Rate_analysis4"/>
      <sheetName val="intr_stool_brkup4"/>
      <sheetName val="Abstract New "/>
      <sheetName val="BLK2"/>
      <sheetName val="BLK3"/>
      <sheetName val="E &amp; R"/>
      <sheetName val="radar"/>
      <sheetName val="UG"/>
      <sheetName val="Project_Information7"/>
      <sheetName val="Material_resource7"/>
      <sheetName val="Labour_resource7"/>
      <sheetName val="Estimate_for_approval7"/>
      <sheetName val="Total_Quantity7"/>
      <sheetName val="Material_rates_(June-08)7"/>
      <sheetName val="Material_rates_(July-08)7"/>
      <sheetName val="Material_rates_(October-08)7"/>
      <sheetName val="Material_rates_(Jan-09)7"/>
      <sheetName val="Price_list-Blocks7"/>
      <sheetName val="08-09_SLR7"/>
      <sheetName val="ABSTR-Plumbing_Estimate7"/>
      <sheetName val="Tower_crane_SLR7"/>
      <sheetName val="P_&amp;_M_avilability7"/>
      <sheetName val="P&amp;M_-Final7"/>
      <sheetName val="07-08_SLR7"/>
      <sheetName val="Anti_Termite7"/>
      <sheetName val="Steel_weighted_average7"/>
      <sheetName val="Abstract-_All_Reinforcement7"/>
      <sheetName val="Isolated_Footing7"/>
      <sheetName val="Raft_Footing7"/>
      <sheetName val="Slope_Cutting7"/>
      <sheetName val="Tower_Mass_Exc7"/>
      <sheetName val="Excavation_7"/>
      <sheetName val="PCC_&amp;_RCC_for_footing7"/>
      <sheetName val="Retaining_Wall7"/>
      <sheetName val="Ret_wall_reft7"/>
      <sheetName val="vdf_flooring7"/>
      <sheetName val="Below_Lower_Basement-Col7"/>
      <sheetName val="From_LB_floor_to_UB_floor-Col7"/>
      <sheetName val="From_UB_floor_to_G_floor-Col7"/>
      <sheetName val="From_G_floor_to_F_floor-Col7"/>
      <sheetName val="From_F_floor_to_S_floor-Col7"/>
      <sheetName val="From_S_floor_to_T_floor-Col7"/>
      <sheetName val="From_T_floor_to_F_floor-Col7"/>
      <sheetName val="From_F_floor_to_Fif__floor-Col7"/>
      <sheetName val="From_Fi_floor_to_Six_floor-Col7"/>
      <sheetName val="From_Six__floor_to_Se_floor-Co7"/>
      <sheetName val="From_Se_floor_to_Eig_floor-Col7"/>
      <sheetName val="From_Ei_floor_to_Nin_floor-Col7"/>
      <sheetName val="From_Ni_floor_to_Ten_floor-Col7"/>
      <sheetName val="Tenth_to_11th_floor7"/>
      <sheetName val="11th_to_12th_floor7"/>
      <sheetName val="12th_to_13th_floor7"/>
      <sheetName val="13th_to_14th_floor7"/>
      <sheetName val="14th_to_15th_floor7"/>
      <sheetName val="15th_to_16th_floor7"/>
      <sheetName val="16th_to_17th_floor7"/>
      <sheetName val="17th_to_18th_floor7"/>
      <sheetName val="columns_in_terrace_floor7"/>
      <sheetName val="Column_Splicing7"/>
      <sheetName val="Cover_Blocks7"/>
      <sheetName val="Abstract-Slab_LB7"/>
      <sheetName val="L_B__Roof_Slab-_Block_1&amp;47"/>
      <sheetName val="L_B__Roof_Slab-Block_2&amp;37"/>
      <sheetName val="ABSTRACT-slab_UB7"/>
      <sheetName val="U_B__Roof_Slab_block1&amp;47"/>
      <sheetName val="U_B__Roof_Slab_block27"/>
      <sheetName val="ABSTRACT_slab_GF7"/>
      <sheetName val="Ground_floor_slab_-Blk1&amp;47"/>
      <sheetName val="Ground_floor_slab_-Blk2&amp;37"/>
      <sheetName val="ABSTRACT_slab_1st_floor7"/>
      <sheetName val="First_floor_slab_-Blk1&amp;47"/>
      <sheetName val="First_floor_slab_-Blk2&amp;37"/>
      <sheetName val="ABSTRACT_slab_typ_flr7"/>
      <sheetName val="Typical_floor_slab_-Blk1&amp;47"/>
      <sheetName val="Typical_floor_slab_-Blk2&amp;37"/>
      <sheetName val="Typ_flr_slab-II_lvl_-B1&amp;47"/>
      <sheetName val="Abstract-Beams_LB7"/>
      <sheetName val="L_B_Roof_Beams-Block_1&amp;47"/>
      <sheetName val="L_B__Roof_beams-Block_2&amp;37"/>
      <sheetName val="ABSTRACT_beams_UB7"/>
      <sheetName val="Upper_Basement_floor-B1&amp;47"/>
      <sheetName val="Upper_Basement-Beams-Block27"/>
      <sheetName val="Upper_Basement-Block37"/>
      <sheetName val="ABSTRACT_beam_GF7"/>
      <sheetName val="Ground_floor-B1&amp;47"/>
      <sheetName val="Ground_Floor-Beams-Block2&amp;37"/>
      <sheetName val="ABSTRACT_beams_1st_flr7"/>
      <sheetName val="first_floor-B1&amp;47"/>
      <sheetName val="first_Floor-Beams-Block2&amp;37"/>
      <sheetName val="ABSTRACT_beam_typ_floor7"/>
      <sheetName val="Typ_floor-B1&amp;47"/>
      <sheetName val="Typ_Floor-Beams-Block2&amp;37"/>
      <sheetName val="13th_flr_roof_beam_B1&amp;47"/>
      <sheetName val="13th_Flr_roof-Beams-B2&amp;3_7"/>
      <sheetName val="14th-18t_flr_roof_beam_B1&amp;47"/>
      <sheetName val="14th-18_Flr_roof-Beams-B2&amp;37"/>
      <sheetName val="ABSTRACT_staircase7"/>
      <sheetName val="Staircase_block-1A7"/>
      <sheetName val="Staircase_block-1B7"/>
      <sheetName val="Staircase-1B(Reif)_7"/>
      <sheetName val="Staircase_block-27"/>
      <sheetName val="Staircase_block-2(Reif)7"/>
      <sheetName val="Abstract_lift_wall7"/>
      <sheetName val="Lift_wall_Shuttering7"/>
      <sheetName val="lift_wall-reinf7"/>
      <sheetName val="lift_wall-Block2_&amp;_37"/>
      <sheetName val="lift_wall-Block1_&amp;_47"/>
      <sheetName val="Lintel,_chejja,sill7"/>
      <sheetName val="Plaster_Band7"/>
      <sheetName val="Plastering_Floorwise_7"/>
      <sheetName val="balcony_grill__7"/>
      <sheetName val="Cello_Bubble7"/>
      <sheetName val="staircase_railing7"/>
      <sheetName val="Extra_bars7"/>
      <sheetName val="sanitary_shafts_DOORS7"/>
      <sheetName val="Al_templates_&amp;_c_beads7"/>
      <sheetName val="POP_fin7"/>
      <sheetName val="Al__BOQ7"/>
      <sheetName val="nib_columns7"/>
      <sheetName val="Shutt_mater7"/>
      <sheetName val="food_allowance7"/>
      <sheetName val="Calciumsilicate_encasing7"/>
      <sheetName val="UG_sump7"/>
      <sheetName val="Abstract-Arch_feat_7"/>
      <sheetName val="Window_box7"/>
      <sheetName val="Rcc_cornice_&amp;_facia7"/>
      <sheetName val="Pls__Grooves7"/>
      <sheetName val="Fin_wall7"/>
      <sheetName val="pergola_beams7"/>
      <sheetName val="Feature_at_entrance_of_each_bl7"/>
      <sheetName val="Summary(_Amethyst)_7"/>
      <sheetName val="without_accomod7"/>
      <sheetName val="MS_Door7"/>
      <sheetName val="car_wash_sump-LB-3,4,57"/>
      <sheetName val="CLOTH_LINE7"/>
      <sheetName val="cement_slurry7"/>
      <sheetName val="Tiling_Labour_Costs7"/>
      <sheetName val="Fire_rated_door7"/>
      <sheetName val="BOQ-_Wooden_door7"/>
      <sheetName val="Al_D_-Tower_Bolt_R1_BOQ7"/>
      <sheetName val="Amethyst_vsMagnolia7"/>
      <sheetName val="14th-18t_ft7"/>
      <sheetName val="B_&amp;_C_class_items_6"/>
      <sheetName val="SPT_vs_PHI6"/>
      <sheetName val="BILL_COV6"/>
      <sheetName val="Rate_analysis6"/>
      <sheetName val="intr_stool_brkup6"/>
      <sheetName val="RO_Plant"/>
      <sheetName val="Abstract_New_"/>
      <sheetName val="______________________________2"/>
      <sheetName val="Slope_CutLatit"/>
      <sheetName val="14th-18t ft-oof beam B1&amp;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ffolding  (2)"/>
      <sheetName val="PM"/>
      <sheetName val="RMC20 "/>
      <sheetName val="ABs Sheet"/>
      <sheetName val="Training sheet"/>
      <sheetName val="per m3"/>
      <sheetName val="Mobi (Latest)"/>
      <sheetName val="Preliminaries (as per Site)"/>
      <sheetName val="Staff Salar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Tower Crane Operation"/>
      <sheetName val=" NET ADDITONAL C (10years))"/>
      <sheetName val="TOWER CRANE COST 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afety items  "/>
      <sheetName val="Tools "/>
      <sheetName val="Spares"/>
      <sheetName val="c-class"/>
      <sheetName val="Rate analysis"/>
      <sheetName val="PM(revised) (as per site)"/>
      <sheetName val="RMC10 "/>
      <sheetName val="RMC 7.5 "/>
      <sheetName val="RMC30"/>
      <sheetName val="RMC40 "/>
      <sheetName val="RMC25 "/>
      <sheetName val="master QTY"/>
      <sheetName val="preliminaries"/>
      <sheetName val="Micro 13"/>
      <sheetName val="Mobalisation"/>
      <sheetName val="Labour"/>
      <sheetName val="TBAL9697 -group wise  sdpl"/>
      <sheetName val="CASHFLOWS"/>
      <sheetName val="SUMMARY"/>
      <sheetName val="Costing Aug-13"/>
      <sheetName val="BLK2"/>
      <sheetName val="BLK3"/>
      <sheetName val="jobhist"/>
      <sheetName val="Civil Boq"/>
      <sheetName val="B &amp; C class items "/>
      <sheetName val="Abstract"/>
      <sheetName val="Scaffolding__(2)"/>
      <sheetName val="RMC20_"/>
      <sheetName val="ABs_Sheet"/>
      <sheetName val="Training_sheet"/>
      <sheetName val="per_m3"/>
      <sheetName val="Mobi_(Latest)"/>
      <sheetName val="Preliminaries_(as_per_Site)"/>
      <sheetName val="Staff_Salary"/>
      <sheetName val="steel_"/>
      <sheetName val="MS_Items"/>
      <sheetName val="Tower_Crane_Operation"/>
      <sheetName val="_NET_ADDITONAL_C_(10years))"/>
      <sheetName val="TOWER_CRANE_COST_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afety_items__"/>
      <sheetName val="Tools_"/>
      <sheetName val="Rate_analysis"/>
      <sheetName val="PM(revised)_(as_per_site)"/>
      <sheetName val="RMC10_"/>
      <sheetName val="RMC_7_5_"/>
      <sheetName val="RMC40_"/>
      <sheetName val="RMC25_"/>
      <sheetName val="master_QTY"/>
      <sheetName val="Micro_13"/>
      <sheetName val="TBAL9697_-group_wise__sdpl"/>
      <sheetName val="Costing_Aug-13"/>
      <sheetName val="Civil_Boq"/>
      <sheetName val="B_&amp;_C_class_items_"/>
      <sheetName val="Materials Cost(PCC)"/>
      <sheetName val="SPT vs PHI"/>
      <sheetName val="girder"/>
      <sheetName val="Rocker"/>
      <sheetName val="Fin Sum"/>
      <sheetName val="COLUMN"/>
      <sheetName val="Scaffolding__(2)1"/>
      <sheetName val="RMC20_1"/>
      <sheetName val="ABs_Sheet1"/>
      <sheetName val="Training_sheet1"/>
      <sheetName val="per_m31"/>
      <sheetName val="Mobi_(Latest)1"/>
      <sheetName val="Preliminaries_(as_per_Site)1"/>
      <sheetName val="Staff_Salary1"/>
      <sheetName val="steel_1"/>
      <sheetName val="MS_Items1"/>
      <sheetName val="Tower_Crane_Operation1"/>
      <sheetName val="_NET_ADDITONAL_C_(10years))1"/>
      <sheetName val="TOWER_CRANE_COST_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afety_items__1"/>
      <sheetName val="Tools_1"/>
      <sheetName val="Rate_analysis1"/>
      <sheetName val="PM(revised)_(as_per_site)1"/>
      <sheetName val="RMC10_1"/>
      <sheetName val="RMC_7_5_1"/>
      <sheetName val="RMC40_1"/>
      <sheetName val="RMC25_1"/>
      <sheetName val="master_QTY1"/>
      <sheetName val="Micro_131"/>
      <sheetName val="TBAL9697_-group_wise__sdpl1"/>
      <sheetName val="Costing_Aug-131"/>
      <sheetName val="Civil_Boq1"/>
      <sheetName val="B_&amp;_C_class_items_1"/>
      <sheetName val="Materials_Cost(PCC)"/>
      <sheetName val="SPT_vs_PHI"/>
      <sheetName val="Fin_Sum"/>
      <sheetName val="concrete"/>
      <sheetName val="beam-reinft-IIInd floor"/>
      <sheetName val="Design"/>
      <sheetName val="beam-reinft-IIInd_floor"/>
      <sheetName val="beam-reinft-IIInd_floor1"/>
      <sheetName val="Fee Rate Summary"/>
      <sheetName val="BLN Detail 2000"/>
      <sheetName val="CIP Summary 0012"/>
      <sheetName val="CIP Detail 0011"/>
      <sheetName val="VLOOK"/>
      <sheetName val="99 to 00 blns"/>
      <sheetName val="98Price"/>
      <sheetName val="horizontal"/>
      <sheetName val="Sheet1"/>
      <sheetName val="#REF"/>
      <sheetName val="E &amp; R"/>
      <sheetName val="radar"/>
      <sheetName val="UG"/>
      <sheetName val="PRECAST lightconc-II"/>
      <sheetName val="R20_R30_work"/>
      <sheetName val="Materials Cost"/>
      <sheetName val="strand"/>
      <sheetName val="Headings"/>
      <sheetName val="Scaffolding__(2)2"/>
      <sheetName val="RMC20_2"/>
      <sheetName val="ABs_Sheet2"/>
      <sheetName val="Training_sheet2"/>
      <sheetName val="per_m32"/>
      <sheetName val="Mobi_(Latest)2"/>
      <sheetName val="Preliminaries_(as_per_Site)2"/>
      <sheetName val="Staff_Salary2"/>
      <sheetName val="steel_2"/>
      <sheetName val="MS_Items2"/>
      <sheetName val="Tower_Crane_Operation2"/>
      <sheetName val="_NET_ADDITONAL_C_(10years))2"/>
      <sheetName val="TOWER_CRANE_COST_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afety_items__2"/>
      <sheetName val="Tools_2"/>
      <sheetName val="Rate_analysis2"/>
      <sheetName val="PM(revised)_(as_per_site)2"/>
      <sheetName val="RMC10_2"/>
      <sheetName val="RMC_7_5_2"/>
      <sheetName val="RMC40_2"/>
      <sheetName val="RMC25_2"/>
      <sheetName val="master_QTY2"/>
      <sheetName val="Micro_132"/>
      <sheetName val="TBAL9697_-group_wise__sdpl2"/>
      <sheetName val="Costing_Aug-132"/>
      <sheetName val="Keyword"/>
      <sheetName val="Boq"/>
      <sheetName val="Abstract Sheet"/>
      <sheetName val="Scaffolding__(2)8"/>
      <sheetName val="RMC20_8"/>
      <sheetName val="ABs_Sheet8"/>
      <sheetName val="Training_sheet8"/>
      <sheetName val="per_m38"/>
      <sheetName val="Mobi_(Latest)8"/>
      <sheetName val="Preliminaries_(as_per_Site)8"/>
      <sheetName val="Staff_Salary8"/>
      <sheetName val="steel_8"/>
      <sheetName val="MS_Items8"/>
      <sheetName val="Tower_Crane_Operation8"/>
      <sheetName val="_NET_ADDITONAL_C_(10years))8"/>
      <sheetName val="TOWER_CRANE_COST_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afety_items__8"/>
      <sheetName val="Tools_8"/>
      <sheetName val="Rate_analysis8"/>
      <sheetName val="PM(revised)_(as_per_site)8"/>
      <sheetName val="RMC10_8"/>
      <sheetName val="RMC_7_5_8"/>
      <sheetName val="RMC40_8"/>
      <sheetName val="RMC25_8"/>
      <sheetName val="master_QTY8"/>
      <sheetName val="Micro_138"/>
      <sheetName val="TBAL9697_-group_wise__sdpl8"/>
      <sheetName val="Costing_Aug-138"/>
      <sheetName val="Civil_Boq7"/>
      <sheetName val="B_&amp;_C_class_items_7"/>
      <sheetName val="Materials_Cost(PCC)6"/>
      <sheetName val="SPT_vs_PHI6"/>
      <sheetName val="Fin_Sum6"/>
      <sheetName val="beam-reinft-IIInd_floor7"/>
      <sheetName val="Fee_Rate_Summary5"/>
      <sheetName val="BLN_Detail_20005"/>
      <sheetName val="CIP_Summary_00125"/>
      <sheetName val="CIP_Detail_00115"/>
      <sheetName val="99_to_00_blns5"/>
      <sheetName val="E_&amp;_R5"/>
      <sheetName val="PRECAST_lightconc-II5"/>
      <sheetName val="Materials_Cost5"/>
      <sheetName val="Abstract_Sheet5"/>
      <sheetName val="Scaffolding__(2)6"/>
      <sheetName val="RMC20_6"/>
      <sheetName val="ABs_Sheet6"/>
      <sheetName val="Training_sheet6"/>
      <sheetName val="per_m36"/>
      <sheetName val="Mobi_(Latest)6"/>
      <sheetName val="Preliminaries_(as_per_Site)6"/>
      <sheetName val="Staff_Salary6"/>
      <sheetName val="steel_6"/>
      <sheetName val="MS_Items6"/>
      <sheetName val="Tower_Crane_Operation6"/>
      <sheetName val="_NET_ADDITONAL_C_(10years))6"/>
      <sheetName val="TOWER_CRANE_COST_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afety_items__6"/>
      <sheetName val="Tools_6"/>
      <sheetName val="Rate_analysis6"/>
      <sheetName val="PM(revised)_(as_per_site)6"/>
      <sheetName val="RMC10_6"/>
      <sheetName val="RMC_7_5_6"/>
      <sheetName val="RMC40_6"/>
      <sheetName val="RMC25_6"/>
      <sheetName val="master_QTY6"/>
      <sheetName val="Micro_136"/>
      <sheetName val="TBAL9697_-group_wise__sdpl6"/>
      <sheetName val="Costing_Aug-136"/>
      <sheetName val="Civil_Boq5"/>
      <sheetName val="B_&amp;_C_class_items_5"/>
      <sheetName val="Materials_Cost(PCC)4"/>
      <sheetName val="SPT_vs_PHI4"/>
      <sheetName val="Fin_Sum4"/>
      <sheetName val="beam-reinft-IIInd_floor5"/>
      <sheetName val="Fee_Rate_Summary3"/>
      <sheetName val="BLN_Detail_20003"/>
      <sheetName val="CIP_Summary_00123"/>
      <sheetName val="CIP_Detail_00113"/>
      <sheetName val="99_to_00_blns3"/>
      <sheetName val="E_&amp;_R3"/>
      <sheetName val="PRECAST_lightconc-II3"/>
      <sheetName val="Materials_Cost3"/>
      <sheetName val="Scaffolding__(2)5"/>
      <sheetName val="RMC20_5"/>
      <sheetName val="ABs_Sheet5"/>
      <sheetName val="Training_sheet5"/>
      <sheetName val="per_m35"/>
      <sheetName val="Mobi_(Latest)5"/>
      <sheetName val="Preliminaries_(as_per_Site)5"/>
      <sheetName val="Staff_Salary5"/>
      <sheetName val="steel_5"/>
      <sheetName val="MS_Items5"/>
      <sheetName val="Tower_Crane_Operation5"/>
      <sheetName val="_NET_ADDITONAL_C_(10years))5"/>
      <sheetName val="TOWER_CRANE_COST_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afety_items__5"/>
      <sheetName val="Tools_5"/>
      <sheetName val="Rate_analysis5"/>
      <sheetName val="PM(revised)_(as_per_site)5"/>
      <sheetName val="RMC10_5"/>
      <sheetName val="RMC_7_5_5"/>
      <sheetName val="RMC40_5"/>
      <sheetName val="RMC25_5"/>
      <sheetName val="master_QTY5"/>
      <sheetName val="Micro_135"/>
      <sheetName val="TBAL9697_-group_wise__sdpl5"/>
      <sheetName val="Costing_Aug-135"/>
      <sheetName val="Civil_Boq4"/>
      <sheetName val="B_&amp;_C_class_items_4"/>
      <sheetName val="Materials_Cost(PCC)3"/>
      <sheetName val="SPT_vs_PHI3"/>
      <sheetName val="Fin_Sum3"/>
      <sheetName val="beam-reinft-IIInd_floor4"/>
      <sheetName val="Fee_Rate_Summary2"/>
      <sheetName val="BLN_Detail_20002"/>
      <sheetName val="CIP_Summary_00122"/>
      <sheetName val="CIP_Detail_00112"/>
      <sheetName val="99_to_00_blns2"/>
      <sheetName val="E_&amp;_R2"/>
      <sheetName val="PRECAST_lightconc-II2"/>
      <sheetName val="Materials_Cost2"/>
      <sheetName val="Abstract_Sheet2"/>
      <sheetName val="Scaffolding__(2)3"/>
      <sheetName val="RMC20_3"/>
      <sheetName val="ABs_Sheet3"/>
      <sheetName val="Training_sheet3"/>
      <sheetName val="per_m33"/>
      <sheetName val="Mobi_(Latest)3"/>
      <sheetName val="Preliminaries_(as_per_Site)3"/>
      <sheetName val="Staff_Salary3"/>
      <sheetName val="steel_3"/>
      <sheetName val="MS_Items3"/>
      <sheetName val="Tower_Crane_Operation3"/>
      <sheetName val="_NET_ADDITONAL_C_(10years))3"/>
      <sheetName val="TOWER_CRANE_COST_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afety_items__3"/>
      <sheetName val="Tools_3"/>
      <sheetName val="Rate_analysis3"/>
      <sheetName val="PM(revised)_(as_per_site)3"/>
      <sheetName val="RMC10_3"/>
      <sheetName val="RMC_7_5_3"/>
      <sheetName val="RMC40_3"/>
      <sheetName val="RMC25_3"/>
      <sheetName val="master_QTY3"/>
      <sheetName val="Micro_133"/>
      <sheetName val="TBAL9697_-group_wise__sdpl3"/>
      <sheetName val="Costing_Aug-133"/>
      <sheetName val="Civil_Boq2"/>
      <sheetName val="B_&amp;_C_class_items_2"/>
      <sheetName val="Materials_Cost(PCC)1"/>
      <sheetName val="SPT_vs_PHI1"/>
      <sheetName val="Fin_Sum1"/>
      <sheetName val="beam-reinft-IIInd_floor2"/>
      <sheetName val="Fee_Rate_Summary"/>
      <sheetName val="BLN_Detail_2000"/>
      <sheetName val="CIP_Summary_0012"/>
      <sheetName val="CIP_Detail_0011"/>
      <sheetName val="99_to_00_blns"/>
      <sheetName val="E_&amp;_R"/>
      <sheetName val="PRECAST_lightconc-II"/>
      <sheetName val="Materials_Cost"/>
      <sheetName val="Abstract_Sheet"/>
      <sheetName val="Scaffolding__(2)4"/>
      <sheetName val="RMC20_4"/>
      <sheetName val="ABs_Sheet4"/>
      <sheetName val="Training_sheet4"/>
      <sheetName val="per_m34"/>
      <sheetName val="Mobi_(Latest)4"/>
      <sheetName val="Preliminaries_(as_per_Site)4"/>
      <sheetName val="Staff_Salary4"/>
      <sheetName val="steel_4"/>
      <sheetName val="MS_Items4"/>
      <sheetName val="Tower_Crane_Operation4"/>
      <sheetName val="_NET_ADDITONAL_C_(10years))4"/>
      <sheetName val="TOWER_CRANE_COST_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afety_items__4"/>
      <sheetName val="Tools_4"/>
      <sheetName val="Rate_analysis4"/>
      <sheetName val="PM(revised)_(as_per_site)4"/>
      <sheetName val="RMC10_4"/>
      <sheetName val="RMC_7_5_4"/>
      <sheetName val="RMC40_4"/>
      <sheetName val="RMC25_4"/>
      <sheetName val="master_QTY4"/>
      <sheetName val="Micro_134"/>
      <sheetName val="TBAL9697_-group_wise__sdpl4"/>
      <sheetName val="Costing_Aug-134"/>
      <sheetName val="Civil_Boq3"/>
      <sheetName val="B_&amp;_C_class_items_3"/>
      <sheetName val="Materials_Cost(PCC)2"/>
      <sheetName val="SPT_vs_PHI2"/>
      <sheetName val="Fin_Sum2"/>
      <sheetName val="beam-reinft-IIInd_floor3"/>
      <sheetName val="Fee_Rate_Summary1"/>
      <sheetName val="BLN_Detail_20001"/>
      <sheetName val="CIP_Summary_00121"/>
      <sheetName val="CIP_Detail_00111"/>
      <sheetName val="99_to_00_blns1"/>
      <sheetName val="E_&amp;_R1"/>
      <sheetName val="PRECAST_lightconc-II1"/>
      <sheetName val="Materials_Cost1"/>
      <sheetName val="Abstract_Sheet1"/>
      <sheetName val="Abstract_Sheet3"/>
      <sheetName val="Scaffolding__(2)7"/>
      <sheetName val="RMC20_7"/>
      <sheetName val="ABs_Sheet7"/>
      <sheetName val="Training_sheet7"/>
      <sheetName val="per_m37"/>
      <sheetName val="Mobi_(Latest)7"/>
      <sheetName val="Preliminaries_(as_per_Site)7"/>
      <sheetName val="Staff_Salary7"/>
      <sheetName val="steel_7"/>
      <sheetName val="MS_Items7"/>
      <sheetName val="Tower_Crane_Operation7"/>
      <sheetName val="_NET_ADDITONAL_C_(10years))7"/>
      <sheetName val="TOWER_CRANE_COST_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afety_items__7"/>
      <sheetName val="Tools_7"/>
      <sheetName val="Rate_analysis7"/>
      <sheetName val="PM(revised)_(as_per_site)7"/>
      <sheetName val="RMC10_7"/>
      <sheetName val="RMC_7_5_7"/>
      <sheetName val="RMC40_7"/>
      <sheetName val="RMC25_7"/>
      <sheetName val="master_QTY7"/>
      <sheetName val="Micro_137"/>
      <sheetName val="TBAL9697_-group_wise__sdpl7"/>
      <sheetName val="Costing_Aug-137"/>
      <sheetName val="Civil_Boq6"/>
      <sheetName val="B_&amp;_C_class_items_6"/>
      <sheetName val="Materials_Cost(PCC)5"/>
      <sheetName val="SPT_vs_PHI5"/>
      <sheetName val="Fin_Sum5"/>
      <sheetName val="beam-reinft-IIInd_floor6"/>
      <sheetName val="Fee_Rate_Summary4"/>
      <sheetName val="BLN_Detail_20004"/>
      <sheetName val="CIP_Summary_00124"/>
      <sheetName val="CIP_Detail_00114"/>
      <sheetName val="99_to_00_blns4"/>
      <sheetName val="E_&amp;_R4"/>
      <sheetName val="PRECAST_lightconc-II4"/>
      <sheetName val="Materials_Cost4"/>
      <sheetName val="Abstract_Sheet4"/>
      <sheetName val="Micro Ext.Devlop"/>
      <sheetName val="Micro Mock Up"/>
      <sheetName val="RD Mock Up"/>
      <sheetName val="Sheet2"/>
      <sheetName val="Old"/>
      <sheetName val="Introduction"/>
      <sheetName val="Sheet3"/>
      <sheetName val="Operating Statistics"/>
      <sheetName val="Financials"/>
      <sheetName val="PCS DATA"/>
      <sheetName val="INPUT SHEET"/>
      <sheetName val="RES-PLANNING"/>
      <sheetName val="Project Budget Workshee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alustrade"/>
      <sheetName val="Basic Rate"/>
      <sheetName val="INFLUENCES ON GM"/>
      <sheetName val="acevsSp (ABC)"/>
      <sheetName val="Insurance &amp; Taxes(B1-2)"/>
      <sheetName val="Staff OH facility &amp; Maint(A1-6)"/>
      <sheetName val="Admin,survy,test(A7-9)"/>
      <sheetName val="PMC REQ(C)"/>
      <sheetName val="기계내역서"/>
      <sheetName val="Actuals_by_Job"/>
      <sheetName val="Heads_Equiv_QI"/>
      <sheetName val="PT_Heads_SD"/>
      <sheetName val="Month"/>
      <sheetName val="Outlook"/>
      <sheetName val="beam-reinft-machine rm"/>
      <sheetName val="SOR"/>
      <sheetName val="Cash Flow"/>
      <sheetName val="PRSH"/>
      <sheetName val="Scaffolding__(2)9"/>
      <sheetName val="RMC20_9"/>
      <sheetName val="ABs_Sheet9"/>
      <sheetName val="Training_sheet9"/>
      <sheetName val="per_m39"/>
      <sheetName val="Mobi_(Latest)9"/>
      <sheetName val="Preliminaries_(as_per_Site)9"/>
      <sheetName val="Staff_Salary9"/>
      <sheetName val="steel_9"/>
      <sheetName val="MS_Items9"/>
      <sheetName val="Tower_Crane_Operation9"/>
      <sheetName val="_NET_ADDITONAL_C_(10years))9"/>
      <sheetName val="TOWER_CRANE_COST_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afety_items__9"/>
      <sheetName val="Tools_9"/>
      <sheetName val="Rate_analysis9"/>
      <sheetName val="PM(revised)_(as_per_site)9"/>
      <sheetName val="RMC10_9"/>
      <sheetName val="RMC_7_5_9"/>
      <sheetName val="RMC40_9"/>
      <sheetName val="RMC25_9"/>
      <sheetName val="master_QTY9"/>
      <sheetName val="Micro_139"/>
      <sheetName val="TBAL9697_-group_wise__sdpl9"/>
      <sheetName val="Costing_Aug-139"/>
      <sheetName val="Civil_Boq8"/>
      <sheetName val="B_&amp;_C_class_items_8"/>
      <sheetName val="Materials_Cost(PCC)7"/>
      <sheetName val="SPT_vs_PHI7"/>
      <sheetName val="Fin_Sum7"/>
      <sheetName val="beam-reinft-IIInd_floor8"/>
      <sheetName val="Fee_Rate_Summary6"/>
      <sheetName val="BLN_Detail_20006"/>
      <sheetName val="CIP_Summary_00126"/>
      <sheetName val="CIP_Detail_00116"/>
      <sheetName val="99_to_00_blns6"/>
      <sheetName val="E_&amp;_R6"/>
      <sheetName val="PRECAST_lightconc-II6"/>
      <sheetName val="Materials_Cost6"/>
      <sheetName val="Abstract_Sheet6"/>
      <sheetName val="Micro_Ext_Devlop"/>
      <sheetName val="Micro_Mock_Up"/>
      <sheetName val="RD_Mock_Up"/>
      <sheetName val="Structure_Bills_Qty2"/>
      <sheetName val="Data"/>
      <sheetName val="Labels"/>
      <sheetName val="Parameter"/>
      <sheetName val="Labor_abs-PW3"/>
      <sheetName val="Labor_abs-NMR3"/>
      <sheetName val="gen"/>
      <sheetName val="Civil_Works8"/>
      <sheetName val="factors"/>
      <sheetName val="dBase"/>
      <sheetName val="IO_LIST"/>
      <sheetName val="Formulas"/>
      <sheetName val="conc-foot-gradeslab"/>
      <sheetName val="PCC"/>
      <sheetName val="1_Project_Profile"/>
      <sheetName val="CABLE_DATA"/>
      <sheetName val="Notes"/>
      <sheetName val="Quote_Sheet"/>
      <sheetName val="A"/>
      <sheetName val="ABSTRACT-RA07"/>
      <sheetName val="ABSTRACT RECON"/>
      <sheetName val="Micro"/>
      <sheetName val="Macro"/>
      <sheetName val="Scaff-Rose"/>
      <sheetName val="p&amp;m"/>
      <sheetName val="BFS"/>
      <sheetName val="TB"/>
      <sheetName val="MN T.B."/>
      <sheetName val="BS"/>
      <sheetName val="Internet"/>
      <sheetName val="SC Cost FEB 03"/>
      <sheetName val="sheet6"/>
      <sheetName val="Footings"/>
      <sheetName val="Main-Material"/>
      <sheetName val="Set"/>
      <sheetName val="BLOCK-A (MEA.SHEET)"/>
      <sheetName val="Break up Sheet"/>
      <sheetName val="Costing"/>
      <sheetName val="BORDGC"/>
      <sheetName val="Bin"/>
      <sheetName val="Estimate for approval"/>
      <sheetName val="FitOutConfCentre"/>
      <sheetName val="TBEAM"/>
      <sheetName val="COMPLEXALL"/>
      <sheetName val="Consolidated"/>
      <sheetName val="선수금"/>
      <sheetName val="Sump"/>
      <sheetName val="ABSTRACT_RECON"/>
      <sheetName val="ABSTRACT_RECON1"/>
      <sheetName val="EAS"/>
      <sheetName val="Sheet14"/>
      <sheetName val="Sheet15"/>
      <sheetName val="final abstract"/>
      <sheetName val="INTERNAL PAINTING BOQ"/>
      <sheetName val="India F&amp;S Template"/>
      <sheetName val="MASTER_RATE ANALYSIS"/>
      <sheetName val="Basic_Rate"/>
      <sheetName val="Direct cost shed A-2 "/>
      <sheetName val="01"/>
      <sheetName val="04"/>
      <sheetName val="02"/>
      <sheetName val="03"/>
      <sheetName val="VCH-SLC"/>
      <sheetName val="upa"/>
      <sheetName val="Package-2"/>
      <sheetName val="abst-of -cost"/>
      <sheetName val="Sqn-Abs(G+6) "/>
      <sheetName val="WO-Abs (G+2) 6 DUs"/>
      <sheetName val="Air-Abs(G+6) 23 DUs"/>
      <sheetName val="Detail In Door Stad"/>
      <sheetName val="Background"/>
      <sheetName val="beam-reinft-machine_rm"/>
      <sheetName val="ABSTRACT_RECON2"/>
      <sheetName val="PCS_DATA"/>
      <sheetName val="INPUT_SHEET"/>
      <sheetName val="Project_Budget_Worksheet"/>
      <sheetName val="ACAD_Finishes"/>
      <sheetName val="Site_Details"/>
      <sheetName val="Site_Area_Statement"/>
      <sheetName val="Operating_Statistics"/>
      <sheetName val="beam-reinft-machine_rm1"/>
      <sheetName val="ABSTRACT_RECON3"/>
      <sheetName val="PCS_DATA1"/>
      <sheetName val="INPUT_SHEET1"/>
      <sheetName val="Project_Budget_Worksheet1"/>
      <sheetName val="ACAD_Finishes1"/>
      <sheetName val="Site_Details1"/>
      <sheetName val="Site_Area_Statement1"/>
      <sheetName val="Operating_Statistics1"/>
      <sheetName val="PointNo.5"/>
      <sheetName val="#REF!"/>
      <sheetName val="Equipment List"/>
      <sheetName val="currency (2)"/>
      <sheetName val="Staff Acco."/>
      <sheetName val="Executive Summary -Thermal"/>
      <sheetName val="Stationwise Thermal &amp; Hydel Gen"/>
      <sheetName val="TWELVE"/>
      <sheetName val="Bill No 2 to 8 (Rev)"/>
      <sheetName val="Publicbuilding"/>
      <sheetName val="Wall"/>
      <sheetName val="Rate analysis civil"/>
      <sheetName val="material and Labour rate"/>
      <sheetName val="office"/>
      <sheetName val="Lab"/>
      <sheetName val="Material&amp;equipment"/>
      <sheetName val="A.O.R."/>
      <sheetName val="Summary_Local"/>
      <sheetName val="boq revised"/>
      <sheetName val="intr stool brkup"/>
      <sheetName val="BILL COV"/>
      <sheetName val="Scaffolding__(2)12"/>
      <sheetName val="RMC20_12"/>
      <sheetName val="ABs_Sheet12"/>
      <sheetName val="Training_sheet12"/>
      <sheetName val="per_m312"/>
      <sheetName val="Mobi_(Latest)12"/>
      <sheetName val="Preliminaries_(as_per_Site)12"/>
      <sheetName val="Staff_Salary12"/>
      <sheetName val="steel_12"/>
      <sheetName val="MS_Items12"/>
      <sheetName val="Tower_Crane_Operation12"/>
      <sheetName val="_NET_ADDITONAL_C_(10years))12"/>
      <sheetName val="TOWER_CRANE_COST_12"/>
      <sheetName val="Abs_pile_12"/>
      <sheetName val="costing_pile_12"/>
      <sheetName val="cutting_final12"/>
      <sheetName val="Block_B12"/>
      <sheetName val="Block_A_12"/>
      <sheetName val="GERMAN_TOOL12"/>
      <sheetName val="C_class_cumulative12"/>
      <sheetName val="Tower_cra-det12"/>
      <sheetName val="Tower_cra_Found12"/>
      <sheetName val="Tower_Crane_Final12"/>
      <sheetName val="safety_items__12"/>
      <sheetName val="Tools_12"/>
      <sheetName val="Rate_analysis12"/>
      <sheetName val="PM(revised)_(as_per_site)12"/>
      <sheetName val="RMC10_12"/>
      <sheetName val="RMC_7_5_12"/>
      <sheetName val="RMC40_12"/>
      <sheetName val="RMC25_12"/>
      <sheetName val="master_QTY12"/>
      <sheetName val="Micro_1312"/>
      <sheetName val="beam-reinft-IIInd_floor11"/>
      <sheetName val="TBAL9697_-group_wise__sdpl12"/>
      <sheetName val="Costing_Aug-1312"/>
      <sheetName val="Civil_Boq11"/>
      <sheetName val="B_&amp;_C_class_items_11"/>
      <sheetName val="SPT_vs_PHI10"/>
      <sheetName val="Fin_Sum10"/>
      <sheetName val="Materials_Cost(PCC)10"/>
      <sheetName val="Materials_Cost9"/>
      <sheetName val="Fee_Rate_Summary9"/>
      <sheetName val="BLN_Detail_20009"/>
      <sheetName val="CIP_Summary_00129"/>
      <sheetName val="CIP_Detail_00119"/>
      <sheetName val="99_to_00_blns9"/>
      <sheetName val="E_&amp;_R9"/>
      <sheetName val="PRECAST_lightconc-II9"/>
      <sheetName val="Abstract_Sheet9"/>
      <sheetName val="ABSTRACT_RECON6"/>
      <sheetName val="Operating_Statistics4"/>
      <sheetName val="PCS_DATA4"/>
      <sheetName val="INPUT_SHEET4"/>
      <sheetName val="Project_Budget_Worksheet4"/>
      <sheetName val="ACAD_Finishes4"/>
      <sheetName val="Site_Details4"/>
      <sheetName val="Site_Area_Statement4"/>
      <sheetName val="beam-reinft-machine_rm4"/>
      <sheetName val="Cash_Flow2"/>
      <sheetName val="Insurance_&amp;_Taxes(B1-2)2"/>
      <sheetName val="Staff_OH_facility_&amp;_Maint(A1-62"/>
      <sheetName val="PMC_REQ(C)2"/>
      <sheetName val="Basic_Rate3"/>
      <sheetName val="INFLUENCES_ON_GM2"/>
      <sheetName val="acevsSp_(ABC)2"/>
      <sheetName val="MN_T_B_2"/>
      <sheetName val="final_abstract2"/>
      <sheetName val="Micro_Ext_Devlop3"/>
      <sheetName val="Micro_Mock_Up3"/>
      <sheetName val="RD_Mock_Up3"/>
      <sheetName val="Break_up_Sheet2"/>
      <sheetName val="Estimate_for_approval2"/>
      <sheetName val="Sqn-Abs(G+6)_2"/>
      <sheetName val="WO-Abs_(G+2)_6_DUs2"/>
      <sheetName val="Air-Abs(G+6)_23_DUs2"/>
      <sheetName val="MASTER_RATE_ANALYSIS2"/>
      <sheetName val="SC_Cost_FEB_032"/>
      <sheetName val="BLOCK-A_(MEA_SHEET)2"/>
      <sheetName val="Detail_In_Door_Stad2"/>
      <sheetName val="India_F&amp;S_Template2"/>
      <sheetName val="PointNo_52"/>
      <sheetName val="INTERNAL_PAINTING_BOQ2"/>
      <sheetName val="Direct_cost_shed_A-2_2"/>
      <sheetName val="abst-of_-cost2"/>
      <sheetName val="Scaffolding__(2)11"/>
      <sheetName val="RMC20_11"/>
      <sheetName val="ABs_Sheet11"/>
      <sheetName val="Training_sheet11"/>
      <sheetName val="per_m311"/>
      <sheetName val="Mobi_(Latest)11"/>
      <sheetName val="Preliminaries_(as_per_Site)11"/>
      <sheetName val="Staff_Salary11"/>
      <sheetName val="steel_11"/>
      <sheetName val="MS_Items11"/>
      <sheetName val="Tower_Crane_Operation11"/>
      <sheetName val="_NET_ADDITONAL_C_(10years))11"/>
      <sheetName val="TOWER_CRANE_COST_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afety_items__11"/>
      <sheetName val="Tools_11"/>
      <sheetName val="Rate_analysis11"/>
      <sheetName val="PM(revised)_(as_per_site)11"/>
      <sheetName val="RMC10_11"/>
      <sheetName val="RMC_7_5_11"/>
      <sheetName val="RMC40_11"/>
      <sheetName val="RMC25_11"/>
      <sheetName val="master_QTY11"/>
      <sheetName val="Micro_1311"/>
      <sheetName val="TBAL9697_-group_wise__sdpl11"/>
      <sheetName val="Costing_Aug-1311"/>
      <sheetName val="Civil_Boq10"/>
      <sheetName val="B_&amp;_C_class_items_10"/>
      <sheetName val="Materials_Cost(PCC)9"/>
      <sheetName val="SPT_vs_PHI9"/>
      <sheetName val="Fin_Sum9"/>
      <sheetName val="beam-reinft-IIInd_floor10"/>
      <sheetName val="Fee_Rate_Summary8"/>
      <sheetName val="BLN_Detail_20008"/>
      <sheetName val="CIP_Summary_00128"/>
      <sheetName val="CIP_Detail_00118"/>
      <sheetName val="99_to_00_blns8"/>
      <sheetName val="E_&amp;_R8"/>
      <sheetName val="PRECAST_lightconc-II8"/>
      <sheetName val="Materials_Cost8"/>
      <sheetName val="Abstract_Sheet8"/>
      <sheetName val="Micro_Ext_Devlop2"/>
      <sheetName val="Micro_Mock_Up2"/>
      <sheetName val="RD_Mock_Up2"/>
      <sheetName val="Basic_Rate2"/>
      <sheetName val="INFLUENCES_ON_GM1"/>
      <sheetName val="acevsSp_(ABC)1"/>
      <sheetName val="Insurance_&amp;_Taxes(B1-2)1"/>
      <sheetName val="Staff_OH_facility_&amp;_Maint(A1-61"/>
      <sheetName val="PMC_REQ(C)1"/>
      <sheetName val="beam-reinft-machine_rm3"/>
      <sheetName val="Cash_Flow1"/>
      <sheetName val="ABSTRACT_RECON5"/>
      <sheetName val="Operating_Statistics3"/>
      <sheetName val="PCS_DATA3"/>
      <sheetName val="INPUT_SHEET3"/>
      <sheetName val="Project_Budget_Worksheet3"/>
      <sheetName val="ACAD_Finishes3"/>
      <sheetName val="Site_Details3"/>
      <sheetName val="Site_Area_Statement3"/>
      <sheetName val="MN_T_B_1"/>
      <sheetName val="SC_Cost_FEB_031"/>
      <sheetName val="BLOCK-A_(MEA_SHEET)1"/>
      <sheetName val="Break_up_Sheet1"/>
      <sheetName val="Estimate_for_approval1"/>
      <sheetName val="final_abstract1"/>
      <sheetName val="INTERNAL_PAINTING_BOQ1"/>
      <sheetName val="India_F&amp;S_Template1"/>
      <sheetName val="MASTER_RATE_ANALYSIS1"/>
      <sheetName val="Sqn-Abs(G+6)_1"/>
      <sheetName val="WO-Abs_(G+2)_6_DUs1"/>
      <sheetName val="Air-Abs(G+6)_23_DUs1"/>
      <sheetName val="Detail_In_Door_Stad1"/>
      <sheetName val="PointNo_51"/>
      <sheetName val="Direct_cost_shed_A-2_1"/>
      <sheetName val="abst-of_-cost1"/>
      <sheetName val="Equipment_List1"/>
      <sheetName val="currency_(2)1"/>
      <sheetName val="Staff_Acco_1"/>
      <sheetName val="Executive_Summary_-Thermal1"/>
      <sheetName val="Stationwise_Thermal_&amp;_Hydel_Ge1"/>
      <sheetName val="Bill_No_2_to_8_(Rev)1"/>
      <sheetName val="Rate_analysis_civil1"/>
      <sheetName val="material_and_Labour_rate1"/>
      <sheetName val="A_O_R_1"/>
      <sheetName val="boq_revised1"/>
      <sheetName val="Scaffolding__(2)10"/>
      <sheetName val="RMC20_10"/>
      <sheetName val="ABs_Sheet10"/>
      <sheetName val="Training_sheet10"/>
      <sheetName val="per_m310"/>
      <sheetName val="Mobi_(Latest)10"/>
      <sheetName val="Preliminaries_(as_per_Site)10"/>
      <sheetName val="Staff_Salary10"/>
      <sheetName val="steel_10"/>
      <sheetName val="MS_Items10"/>
      <sheetName val="Tower_Crane_Operation10"/>
      <sheetName val="_NET_ADDITONAL_C_(10years))10"/>
      <sheetName val="TOWER_CRANE_COST_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afety_items__10"/>
      <sheetName val="Tools_10"/>
      <sheetName val="Rate_analysis10"/>
      <sheetName val="PM(revised)_(as_per_site)10"/>
      <sheetName val="RMC10_10"/>
      <sheetName val="RMC_7_5_10"/>
      <sheetName val="RMC40_10"/>
      <sheetName val="RMC25_10"/>
      <sheetName val="master_QTY10"/>
      <sheetName val="Micro_1310"/>
      <sheetName val="TBAL9697_-group_wise__sdpl10"/>
      <sheetName val="Costing_Aug-1310"/>
      <sheetName val="Civil_Boq9"/>
      <sheetName val="B_&amp;_C_class_items_9"/>
      <sheetName val="Materials_Cost(PCC)8"/>
      <sheetName val="SPT_vs_PHI8"/>
      <sheetName val="Fin_Sum8"/>
      <sheetName val="beam-reinft-IIInd_floor9"/>
      <sheetName val="Fee_Rate_Summary7"/>
      <sheetName val="BLN_Detail_20007"/>
      <sheetName val="CIP_Summary_00127"/>
      <sheetName val="CIP_Detail_00117"/>
      <sheetName val="99_to_00_blns7"/>
      <sheetName val="E_&amp;_R7"/>
      <sheetName val="PRECAST_lightconc-II7"/>
      <sheetName val="Materials_Cost7"/>
      <sheetName val="Abstract_Sheet7"/>
      <sheetName val="Micro_Ext_Devlop1"/>
      <sheetName val="Micro_Mock_Up1"/>
      <sheetName val="RD_Mock_Up1"/>
      <sheetName val="Basic_Rate1"/>
      <sheetName val="INFLUENCES_ON_GM"/>
      <sheetName val="acevsSp_(ABC)"/>
      <sheetName val="Insurance_&amp;_Taxes(B1-2)"/>
      <sheetName val="Staff_OH_facility_&amp;_Maint(A1-6)"/>
      <sheetName val="PMC_REQ(C)"/>
      <sheetName val="beam-reinft-machine_rm2"/>
      <sheetName val="Cash_Flow"/>
      <sheetName val="ABSTRACT_RECON4"/>
      <sheetName val="Operating_Statistics2"/>
      <sheetName val="PCS_DATA2"/>
      <sheetName val="INPUT_SHEET2"/>
      <sheetName val="Project_Budget_Worksheet2"/>
      <sheetName val="ACAD_Finishes2"/>
      <sheetName val="Site_Details2"/>
      <sheetName val="Site_Area_Statement2"/>
      <sheetName val="MN_T_B_"/>
      <sheetName val="SC_Cost_FEB_03"/>
      <sheetName val="BLOCK-A_(MEA_SHEET)"/>
      <sheetName val="Break_up_Sheet"/>
      <sheetName val="Estimate_for_approval"/>
      <sheetName val="final_abstract"/>
      <sheetName val="INTERNAL_PAINTING_BOQ"/>
      <sheetName val="India_F&amp;S_Template"/>
      <sheetName val="MASTER_RATE_ANALYSIS"/>
      <sheetName val="Sqn-Abs(G+6)_"/>
      <sheetName val="WO-Abs_(G+2)_6_DUs"/>
      <sheetName val="Air-Abs(G+6)_23_DUs"/>
      <sheetName val="Detail_In_Door_Stad"/>
      <sheetName val="PointNo_5"/>
      <sheetName val="Direct_cost_shed_A-2_"/>
      <sheetName val="abst-of_-cost"/>
      <sheetName val="Equipment_List"/>
      <sheetName val="currency_(2)"/>
      <sheetName val="Staff_Acco_"/>
      <sheetName val="Executive_Summary_-Thermal"/>
      <sheetName val="Stationwise_Thermal_&amp;_Hydel_Gen"/>
      <sheetName val="Bill_No_2_to_8_(Rev)"/>
      <sheetName val="Rate_analysis_civil"/>
      <sheetName val="material_and_Labour_rate"/>
      <sheetName val="A_O_R_"/>
      <sheetName val="boq_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Summary 0506"/>
      <sheetName val="Summary 0607- 31.MAR"/>
      <sheetName val="Lab"/>
      <sheetName val="office"/>
      <sheetName val="Material&amp;equipment"/>
      <sheetName val="Boq"/>
      <sheetName val="Civil Boq"/>
      <sheetName val="#REF!"/>
      <sheetName val="Qty"/>
      <sheetName val="Break up Shee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Rate Analysis"/>
      <sheetName val="TBAL9697 -group wise  sdpl"/>
      <sheetName val="sept-plan"/>
      <sheetName val="Other"/>
      <sheetName val="Summary"/>
      <sheetName val="Abstract Sheet"/>
      <sheetName val="Spt-BH"/>
      <sheetName val="Pile cap"/>
      <sheetName val="V.O.4 - PCC Qty"/>
      <sheetName val="Legal Risk Analysis"/>
      <sheetName val="FitOutConfCentre"/>
      <sheetName val="SPT_vs_PHI"/>
      <sheetName val="glass_project_concrete"/>
      <sheetName val="glass_project_reift"/>
      <sheetName val="glass_project_indices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d-safe DELUXE"/>
      <sheetName val="PRECAST lightconc-II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RCC,Ret. Wall"/>
      <sheetName val="Form 6"/>
      <sheetName val="PointNo.5"/>
      <sheetName val="BLK2"/>
      <sheetName val="BLK3"/>
      <sheetName val="E &amp; R"/>
      <sheetName val="radar"/>
      <sheetName val="UG"/>
      <sheetName val="Design"/>
      <sheetName val="Mix Design"/>
      <sheetName val="std-rates"/>
      <sheetName val="Fill this out first..."/>
      <sheetName val="LABOUR"/>
      <sheetName val="REVISED4A PROG PERF-SITE 1"/>
      <sheetName val="WWR"/>
      <sheetName val="CABLE DATA"/>
      <sheetName val="BOQ_Direct_selling cost"/>
      <sheetName val="BOQ (2)"/>
      <sheetName val="GBW"/>
      <sheetName val="Stock-II"/>
      <sheetName val="R20_R30_work"/>
      <sheetName val="8"/>
      <sheetName val="Flight-1"/>
      <sheetName val="Publicbuilding"/>
      <sheetName val="FT-05-02IsoBOM"/>
      <sheetName val="final abstract"/>
      <sheetName val="Rev S1 Abstract"/>
      <sheetName val="Quantity Abstract"/>
      <sheetName val="Input"/>
      <sheetName val="Activity"/>
      <sheetName val="Staff Acco."/>
      <sheetName val="Crew"/>
      <sheetName val="Piping"/>
      <sheetName val="Pipe Supports"/>
      <sheetName val="[Spt-BH.xls][Spt-BH.xls]B__1505"/>
      <sheetName val=""/>
      <sheetName val="Abstract"/>
      <sheetName val="RA-markate"/>
      <sheetName val="M-Book for Conc"/>
      <sheetName val="M-Book for FW"/>
      <sheetName val="VCH-SLC"/>
      <sheetName val="Supplier"/>
      <sheetName val="Parapet"/>
      <sheetName val="Load Details-220kV"/>
      <sheetName val="sheet6"/>
      <sheetName val="beam-reinft-IIInd floor"/>
      <sheetName val="[Spt-BH.xls][Spt-BH.xls]B__1506"/>
      <sheetName val="INPUT SHEET"/>
      <sheetName val="RES-PLANNING"/>
      <sheetName val="Footings"/>
      <sheetName val="Formulas"/>
      <sheetName val="B@_"/>
      <sheetName val="cubes_M20"/>
      <sheetName val="B@__x005f_x0000__x005f_x0004_@_x005f_x0000__x0000"/>
      <sheetName val="Project Budget Worksheet"/>
      <sheetName val="Summary_0506"/>
      <sheetName val="Summary_0607-_31_MAR"/>
      <sheetName val="Form_6"/>
      <sheetName val="COLUMN"/>
      <sheetName val="Sump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#REF"/>
      <sheetName val="BOQ -II ph 2"/>
      <sheetName val="A-General"/>
      <sheetName val="B@___x0004_@_____$__"/>
      <sheetName val="BS1"/>
      <sheetName val="RA"/>
      <sheetName val="11-hsd"/>
      <sheetName val="13-septic"/>
      <sheetName val="7-ug"/>
      <sheetName val="2-utility"/>
      <sheetName val="18-misc"/>
      <sheetName val="5-pipe"/>
      <sheetName val="switch"/>
      <sheetName val="STAFFSCHED "/>
      <sheetName val="SUMM"/>
      <sheetName val="Macro1"/>
      <sheetName val="Sheet3"/>
      <sheetName val="Lead"/>
      <sheetName val="Fee Rate Summary"/>
      <sheetName val="DADAN-1"/>
      <sheetName val="dummy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SPT_vs_PHI2"/>
      <sheetName val="glass_project_concrete2"/>
      <sheetName val="glass_project_reift2"/>
      <sheetName val="glass_project_indices2"/>
      <sheetName val="Summary_05061"/>
      <sheetName val="Summary_0607-_31_MAR1"/>
      <sheetName val="Civil_Boq"/>
      <sheetName val="SBC-BH_191"/>
      <sheetName val="Break_up_Sheet"/>
      <sheetName val="Rate_Analysis1"/>
      <sheetName val="TBAL9697_-group_wise__sdpl"/>
      <sheetName val="Abstract_Sheet"/>
      <sheetName val="BH_12-11-10-131"/>
      <sheetName val="BH_12-11-10-91"/>
      <sheetName val="BH_36-15-371"/>
      <sheetName val="BH_16-35-25-171"/>
      <sheetName val="BH_35-25-171"/>
      <sheetName val="Sheet1_(2)1"/>
      <sheetName val="d-safe_DELUXE"/>
      <sheetName val="Pile_cap"/>
      <sheetName val="PRECAST_lightconc-II"/>
      <sheetName val="V_O_4_-_PCC_Qty"/>
      <sheetName val="Legal_Risk_Analysis"/>
      <sheetName val="RCC,Ret__Wall"/>
      <sheetName val="Form_61"/>
      <sheetName val="PointNo_5"/>
      <sheetName val="E_&amp;_R"/>
      <sheetName val="Mix_Design"/>
      <sheetName val="CABLE_DATA"/>
      <sheetName val="Fill_this_out_first___"/>
      <sheetName val="REVISED4A_PROG_PERF-SITE_1"/>
      <sheetName val="Rev_S1_Abstract"/>
      <sheetName val="Quantity_Abstract"/>
      <sheetName val="BOQ_Direct_selling_cost"/>
      <sheetName val="BOQ_(2)"/>
      <sheetName val="final_abstract"/>
      <sheetName val="[Spt-BH.xls][Spt-BH.xls]_Sp_509"/>
      <sheetName val="Staff_Acco_"/>
      <sheetName val="Pipe_Supports"/>
      <sheetName val="M-Book_for_Conc"/>
      <sheetName val="M-Book_for_FW"/>
      <sheetName val="beam-reinft-IIInd_floor"/>
      <sheetName val="Load_Details-220kV"/>
      <sheetName val="[Spt-BH.xls][Spt-BH.xls]B__1507"/>
      <sheetName val="INPUT_SHEET"/>
      <sheetName val="B@__@_____$__"/>
      <sheetName val="Project_Budget_Work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OQ_-II_ph_2"/>
      <sheetName val="Metso_-_Forth_&amp;_Slurry_11_02_10"/>
      <sheetName val="HPL"/>
      <sheetName val="Costing"/>
      <sheetName val="col-reinft1"/>
      <sheetName val="220 11  BS "/>
      <sheetName val="Coefficients"/>
      <sheetName val="IS3370"/>
      <sheetName val="IS456"/>
      <sheetName val="FUNDFLOW"/>
      <sheetName val="Build-up"/>
      <sheetName val="AOR"/>
      <sheetName val="SSR &amp; NSSR Market final"/>
      <sheetName val="p&amp;m"/>
      <sheetName val="[Spt-BH.xls][Spt-BH.xls]B__1508"/>
      <sheetName val="India F&amp;S Template"/>
      <sheetName val="Quote Sheet"/>
      <sheetName val="Site wise NADs"/>
      <sheetName val="Headings"/>
      <sheetName val="2gii"/>
      <sheetName val="MGS"/>
      <sheetName val="attach(2)"/>
      <sheetName val="maingirder"/>
      <sheetName val="basic-data"/>
      <sheetName val="precast RC element"/>
      <sheetName val="EDWise"/>
      <sheetName val="ComboSheet"/>
      <sheetName val="B@__x005f_x005f_x005f_x0000__x005f_x005f_x005f_x0004_@_"/>
      <sheetName val="B@___x005f_x0004_@_____$__"/>
      <sheetName val="Debits as on 12.04.08"/>
      <sheetName val="B@[_x005f_x0000__x005f_x0004_@_x005f_x0000__x0000"/>
      <sheetName val="Qty-Opt1"/>
      <sheetName val="Assmpns"/>
      <sheetName val="合成単価作成表-BLDG"/>
      <sheetName val="Cal"/>
      <sheetName val="Data"/>
      <sheetName val="Voucher"/>
      <sheetName val="Materials Cost(PCC)"/>
      <sheetName val="NPV"/>
      <sheetName val="Stress Calculation"/>
      <sheetName val="x-items"/>
      <sheetName val="RA RCC F"/>
      <sheetName val="PRRM Dashboard"/>
      <sheetName val="Mappings"/>
      <sheetName val="Title"/>
      <sheetName val="T&amp;M"/>
      <sheetName val="SOR"/>
      <sheetName val="PriceSummary"/>
      <sheetName val="Back"/>
      <sheetName val="FT-05-02Is-_x0000_5y"/>
      <sheetName val="Abstract for Variation"/>
      <sheetName val="LBD VARIATION"/>
      <sheetName val="B@_@__$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Report"/>
      <sheetName val="C"/>
      <sheetName val="B"/>
      <sheetName val="Mx1012a"/>
      <sheetName val="Material List "/>
      <sheetName val="Detail"/>
      <sheetName val="SPT_vs_PHI3"/>
      <sheetName val="glass_project_concrete3"/>
      <sheetName val="glass_project_reift3"/>
      <sheetName val="glass_project_indices3"/>
      <sheetName val="Summary_05062"/>
      <sheetName val="Summary_0607-_31_MAR2"/>
      <sheetName val="Civil_Boq1"/>
      <sheetName val="Break_up_Sheet1"/>
      <sheetName val="SBC-BH_192"/>
      <sheetName val="Rate_Analysis2"/>
      <sheetName val="TBAL9697_-group_wise__sdpl1"/>
      <sheetName val="Abstract_Sheet1"/>
      <sheetName val="Pile_cap1"/>
      <sheetName val="V_O_4_-_PCC_Qty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d-safe_DELUXE1"/>
      <sheetName val="PRECAST_lightconc-II1"/>
      <sheetName val="RCC,Ret__Wall1"/>
      <sheetName val="Form_62"/>
      <sheetName val="PointNo_51"/>
      <sheetName val="E_&amp;_R1"/>
      <sheetName val="Mix_Design1"/>
      <sheetName val="Fill_this_out_first___1"/>
      <sheetName val="REVISED4A_PROG_PERF-SITE_11"/>
      <sheetName val="CABLE_DATA1"/>
      <sheetName val="BOQ_Direct_selling_cost1"/>
      <sheetName val="BOQ_(2)1"/>
      <sheetName val="final_abstract1"/>
      <sheetName val="Rev_S1_Abstract1"/>
      <sheetName val="Quantity_Abstract1"/>
      <sheetName val="Staff_Acco_1"/>
      <sheetName val="Pipe_Supports1"/>
      <sheetName val="M-Book_for_Conc1"/>
      <sheetName val="M-Book_for_FW1"/>
      <sheetName val="Load_Details-220kV1"/>
      <sheetName val="beam-reinft-IIInd_floor1"/>
      <sheetName val="INPUT_SHEET1"/>
      <sheetName val="Project_Budget_Worksheet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BOQ_-II_ph_21"/>
      <sheetName val="STAFFSCHED_"/>
      <sheetName val="Fee_Rate_Summary"/>
      <sheetName val="d-safe_specs"/>
      <sheetName val="class_&amp;_category"/>
      <sheetName val="Rein-Final_(Ph_1+Ph2)"/>
      <sheetName val="Metso_-_Forth_&amp;_Slurry_11_02_11"/>
      <sheetName val="220_11__BS_"/>
      <sheetName val="SSR_&amp;_NSSR_Market_final"/>
      <sheetName val="India_F&amp;S_Template"/>
      <sheetName val="Quote_Sheet"/>
      <sheetName val="Site_wise_NADs"/>
      <sheetName val="precast_RC_element"/>
      <sheetName val="Debits_as_on_12_04_08"/>
      <sheetName val="Materials_Cost(PCC)"/>
      <sheetName val="Stress_Calculation"/>
      <sheetName val="RA_RCC_F"/>
      <sheetName val="PRRM_Dashboard"/>
      <sheetName val="FT-05-02Is-5y"/>
      <sheetName val="Abstract_for_Variation"/>
      <sheetName val="LBD_VARI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Material_List_"/>
      <sheetName val="Inputs &amp; Summary Output"/>
      <sheetName val="Broad Refresher Model"/>
      <sheetName val="LT Motor catalog"/>
      <sheetName val="Cable cat"/>
      <sheetName val="Ra  stair"/>
      <sheetName val="Joints"/>
      <sheetName val="SubmitCal"/>
      <sheetName val="钢筋"/>
      <sheetName val="inWords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SàQa_x0005_@_x0000__x0000__x0000_²"/>
      <sheetName val="upa"/>
      <sheetName val="2.2 띠장의 설계"/>
      <sheetName val="HVAC"/>
      <sheetName val="LT_Motor_catalog"/>
      <sheetName val="Cable_cat"/>
      <sheetName val="SPT_vs_PHI4"/>
      <sheetName val="3"/>
      <sheetName val="B@__x0000__x0004_@_x0000__x0000"/>
      <sheetName val="B@__x005f_x0000__x005f_x0004_@_"/>
      <sheetName val="BHANDUP"/>
      <sheetName val="[Spt-BH.xls]B____x005f_x0004______117"/>
      <sheetName val="[Spt-BH.xls]B___x005f_x0000__x000_114"/>
      <sheetName val="B@___x005f_x005f_x005f_x0004_@_____$__"/>
      <sheetName val="B@__x005f_x005f_x005f_x005f_x005f_x005f_x005f_x0000__x0"/>
      <sheetName val="B@[_x005f_x005f_x005f_x0000__x005f_x005f_x005f_x0004_@_"/>
      <sheetName val="재1"/>
      <sheetName val="Direct cost shed A-2 "/>
      <sheetName val="[Spt-BH.xls][Spt-BH.xls]B__1509"/>
      <sheetName val="Cost of O &amp; O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Staff Forecast spread"/>
      <sheetName val="B@__x005f_x0000__x005f_x0004_@_x005f_x0000___$_x0"/>
      <sheetName val="IDCCALHYD-GOO"/>
      <sheetName val="BLOCK-E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bricks"/>
      <sheetName val="BH_12-11-10-134"/>
      <sheetName val="BH_12-11-10-94"/>
      <sheetName val="BH_36-15-374"/>
      <sheetName val="BH_16-35-25-174"/>
      <sheetName val="BH_35-25-174"/>
      <sheetName val="Sheet1_(2)4"/>
      <sheetName val="d-safe_DELUXE3"/>
      <sheetName val="PRECAST_lightconc-II3"/>
      <sheetName val="Legal_Risk_Analysis3"/>
      <sheetName val="Mix_Design3"/>
      <sheetName val="Form_64"/>
      <sheetName val="PointNo_53"/>
      <sheetName val="RCC,Ret__Wall3"/>
      <sheetName val="E_&amp;_R3"/>
      <sheetName val="Break_up_Sheet3"/>
      <sheetName val="Abstract_Sheet3"/>
      <sheetName val="Fill_this_out_first___3"/>
      <sheetName val="REVISED4A_PROG_PERF-SITE_13"/>
      <sheetName val="BOQ_Direct_selling_cost3"/>
      <sheetName val="BOQ_(2)3"/>
      <sheetName val="CABLE_DATA3"/>
      <sheetName val="Staff_Acco_3"/>
      <sheetName val="Pipe_Supports3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PRECAST_lightconc-II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Direct_selling_cost2"/>
      <sheetName val="BOQ_(2)2"/>
      <sheetName val="CABLE_DATA2"/>
      <sheetName val="Staff_Acco_2"/>
      <sheetName val="Pipe_Supports2"/>
      <sheetName val="final_abstract2"/>
      <sheetName val="Rev_S1_Abstract2"/>
      <sheetName val="Quantity_Abstract2"/>
      <sheetName val="M-Book_for_Conc2"/>
      <sheetName val="M-Book_for_FW2"/>
      <sheetName val="Load_Details-220kV2"/>
      <sheetName val="beam-reinft-IIInd_floor2"/>
      <sheetName val="INPUT_SHEET2"/>
      <sheetName val="Project_Budget_Worksheet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BOQ_-II_ph_22"/>
      <sheetName val="STAFFSCHED_1"/>
      <sheetName val="Fee_Rate_Summary1"/>
      <sheetName val="d-safe_specs1"/>
      <sheetName val="Quote_Sheet1"/>
      <sheetName val="class_&amp;_category1"/>
      <sheetName val="Rein-Final_(Ph_1+Ph2)1"/>
      <sheetName val="Materials_Cost(PCC)1"/>
      <sheetName val="220_11__BS_1"/>
      <sheetName val="SSR_&amp;_NSSR_Market_final1"/>
      <sheetName val="Site_wise_NADs1"/>
      <sheetName val="RA_RCC_F1"/>
      <sheetName val="India_F&amp;S_Template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[Spt-BH.xls][Spt-BH.xls]B__1498"/>
      <sheetName val="[Spt-BH.xls][Spt-BH.xls]B__1499"/>
      <sheetName val="[Spt-BH.xls][Spt-BH.xls]_Sp_507"/>
      <sheetName val="[Spt-BH.xls][Spt-BH.xls]B__1500"/>
      <sheetName val="[Spt-BH.xls][Spt-BH.xls]B__1501"/>
      <sheetName val="[Spt-BH.xls][Spt-BH.xls]B@[_x0000__x0004_@_x0000_"/>
      <sheetName val="[Spt-BH.xls][Spt-BH.xls]B@[?_x0004_@?"/>
      <sheetName val="[Spt-BH.xls][Spt-BH.xls][Spt-BH"/>
      <sheetName val="[Spt-BH.xls][Spt-BH.xls]B@[?@??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IO List"/>
      <sheetName val="Basicrate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yndicate codes"/>
      <sheetName val="B@["/>
      <sheetName val="Basic Rate"/>
      <sheetName val="INFLUENCES ON GM"/>
      <sheetName val="B@__x0000__x0004_@_x0000___$_x0"/>
      <sheetName val="B@__x005f_x005f_x005f_x0000__x0"/>
      <sheetName val="B@___x0004_@___$_"/>
      <sheetName val="measurement"/>
      <sheetName val="Break_Up (bc)"/>
      <sheetName val="Break_Up (bc1)"/>
      <sheetName val="Break_Up (bc2)"/>
      <sheetName val="Fin Sum"/>
      <sheetName val="Steel Payment Doc"/>
      <sheetName val=" AT-1-220 "/>
      <sheetName val=" BC-220"/>
      <sheetName val="Components"/>
      <sheetName val="DETAILED  BOQ"/>
      <sheetName val="Pay_Sep06"/>
      <sheetName val="Code"/>
      <sheetName val="database"/>
      <sheetName val="ISA"/>
      <sheetName val="B@___x005f_x005f_x005f_x005f_x005f_x005f_x005f_x0004_@_"/>
      <sheetName val="B@__x005f_x005f_x005f_x005f_x005f_x005f_x005f_x005f_x00"/>
      <sheetName val="B@___x005f_x005f_x005f_x005f_x005f_x005f_x005f_x005f_x0"/>
      <sheetName val="Works - Quote Sheet"/>
      <sheetName val="02"/>
      <sheetName val="03"/>
      <sheetName val="04"/>
      <sheetName val="05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SàQa_x0005_@"/>
      <sheetName val="estimate"/>
      <sheetName val="Havells  LT (XLPE)"/>
      <sheetName val="PL-ST-6"/>
      <sheetName val="Coalmine"/>
      <sheetName val="PL Inst RA 12"/>
      <sheetName val="PACK (B)"/>
      <sheetName val="B@___x005f_x005f_x005f_x0004_@_"/>
      <sheetName val="B@__x005f_x005f_x005f_x005f_x00"/>
      <sheetName val="Staff_Forecast_spread"/>
      <sheetName val="Direct_cost_shed_A-2_"/>
      <sheetName val="[Spt-BH.xls][Spt-BH.xls]B__1510"/>
      <sheetName val="Notes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Mat.Cost"/>
      <sheetName val="4NEXRA"/>
      <sheetName val=" "/>
      <sheetName val="commercial"/>
      <sheetName val="Tender Appraisal"/>
      <sheetName val="Ins &amp; Bonds"/>
      <sheetName val="Site facilities"/>
      <sheetName val="Clients Requirements"/>
      <sheetName val="Pipe_SupportÈ"/>
      <sheetName val="DB_ET200(R. A)"/>
      <sheetName val="[Spt-BH.xls][Spt-BH.xls]_Sp_505"/>
      <sheetName val="[Spt-BH.xls][Spt-BH.xls]B__1502"/>
      <sheetName val="[Spt-BH.xls]B@[_x005f_x0000__x005f_x0004_@_"/>
      <sheetName val="[Spt-BH.xls][Spt-BH.xls]B__1503"/>
      <sheetName val="inter"/>
      <sheetName val="見積書"/>
      <sheetName val="Labour Rate "/>
      <sheetName val="(M+L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1.01 (a)"/>
      <sheetName val="[Spt-BH.xls][Spt-BH.xls]B__1504"/>
      <sheetName val="電気設備表"/>
      <sheetName val="2 BHK"/>
      <sheetName val="BALANCE-IOTL "/>
      <sheetName val="Rates"/>
      <sheetName val="para"/>
      <sheetName val="kppl pl"/>
      <sheetName val="LTG-STG"/>
      <sheetName val="_Spt-BH.xls__Spt-BH.xls_B@_"/>
      <sheetName val="_Spt-BH.xls__Spt-BH.xls_B@___x0004_@_"/>
      <sheetName val="_Spt-BH.xls__Spt-BH.xls__Spt-BH"/>
      <sheetName val="_Spt-BH.xls__Spt-BH.xls_B@__@__"/>
      <sheetName val="LIST-SUB-CON"/>
      <sheetName val="Prelims Breakup"/>
      <sheetName val="Staff planning"/>
      <sheetName val="1 yr maintainance"/>
      <sheetName val="SàQa_x005f_x0005_@_x005f_x0000__x005f_x0000__x000"/>
      <sheetName val="HOSPI-01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Steel-Circular"/>
      <sheetName val="SP Break Up"/>
      <sheetName val="Basic Rates"/>
      <sheetName val="activit-graph  "/>
      <sheetName val="pr_cal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매크로"/>
      <sheetName val="2_2_띠장의_설계"/>
      <sheetName val="Abstract_for_Variation1"/>
      <sheetName val="LBD_VARIATION1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t"/>
      <sheetName val="SPT_vs_PHI35"/>
      <sheetName val="glass_project_concrete35"/>
      <sheetName val="glass_project_reift35"/>
      <sheetName val="glass_project_indices35"/>
      <sheetName val="Summary_050634"/>
      <sheetName val="Summary_0607-_31_MAR34"/>
      <sheetName val="Civil_Boq33"/>
      <sheetName val="Break_up_Sheet33"/>
      <sheetName val="SBC-BH_1934"/>
      <sheetName val="Rate_Analysis34"/>
      <sheetName val="TBAL9697_-group_wise__sdpl33"/>
      <sheetName val="Abstract_Sheet33"/>
      <sheetName val="Pile_cap33"/>
      <sheetName val="V_O_4_-_PCC_Qty33"/>
      <sheetName val="Legal_Risk_Analysis33"/>
      <sheetName val="BH_12-11-10-1334"/>
      <sheetName val="BH_12-11-10-934"/>
      <sheetName val="BH_36-15-3734"/>
      <sheetName val="BH_16-35-25-1734"/>
      <sheetName val="BH_35-25-1734"/>
      <sheetName val="Sheet1_(2)34"/>
      <sheetName val="d-safe_DELUXE33"/>
      <sheetName val="PRECAST_lightconc-II33"/>
      <sheetName val="RCC,Ret__Wall33"/>
      <sheetName val="Form_634"/>
      <sheetName val="PointNo_533"/>
      <sheetName val="E_&amp;_R33"/>
      <sheetName val="Mix_Design33"/>
      <sheetName val="Fill_this_out_first___33"/>
      <sheetName val="REVISED4A_PROG_PERF-SITE_133"/>
      <sheetName val="CABLE_DATA33"/>
      <sheetName val="BOQ_Direct_selling_cost33"/>
      <sheetName val="BOQ_(2)33"/>
      <sheetName val="final_abstract33"/>
      <sheetName val="Rev_S1_Abstract33"/>
      <sheetName val="Quantity_Abstract33"/>
      <sheetName val="Staff_Acco_33"/>
      <sheetName val="Pipe_Supports33"/>
      <sheetName val="M-Book_for_Conc33"/>
      <sheetName val="M-Book_for_FW33"/>
      <sheetName val="Load_Details-220kV33"/>
      <sheetName val="beam-reinft-IIInd_floor33"/>
      <sheetName val="INPUT_SHEET33"/>
      <sheetName val="Project_Budget_Worksheet33"/>
      <sheetName val="SANJAY_PAL33"/>
      <sheetName val="P_A_SELVAM33"/>
      <sheetName val="ANSARI_33"/>
      <sheetName val="abdesh_pal33"/>
      <sheetName val="sujay_bagchi33"/>
      <sheetName val="S_K_SINHA_BASU33"/>
      <sheetName val="KRISHNA_PRASAD33"/>
      <sheetName val="BARATH_&amp;_CO33"/>
      <sheetName val="L_B_YADAV33"/>
      <sheetName val="DEEPAK_KUMAR33"/>
      <sheetName val="MUKLAL_YADAV33"/>
      <sheetName val="MADHU_SUDHAN33"/>
      <sheetName val="SAUD_ALAM_33"/>
      <sheetName val="RAMESH_BABU33"/>
      <sheetName val="SAILEN_SARKAR33"/>
      <sheetName val="SANJAY_JENA133"/>
      <sheetName val="upendra_saw_33"/>
      <sheetName val="ALLOK_KUMAR_33"/>
      <sheetName val="except_wiring33"/>
      <sheetName val="BOQ_-II_ph_233"/>
      <sheetName val="STAFFSCHED_32"/>
      <sheetName val="Fee_Rate_Summary32"/>
      <sheetName val="d-safe_specs32"/>
      <sheetName val="class_&amp;_category32"/>
      <sheetName val="Rein-Final_(Ph_1+Ph2)32"/>
      <sheetName val="Metso_-_Forth_&amp;_Slurry_11_02_42"/>
      <sheetName val="220_11__BS_32"/>
      <sheetName val="SSR_&amp;_NSSR_Market_final32"/>
      <sheetName val="India_F&amp;S_Template32"/>
      <sheetName val="Quote_Sheet32"/>
      <sheetName val="Site_wise_NADs32"/>
      <sheetName val="precast_RC_element32"/>
      <sheetName val="Debits_as_on_12_04_0815"/>
      <sheetName val="Materials_Cost(PCC)32"/>
      <sheetName val="Stress_Calculation32"/>
      <sheetName val="RA_RCC_F32"/>
      <sheetName val="PRRM_Dashboard15"/>
      <sheetName val="Inputs_&amp;_Summary_Output7"/>
      <sheetName val="Broad_Refresher_Model7"/>
      <sheetName val="LT_Motor_catalog6"/>
      <sheetName val="Cable_cat6"/>
      <sheetName val="Abstract_for_Variation6"/>
      <sheetName val="LBD_VARIATION6"/>
      <sheetName val="plinth_Beam_+_Stirrups_32"/>
      <sheetName val="GF_COLUMNS32"/>
      <sheetName val="G_F_ROOF_BEAM_32"/>
      <sheetName val="GF_SLAB_STEEL32"/>
      <sheetName val="GF_Lintel32"/>
      <sheetName val="GF_Stair32"/>
      <sheetName val="FF_COLUMNS32"/>
      <sheetName val="F_F__Steel_FINAL_(2)32"/>
      <sheetName val="FF_Lintel32"/>
      <sheetName val="FF_Stair32"/>
      <sheetName val="S_F__Steel_FINAL_32"/>
      <sheetName val="SF_Lintel32"/>
      <sheetName val="Material_List_6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SàQa@²"/>
      <sheetName val="2_2_띠장의_설계5"/>
      <sheetName val="Ra__stair5"/>
      <sheetName val="Direct_cost_shed_A-2_6"/>
      <sheetName val="SPT_vs_PHI33"/>
      <sheetName val="glass_project_concrete33"/>
      <sheetName val="glass_project_reift33"/>
      <sheetName val="glass_project_indices33"/>
      <sheetName val="Summary_050632"/>
      <sheetName val="Summary_0607-_31_MAR32"/>
      <sheetName val="Civil_Boq31"/>
      <sheetName val="Break_up_Sheet31"/>
      <sheetName val="SBC-BH_1932"/>
      <sheetName val="Rate_Analysis32"/>
      <sheetName val="TBAL9697_-group_wise__sdpl31"/>
      <sheetName val="Abstract_Sheet31"/>
      <sheetName val="Pile_cap31"/>
      <sheetName val="V_O_4_-_PCC_Qty31"/>
      <sheetName val="Legal_Risk_Analysis31"/>
      <sheetName val="BH_12-11-10-1332"/>
      <sheetName val="BH_12-11-10-932"/>
      <sheetName val="BH_36-15-3732"/>
      <sheetName val="BH_16-35-25-1732"/>
      <sheetName val="BH_35-25-1732"/>
      <sheetName val="Sheet1_(2)32"/>
      <sheetName val="d-safe_DELUXE31"/>
      <sheetName val="PRECAST_lightconc-II31"/>
      <sheetName val="RCC,Ret__Wall31"/>
      <sheetName val="Form_632"/>
      <sheetName val="PointNo_531"/>
      <sheetName val="E_&amp;_R31"/>
      <sheetName val="Mix_Design31"/>
      <sheetName val="Fill_this_out_first___31"/>
      <sheetName val="REVISED4A_PROG_PERF-SITE_131"/>
      <sheetName val="CABLE_DATA31"/>
      <sheetName val="BOQ_Direct_selling_cost31"/>
      <sheetName val="BOQ_(2)31"/>
      <sheetName val="final_abstract31"/>
      <sheetName val="Rev_S1_Abstract31"/>
      <sheetName val="Quantity_Abstract31"/>
      <sheetName val="Staff_Acco_31"/>
      <sheetName val="Pipe_Supports31"/>
      <sheetName val="M-Book_for_Conc31"/>
      <sheetName val="M-Book_for_FW31"/>
      <sheetName val="Load_Details-220kV31"/>
      <sheetName val="beam-reinft-IIInd_floor31"/>
      <sheetName val="INPUT_SHEET31"/>
      <sheetName val="Project_Budget_Worksheet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BOQ_-II_ph_231"/>
      <sheetName val="STAFFSCHED_30"/>
      <sheetName val="Fee_Rate_Summary30"/>
      <sheetName val="d-safe_specs30"/>
      <sheetName val="class_&amp;_category30"/>
      <sheetName val="Rein-Final_(Ph_1+Ph2)30"/>
      <sheetName val="Metso_-_Forth_&amp;_Slurry_11_02_40"/>
      <sheetName val="220_11__BS_30"/>
      <sheetName val="SSR_&amp;_NSSR_Market_final30"/>
      <sheetName val="India_F&amp;S_Template30"/>
      <sheetName val="Quote_Sheet30"/>
      <sheetName val="Site_wise_NADs30"/>
      <sheetName val="precast_RC_element30"/>
      <sheetName val="Debits_as_on_12_04_0813"/>
      <sheetName val="Materials_Cost(PCC)30"/>
      <sheetName val="Stress_Calculation30"/>
      <sheetName val="RA_RCC_F30"/>
      <sheetName val="PRRM_Dashboard1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Inputs_&amp;_Summary_Output5"/>
      <sheetName val="Broad_Refresher_Model5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Ra__stair3"/>
      <sheetName val="Direct_cost_shed_A-2_4"/>
      <sheetName val="Cost_of_O_&amp;_O4"/>
      <sheetName val="Material_3"/>
      <sheetName val="Labour_&amp;_Plant3"/>
      <sheetName val="Materials_Cost3"/>
      <sheetName val="pr_cal3"/>
      <sheetName val="TRF_details3"/>
      <sheetName val="Staff_Forecast_spread4"/>
      <sheetName val="[Spt-BH.xls][Spt-BH.xls]_Sp_508"/>
      <sheetName val="[Spt-BH.xls][Spt-BH_xls]B__1423"/>
      <sheetName val="[Spt-BH.xls][Spt-BH_xls]B__1424"/>
      <sheetName val="[Spt-BH.xls][Spt-BH_xls]B__1425"/>
      <sheetName val="SPT_vs_PHI32"/>
      <sheetName val="glass_project_concrete32"/>
      <sheetName val="glass_project_reift32"/>
      <sheetName val="glass_project_indices32"/>
      <sheetName val="Summary_050631"/>
      <sheetName val="Summary_0607-_31_MAR31"/>
      <sheetName val="Civil_Boq30"/>
      <sheetName val="Break_up_Sheet30"/>
      <sheetName val="SBC-BH_1931"/>
      <sheetName val="Rate_Analysis31"/>
      <sheetName val="TBAL9697_-group_wise__sdpl30"/>
      <sheetName val="Abstract_Sheet30"/>
      <sheetName val="Pile_cap30"/>
      <sheetName val="V_O_4_-_PCC_Qty30"/>
      <sheetName val="Legal_Risk_Analysis30"/>
      <sheetName val="BH_12-11-10-1331"/>
      <sheetName val="BH_12-11-10-931"/>
      <sheetName val="BH_36-15-3731"/>
      <sheetName val="BH_16-35-25-1731"/>
      <sheetName val="BH_35-25-1731"/>
      <sheetName val="Sheet1_(2)31"/>
      <sheetName val="d-safe_DELUXE30"/>
      <sheetName val="PRECAST_lightconc-II30"/>
      <sheetName val="RCC,Ret__Wall30"/>
      <sheetName val="Form_631"/>
      <sheetName val="PointNo_530"/>
      <sheetName val="E_&amp;_R30"/>
      <sheetName val="Mix_Design30"/>
      <sheetName val="Fill_this_out_first___30"/>
      <sheetName val="REVISED4A_PROG_PERF-SITE_130"/>
      <sheetName val="CABLE_DATA30"/>
      <sheetName val="BOQ_Direct_selling_cost30"/>
      <sheetName val="BOQ_(2)30"/>
      <sheetName val="final_abstract30"/>
      <sheetName val="Rev_S1_Abstract30"/>
      <sheetName val="Quantity_Abstract30"/>
      <sheetName val="Staff_Acco_30"/>
      <sheetName val="Pipe_Supports30"/>
      <sheetName val="M-Book_for_Conc30"/>
      <sheetName val="M-Book_for_FW30"/>
      <sheetName val="Load_Details-220kV30"/>
      <sheetName val="beam-reinft-IIInd_floor30"/>
      <sheetName val="INPUT_SHEET30"/>
      <sheetName val="Project_Budget_Worksheet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BOQ_-II_ph_230"/>
      <sheetName val="STAFFSCHED_29"/>
      <sheetName val="Fee_Rate_Summary29"/>
      <sheetName val="d-safe_specs29"/>
      <sheetName val="class_&amp;_category29"/>
      <sheetName val="Rein-Final_(Ph_1+Ph2)29"/>
      <sheetName val="Metso_-_Forth_&amp;_Slurry_11_02_39"/>
      <sheetName val="220_11__BS_29"/>
      <sheetName val="SSR_&amp;_NSSR_Market_final29"/>
      <sheetName val="India_F&amp;S_Template29"/>
      <sheetName val="Quote_Sheet29"/>
      <sheetName val="Site_wise_NADs29"/>
      <sheetName val="precast_RC_element29"/>
      <sheetName val="Debits_as_on_12_04_0812"/>
      <sheetName val="Materials_Cost(PCC)29"/>
      <sheetName val="Stress_Calculation29"/>
      <sheetName val="RA_RCC_F29"/>
      <sheetName val="PRRM_Dashboard1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Inputs_&amp;_Summary_Output4"/>
      <sheetName val="Broad_Refresher_Model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Ra__stair2"/>
      <sheetName val="Direct_cost_shed_A-2_3"/>
      <sheetName val="SPT_vs_PHI30"/>
      <sheetName val="glass_project_concrete30"/>
      <sheetName val="glass_project_reift30"/>
      <sheetName val="glass_project_indices30"/>
      <sheetName val="Summary_050629"/>
      <sheetName val="Summary_0607-_31_MAR29"/>
      <sheetName val="Civil_Boq28"/>
      <sheetName val="Break_up_Sheet28"/>
      <sheetName val="SBC-BH_1929"/>
      <sheetName val="Rate_Analysis29"/>
      <sheetName val="TBAL9697_-group_wise__sdpl28"/>
      <sheetName val="Abstract_Sheet28"/>
      <sheetName val="Pile_cap28"/>
      <sheetName val="V_O_4_-_PCC_Qty28"/>
      <sheetName val="Legal_Risk_Analysis28"/>
      <sheetName val="BH_12-11-10-1329"/>
      <sheetName val="BH_12-11-10-929"/>
      <sheetName val="BH_36-15-3729"/>
      <sheetName val="BH_16-35-25-1729"/>
      <sheetName val="BH_35-25-1729"/>
      <sheetName val="Sheet1_(2)29"/>
      <sheetName val="d-safe_DELUXE28"/>
      <sheetName val="PRECAST_lightconc-II28"/>
      <sheetName val="RCC,Ret__Wall28"/>
      <sheetName val="Form_629"/>
      <sheetName val="PointNo_528"/>
      <sheetName val="E_&amp;_R28"/>
      <sheetName val="Mix_Design28"/>
      <sheetName val="Fill_this_out_first___28"/>
      <sheetName val="REVISED4A_PROG_PERF-SITE_128"/>
      <sheetName val="CABLE_DATA28"/>
      <sheetName val="BOQ_Direct_selling_cost28"/>
      <sheetName val="BOQ_(2)28"/>
      <sheetName val="final_abstrac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INPUT_SHEET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STAFFSCHED_27"/>
      <sheetName val="Fee_Rate_Summary27"/>
      <sheetName val="d-safe_specs27"/>
      <sheetName val="class_&amp;_category27"/>
      <sheetName val="Rein-Final_(Ph_1+Ph2)27"/>
      <sheetName val="Metso_-_Forth_&amp;_Slurry_11_02_37"/>
      <sheetName val="220_11__BS_27"/>
      <sheetName val="SSR_&amp;_NSSR_Market_final27"/>
      <sheetName val="India_F&amp;S_Template27"/>
      <sheetName val="Quote_Sheet27"/>
      <sheetName val="Site_wise_NADs27"/>
      <sheetName val="precast_RC_element27"/>
      <sheetName val="Debits_as_on_12_04_0810"/>
      <sheetName val="Materials_Cost(PCC)27"/>
      <sheetName val="Stress_Calculation27"/>
      <sheetName val="RA_RCC_F27"/>
      <sheetName val="PRRM_Dashboard10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Material_List_1"/>
      <sheetName val="Inputs_&amp;_Summary_Output2"/>
      <sheetName val="Broad_Refresher_Model2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Ra__stair"/>
      <sheetName val="Direct_cost_shed_A-2_1"/>
      <sheetName val="[Spt-BH.xls][Spt-BH_xls]B__1426"/>
      <sheetName val="Cost_of_O_&amp;_O1"/>
      <sheetName val="Material_"/>
      <sheetName val="Labour_&amp;_Plant"/>
      <sheetName val="Materials_Cost"/>
      <sheetName val="TRF_details"/>
      <sheetName val="Staff_Forecast_spread1"/>
      <sheetName val="[Spt-BH.xls][Spt-BH_xls]_Sp_465"/>
      <sheetName val="[Spt-BH_xls][Spt-BH_xls]B@[@"/>
      <sheetName val="[Spt-BH_xls][Spt-BH_xls]B@[?@?"/>
      <sheetName val="[Spt-BH_xls][Spt-BH_xls][Spt-BH"/>
      <sheetName val="[Spt-BH_xls][Spt-BH_xls]B@[?@??"/>
      <sheetName val="IO_List"/>
      <sheetName val="syndicate_codes"/>
      <sheetName val="Basic_Rate"/>
      <sheetName val="INFLUENCES_ON_GM"/>
      <sheetName val="B@_@__$_x0"/>
      <sheetName val="Break_Up_(bc)"/>
      <sheetName val="Break_Up_(bc1)"/>
      <sheetName val="Break_Up_(bc2)"/>
      <sheetName val="Fin_Sum"/>
      <sheetName val="Steel_Payment_Doc"/>
      <sheetName val="_AT-1-220_"/>
      <sheetName val="_BC-220"/>
      <sheetName val="DETAILED__BOQ"/>
      <sheetName val="Works_-_Quote_Shee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SàQa@"/>
      <sheetName val="Havells__LT_(XLPE)"/>
      <sheetName val="PL_Inst_RA_12"/>
      <sheetName val="PACK_(B)"/>
      <sheetName val="Assumption_Inputs"/>
      <sheetName val="Mat_Cost"/>
      <sheetName val="_"/>
      <sheetName val="Tender_Appraisal"/>
      <sheetName val="Ins_&amp;_Bonds"/>
      <sheetName val="Site_facilities"/>
      <sheetName val="Clients_Requirements"/>
      <sheetName val="DB_ET200(R__A)"/>
      <sheetName val="[Spt-BH_xls]B@[_x005f_x0000__x005f_x0004_@_"/>
      <sheetName val="Labour_Rate_"/>
      <sheetName val="1_01_(a)"/>
      <sheetName val="[Spt-BH.xls][Spt-BH_xls]B__1427"/>
      <sheetName val="SPT_vs_PHI31"/>
      <sheetName val="glass_project_concrete31"/>
      <sheetName val="glass_project_reift31"/>
      <sheetName val="glass_project_indices31"/>
      <sheetName val="Summary_050630"/>
      <sheetName val="Summary_0607-_31_MAR30"/>
      <sheetName val="Civil_Boq29"/>
      <sheetName val="Break_up_Sheet29"/>
      <sheetName val="SBC-BH_1930"/>
      <sheetName val="Rate_Analysis30"/>
      <sheetName val="TBAL9697_-group_wise__sdpl29"/>
      <sheetName val="Abstract_Sheet29"/>
      <sheetName val="Pile_cap29"/>
      <sheetName val="V_O_4_-_PCC_Qty29"/>
      <sheetName val="Legal_Risk_Analysis29"/>
      <sheetName val="BH_12-11-10-1330"/>
      <sheetName val="BH_12-11-10-930"/>
      <sheetName val="BH_36-15-3730"/>
      <sheetName val="BH_16-35-25-1730"/>
      <sheetName val="BH_35-25-1730"/>
      <sheetName val="Sheet1_(2)30"/>
      <sheetName val="d-safe_DELUXE29"/>
      <sheetName val="PRECAST_lightconc-II29"/>
      <sheetName val="RCC,Ret__Wall29"/>
      <sheetName val="Form_630"/>
      <sheetName val="PointNo_529"/>
      <sheetName val="E_&amp;_R29"/>
      <sheetName val="Mix_Design29"/>
      <sheetName val="Fill_this_out_first___29"/>
      <sheetName val="REVISED4A_PROG_PERF-SITE_129"/>
      <sheetName val="CABLE_DATA29"/>
      <sheetName val="BOQ_Direct_selling_cost29"/>
      <sheetName val="BOQ_(2)29"/>
      <sheetName val="final_abstract29"/>
      <sheetName val="Rev_S1_Abstract29"/>
      <sheetName val="Quantity_Abstract29"/>
      <sheetName val="Staff_Acco_29"/>
      <sheetName val="Pipe_Supports29"/>
      <sheetName val="M-Book_for_Conc29"/>
      <sheetName val="M-Book_for_FW29"/>
      <sheetName val="Load_Details-220kV29"/>
      <sheetName val="beam-reinft-IIInd_floor29"/>
      <sheetName val="INPUT_SHEET29"/>
      <sheetName val="Project_Budget_Worksheet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BOQ_-II_ph_229"/>
      <sheetName val="STAFFSCHED_28"/>
      <sheetName val="Fee_Rate_Summary28"/>
      <sheetName val="d-safe_specs28"/>
      <sheetName val="class_&amp;_category28"/>
      <sheetName val="Rein-Final_(Ph_1+Ph2)28"/>
      <sheetName val="Metso_-_Forth_&amp;_Slurry_11_02_38"/>
      <sheetName val="220_11__BS_28"/>
      <sheetName val="SSR_&amp;_NSSR_Market_final28"/>
      <sheetName val="India_F&amp;S_Template28"/>
      <sheetName val="Quote_Sheet28"/>
      <sheetName val="Site_wise_NADs28"/>
      <sheetName val="precast_RC_element28"/>
      <sheetName val="Debits_as_on_12_04_0811"/>
      <sheetName val="Materials_Cost(PCC)28"/>
      <sheetName val="Stress_Calculation28"/>
      <sheetName val="RA_RCC_F28"/>
      <sheetName val="PRRM_Dashboard1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Inputs_&amp;_Summary_Output3"/>
      <sheetName val="Broad_Refresher_Model3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Ra__stair1"/>
      <sheetName val="Direct_cost_shed_A-2_2"/>
      <sheetName val="[Spt-BH.xls][Spt-BH_xls]B__1428"/>
      <sheetName val="[Spt-BH.xls][Spt-BH_xls]B__1429"/>
      <sheetName val="Cost_of_O_&amp;_O2"/>
      <sheetName val="Material_1"/>
      <sheetName val="Labour_&amp;_Plant1"/>
      <sheetName val="Materials_Cost1"/>
      <sheetName val="pr_cal1"/>
      <sheetName val="TRF_details1"/>
      <sheetName val="Staff_Forecast_spread2"/>
      <sheetName val="[Spt-BH.xls][Spt-BH_xls]_Sp_466"/>
      <sheetName val="[Spt-BH_xls][Spt-BH_xls][Spt-B1"/>
      <sheetName val="[Spt-BH_xls][Spt-BH_xls]B@[?@?1"/>
      <sheetName val="IO_List1"/>
      <sheetName val="syndicate_codes1"/>
      <sheetName val="Basic_Rate1"/>
      <sheetName val="INFLUENCES_ON_GM1"/>
      <sheetName val="Break_Up_(bc)1"/>
      <sheetName val="Break_Up_(bc1)1"/>
      <sheetName val="Break_Up_(bc2)1"/>
      <sheetName val="Fin_Sum1"/>
      <sheetName val="Steel_Payment_Doc1"/>
      <sheetName val="_AT-1-220_1"/>
      <sheetName val="_BC-2201"/>
      <sheetName val="DETAILED__BOQ1"/>
      <sheetName val="Works_-_Quote_Sheet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Havells__LT_(XLPE)1"/>
      <sheetName val="PL_Inst_RA_121"/>
      <sheetName val="PACK_(B)1"/>
      <sheetName val="[Spt-BH.xls][Spt-BH_xls]B__1430"/>
      <sheetName val="Assumption_Inputs1"/>
      <sheetName val="Mat_Cost1"/>
      <sheetName val="_1"/>
      <sheetName val="Tender_Appraisal1"/>
      <sheetName val="Ins_&amp;_Bonds1"/>
      <sheetName val="Site_facilities1"/>
      <sheetName val="Clients_Requirements1"/>
      <sheetName val="DB_ET200(R__A)1"/>
      <sheetName val="[Spt-BH_xls]B@[_x005f_x0000__x005f_x0004_@1"/>
      <sheetName val="Labour_Rate_1"/>
      <sheetName val="1_01_(a)1"/>
      <sheetName val="[Spt-BH.xls][Spt-BH_xls]B__1431"/>
      <sheetName val="[Spt-BH.xls][Spt-BH_xls]B__1432"/>
      <sheetName val="[Spt-BH.xls][Spt-BH_xls]B__1433"/>
      <sheetName val="Cost_of_O_&amp;_O3"/>
      <sheetName val="Material_2"/>
      <sheetName val="Labour_&amp;_Plant2"/>
      <sheetName val="Materials_Cost2"/>
      <sheetName val="pr_cal2"/>
      <sheetName val="TRF_details2"/>
      <sheetName val="Staff_Forecast_spread3"/>
      <sheetName val="[Spt-BH_xls][Spt-BH_xls][Spt-B2"/>
      <sheetName val="[Spt-BH_xls][Spt-BH_xls]B@[?@?2"/>
      <sheetName val="IO_List2"/>
      <sheetName val="syndicate_codes2"/>
      <sheetName val="Basic_Rate2"/>
      <sheetName val="INFLUENCES_ON_GM2"/>
      <sheetName val="Break_Up_(bc)2"/>
      <sheetName val="Break_Up_(bc1)2"/>
      <sheetName val="Break_Up_(bc2)2"/>
      <sheetName val="Fin_Sum2"/>
      <sheetName val="Steel_Payment_Doc2"/>
      <sheetName val="_AT-1-220_2"/>
      <sheetName val="_BC-2202"/>
      <sheetName val="DETAILED__BOQ2"/>
      <sheetName val="Works_-_Quote_Sheet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Havells__LT_(XLPE)2"/>
      <sheetName val="PL_Inst_RA_122"/>
      <sheetName val="PACK_(B)2"/>
      <sheetName val="Assumption_Inputs2"/>
      <sheetName val="Mat_Cost2"/>
      <sheetName val="_2"/>
      <sheetName val="Tender_Appraisal2"/>
      <sheetName val="Ins_&amp;_Bonds2"/>
      <sheetName val="Site_facilities2"/>
      <sheetName val="Clients_Requirements2"/>
      <sheetName val="DB_ET200(R__A)2"/>
      <sheetName val="[Spt-BH_xls]B@[_x005f_x0000__x005f_x0004_@2"/>
      <sheetName val="Labour_Rate_2"/>
      <sheetName val="1_01_(a)2"/>
      <sheetName val="[Spt-BH.xls][Spt-BH_xls]_Sp_467"/>
      <sheetName val="SPT_vs_PHI34"/>
      <sheetName val="glass_project_concrete34"/>
      <sheetName val="glass_project_reift34"/>
      <sheetName val="glass_project_indices34"/>
      <sheetName val="Summary_050633"/>
      <sheetName val="Summary_0607-_31_MAR33"/>
      <sheetName val="Civil_Boq32"/>
      <sheetName val="Break_up_Sheet32"/>
      <sheetName val="SBC-BH_1933"/>
      <sheetName val="Rate_Analysis33"/>
      <sheetName val="TBAL9697_-group_wise__sdpl32"/>
      <sheetName val="Abstract_Sheet32"/>
      <sheetName val="Pile_cap32"/>
      <sheetName val="V_O_4_-_PCC_Qty32"/>
      <sheetName val="Legal_Risk_Analysis32"/>
      <sheetName val="BH_12-11-10-1333"/>
      <sheetName val="BH_12-11-10-933"/>
      <sheetName val="BH_36-15-3733"/>
      <sheetName val="BH_16-35-25-1733"/>
      <sheetName val="BH_35-25-1733"/>
      <sheetName val="Sheet1_(2)33"/>
      <sheetName val="d-safe_DELUXE32"/>
      <sheetName val="PRECAST_lightconc-II32"/>
      <sheetName val="RCC,Ret__Wall32"/>
      <sheetName val="Form_633"/>
      <sheetName val="PointNo_532"/>
      <sheetName val="E_&amp;_R32"/>
      <sheetName val="Mix_Design32"/>
      <sheetName val="Fill_this_out_first___32"/>
      <sheetName val="REVISED4A_PROG_PERF-SITE_132"/>
      <sheetName val="CABLE_DATA32"/>
      <sheetName val="BOQ_Direct_selling_cost32"/>
      <sheetName val="BOQ_(2)32"/>
      <sheetName val="final_abstract32"/>
      <sheetName val="Rev_S1_Abstract32"/>
      <sheetName val="Quantity_Abstract32"/>
      <sheetName val="Staff_Acco_32"/>
      <sheetName val="Pipe_Supports32"/>
      <sheetName val="M-Book_for_Conc32"/>
      <sheetName val="M-Book_for_FW32"/>
      <sheetName val="Load_Details-220kV32"/>
      <sheetName val="beam-reinft-IIInd_floor32"/>
      <sheetName val="INPUT_SHEET32"/>
      <sheetName val="Project_Budget_Worksheet32"/>
      <sheetName val="SANJAY_PAL32"/>
      <sheetName val="P_A_SELVAM32"/>
      <sheetName val="ANSARI_32"/>
      <sheetName val="abdesh_pal32"/>
      <sheetName val="sujay_bagchi32"/>
      <sheetName val="S_K_SINHA_BASU32"/>
      <sheetName val="KRISHNA_PRASAD32"/>
      <sheetName val="BARATH_&amp;_CO32"/>
      <sheetName val="L_B_YADAV32"/>
      <sheetName val="DEEPAK_KUMAR32"/>
      <sheetName val="MUKLAL_YADAV32"/>
      <sheetName val="MADHU_SUDHAN32"/>
      <sheetName val="SAUD_ALAM_32"/>
      <sheetName val="RAMESH_BABU32"/>
      <sheetName val="SAILEN_SARKAR32"/>
      <sheetName val="SANJAY_JENA132"/>
      <sheetName val="upendra_saw_32"/>
      <sheetName val="ALLOK_KUMAR_32"/>
      <sheetName val="except_wiring32"/>
      <sheetName val="BOQ_-II_ph_232"/>
      <sheetName val="STAFFSCHED_31"/>
      <sheetName val="Fee_Rate_Summary31"/>
      <sheetName val="d-safe_specs31"/>
      <sheetName val="class_&amp;_category31"/>
      <sheetName val="Rein-Final_(Ph_1+Ph2)31"/>
      <sheetName val="Metso_-_Forth_&amp;_Slurry_11_02_41"/>
      <sheetName val="220_11__BS_31"/>
      <sheetName val="SSR_&amp;_NSSR_Market_final31"/>
      <sheetName val="India_F&amp;S_Template31"/>
      <sheetName val="Quote_Sheet31"/>
      <sheetName val="Site_wise_NADs31"/>
      <sheetName val="precast_RC_element31"/>
      <sheetName val="Debits_as_on_12_04_0814"/>
      <sheetName val="Materials_Cost(PCC)31"/>
      <sheetName val="Stress_Calculation31"/>
      <sheetName val="RA_RCC_F31"/>
      <sheetName val="PRRM_Dashboard14"/>
      <sheetName val="Abstract_for_Variation5"/>
      <sheetName val="LBD_VARIATION5"/>
      <sheetName val="plinth_Beam_+_Stirrups_31"/>
      <sheetName val="GF_COLUMNS31"/>
      <sheetName val="G_F_ROOF_BEAM_31"/>
      <sheetName val="GF_SLAB_STEEL31"/>
      <sheetName val="GF_Lintel31"/>
      <sheetName val="GF_Stair31"/>
      <sheetName val="FF_COLUMNS31"/>
      <sheetName val="F_F__Steel_FINAL_(2)31"/>
      <sheetName val="FF_Lintel31"/>
      <sheetName val="FF_Stair31"/>
      <sheetName val="S_F__Steel_FINAL_31"/>
      <sheetName val="SF_Lintel31"/>
      <sheetName val="Material_List_5"/>
      <sheetName val="Inputs_&amp;_Summary_Output6"/>
      <sheetName val="Broad_Refresher_Model6"/>
      <sheetName val="LT_Motor_catalog5"/>
      <sheetName val="Cable_cat5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Ra__stair4"/>
      <sheetName val="Direct_cost_shed_A-2_5"/>
      <sheetName val="[Spt-BH.xls][Spt-BH.xls]_Sp_506"/>
      <sheetName val="SPT_vs_PHI36"/>
      <sheetName val="glass_project_concrete36"/>
      <sheetName val="glass_project_reift36"/>
      <sheetName val="glass_project_indices36"/>
      <sheetName val="Summary_050635"/>
      <sheetName val="Summary_0607-_31_MAR35"/>
      <sheetName val="Civil_Boq34"/>
      <sheetName val="Break_up_Sheet34"/>
      <sheetName val="SBC-BH_1935"/>
      <sheetName val="Rate_Analysis35"/>
      <sheetName val="Pile_cap34"/>
      <sheetName val="V_O_4_-_PCC_Qty34"/>
      <sheetName val="TBAL9697_-group_wise__sdpl34"/>
      <sheetName val="Abstract_Sheet34"/>
      <sheetName val="Legal_Risk_Analysis34"/>
      <sheetName val="BH_12-11-10-1335"/>
      <sheetName val="BH_12-11-10-935"/>
      <sheetName val="BH_36-15-3735"/>
      <sheetName val="BH_16-35-25-1735"/>
      <sheetName val="BH_35-25-1735"/>
      <sheetName val="Sheet1_(2)35"/>
      <sheetName val="d-safe_DELUXE34"/>
      <sheetName val="PRECAST_lightconc-II34"/>
      <sheetName val="RCC,Ret__Wall34"/>
      <sheetName val="Form_635"/>
      <sheetName val="PointNo_534"/>
      <sheetName val="E_&amp;_R34"/>
      <sheetName val="Mix_Design34"/>
      <sheetName val="CABLE_DATA34"/>
      <sheetName val="Fill_this_out_first___34"/>
      <sheetName val="REVISED4A_PROG_PERF-SITE_134"/>
      <sheetName val="BOQ_Direct_selling_cost34"/>
      <sheetName val="BOQ_(2)34"/>
      <sheetName val="final_abstract34"/>
      <sheetName val="Rev_S1_Abstract34"/>
      <sheetName val="Quantity_Abstract34"/>
      <sheetName val="Staff_Acco_34"/>
      <sheetName val="Pipe_Supports34"/>
      <sheetName val="M-Book_for_Conc34"/>
      <sheetName val="M-Book_for_FW34"/>
      <sheetName val="Load_Details-220kV34"/>
      <sheetName val="beam-reinft-IIInd_floor34"/>
      <sheetName val="INPUT_SHEET34"/>
      <sheetName val="Project_Budget_Worksheet34"/>
      <sheetName val="SANJAY_PAL34"/>
      <sheetName val="P_A_SELVAM34"/>
      <sheetName val="ANSARI_34"/>
      <sheetName val="abdesh_pal34"/>
      <sheetName val="sujay_bagchi34"/>
      <sheetName val="S_K_SINHA_BASU34"/>
      <sheetName val="KRISHNA_PRASAD34"/>
      <sheetName val="BARATH_&amp;_CO34"/>
      <sheetName val="L_B_YADAV34"/>
      <sheetName val="DEEPAK_KUMAR34"/>
      <sheetName val="MUKLAL_YADAV34"/>
      <sheetName val="MADHU_SUDHAN34"/>
      <sheetName val="SAUD_ALAM_34"/>
      <sheetName val="RAMESH_BABU34"/>
      <sheetName val="SAILEN_SARKAR34"/>
      <sheetName val="SANJAY_JENA134"/>
      <sheetName val="upendra_saw_34"/>
      <sheetName val="ALLOK_KUMAR_34"/>
      <sheetName val="except_wiring34"/>
      <sheetName val="BOQ_-II_ph_234"/>
      <sheetName val="STAFFSCHED_33"/>
      <sheetName val="Fee_Rate_Summary33"/>
      <sheetName val="d-safe_specs33"/>
      <sheetName val="class_&amp;_category33"/>
      <sheetName val="Rein-Final_(Ph_1+Ph2)33"/>
      <sheetName val="Metso_-_Forth_&amp;_Slurry_11_02_43"/>
      <sheetName val="220_11__BS_33"/>
      <sheetName val="SSR_&amp;_NSSR_Market_final33"/>
      <sheetName val="India_F&amp;S_Template33"/>
      <sheetName val="Quote_Sheet33"/>
      <sheetName val="Site_wise_NADs33"/>
      <sheetName val="precast_RC_element33"/>
      <sheetName val="Debits_as_on_12_04_0816"/>
      <sheetName val="Materials_Cost(PCC)33"/>
      <sheetName val="Stress_Calculation33"/>
      <sheetName val="RA_RCC_F33"/>
      <sheetName val="PRRM_Dashboard16"/>
      <sheetName val="Abstract_for_Variation7"/>
      <sheetName val="LBD_VARIATION7"/>
      <sheetName val="plinth_Beam_+_Stirrups_33"/>
      <sheetName val="GF_COLUMNS33"/>
      <sheetName val="G_F_ROOF_BEAM_33"/>
      <sheetName val="GF_SLAB_STEEL33"/>
      <sheetName val="GF_Lintel33"/>
      <sheetName val="GF_Stair33"/>
      <sheetName val="FF_COLUMNS33"/>
      <sheetName val="F_F__Steel_FINAL_(2)33"/>
      <sheetName val="FF_Lintel33"/>
      <sheetName val="FF_Stair33"/>
      <sheetName val="S_F__Steel_FINAL_33"/>
      <sheetName val="SF_Lintel33"/>
      <sheetName val="Material_List_7"/>
      <sheetName val="Inputs_&amp;_Summary_Output8"/>
      <sheetName val="Broad_Refresher_Model8"/>
      <sheetName val="LT_Motor_catalog7"/>
      <sheetName val="Cable_cat7"/>
      <sheetName val="Direct_cost_shed_A-2_7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2_2_띠장의_설계6"/>
      <sheetName val="Ra__stair6"/>
      <sheetName val="[Spt-BH.xls][Spt-BH_xls]B__1434"/>
      <sheetName val="[Spt-BH.xls][Spt-BH_xls]B__1435"/>
      <sheetName val="Cost_of_O_&amp;_O5"/>
      <sheetName val="Material_4"/>
      <sheetName val="Labour_&amp;_Plant4"/>
      <sheetName val="Materials_Cost4"/>
      <sheetName val="pr_cal4"/>
      <sheetName val="TRF_details4"/>
      <sheetName val="Staff_Forecast_spread5"/>
      <sheetName val="[Spt-BH.xls][Spt-BH_xls]_Sp_468"/>
      <sheetName val="[Spt-BH_xls][Spt-BH_xls][Spt-B3"/>
      <sheetName val="[Spt-BH_xls][Spt-BH_xls]B@[?@?3"/>
      <sheetName val="IO_List3"/>
      <sheetName val="syndicate_codes3"/>
      <sheetName val="Basic_Rate3"/>
      <sheetName val="INFLUENCES_ON_GM3"/>
      <sheetName val="Break_Up_(bc)3"/>
      <sheetName val="Break_Up_(bc1)3"/>
      <sheetName val="Break_Up_(bc2)3"/>
      <sheetName val="Fin_Sum3"/>
      <sheetName val="Steel_Payment_Doc3"/>
      <sheetName val="_AT-1-220_3"/>
      <sheetName val="_BC-2203"/>
      <sheetName val="DETAILED__BOQ3"/>
      <sheetName val="Works_-_Quote_Sheet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Havells__LT_(XLPE)3"/>
      <sheetName val="PL_Inst_RA_123"/>
      <sheetName val="PACK_(B)3"/>
      <sheetName val="[Spt-BH.xls][Spt-BH_xls]B__1436"/>
      <sheetName val="Assumption_Inputs3"/>
      <sheetName val="Mat_Cost3"/>
      <sheetName val="_3"/>
      <sheetName val="Tender_Appraisal3"/>
      <sheetName val="Ins_&amp;_Bonds3"/>
      <sheetName val="Site_facilities3"/>
      <sheetName val="Clients_Requirements3"/>
      <sheetName val="DB_ET200(R__A)3"/>
      <sheetName val="[Spt-BH_xls]B@[_x005f_x0000__x005f_x0004_@3"/>
      <sheetName val="Labour_Rate_3"/>
      <sheetName val="1_01_(a)3"/>
      <sheetName val="[Spt-BH.xls][Spt-BH_xls]B__1437"/>
      <sheetName val="2_BHK"/>
      <sheetName val="BALANCE-IOTL_"/>
      <sheetName val="kppl_pl"/>
      <sheetName val="_Spt-BH_xls__Spt-BH_xls_B@_"/>
      <sheetName val="_Spt-BH_xls__Spt-BH_xls_B@__@_"/>
      <sheetName val="_Spt-BH_xls__Spt-BH_xls__Spt-BH"/>
      <sheetName val="_Spt-BH_xls__Spt-BH_xls_B@__@__"/>
      <sheetName val="Prelims_Breakup"/>
      <sheetName val="Staff_planning"/>
      <sheetName val="1_yr_maintainance"/>
      <sheetName val="SP&amp;ST_제출가"/>
      <sheetName val="SP_Break_Up"/>
      <sheetName val="Basic_Rates"/>
      <sheetName val="activit-graph__"/>
      <sheetName val="B@_@_"/>
      <sheetName val="ACAD_Finishes"/>
      <sheetName val="Site_Details"/>
      <sheetName val="Site_Area_Statement"/>
      <sheetName val="SàQa@_x000"/>
      <sheetName val="MASTER_RATE_ANALYSIS"/>
      <sheetName val="[Spt-BH.xls][Spt-BH_xls]_Sp_469"/>
      <sheetName val="[Spt-BH.xls][Spt-BH.xls]B_____9"/>
      <sheetName val="[Spt-BH.xls][Spt-BH.xls]B____10"/>
      <sheetName val="[Spt-BH.xls][Spt-BH.xls]_Spt__6"/>
      <sheetName val="[Spt-BH.xls][Spt-BH.xls]B____11"/>
      <sheetName val="[Spt-BH.xls][Spt-BH.xls]B____12"/>
      <sheetName val="[Spt-BH.xls]B____x005f_x0004________2"/>
      <sheetName val="[Spt-BH.xls][Spt-BH.xls]B_____2"/>
      <sheetName val="[Spt-BH.xls][Spt-BH.xls]B_____3"/>
      <sheetName val="[Spt-BH.xls][Spt-BH.xls]_Spt__4"/>
      <sheetName val="[Spt-BH.xls][Spt-BH.xls]B_____4"/>
      <sheetName val="[Spt-BH.xls][Spt-BH.xls]B_____5"/>
      <sheetName val="[Spt-BH.xls]B___x005f_x0000__x005f_x0004__2"/>
      <sheetName val="[Spt-BH.xls][Spt-BH.xls]B____13"/>
      <sheetName val="[Spt-BH.xls][Spt-BH.xls]B____14"/>
      <sheetName val="[Spt-BH.xls][Spt-BH.xls]_Spt__2"/>
      <sheetName val="[Spt-BH.xls][Spt-BH.xls]B_____6"/>
      <sheetName val="[Spt-BH.xls][Spt-BH.xls]B_____7"/>
      <sheetName val="[Spt-BH.xls][Spt-BH.xls]B_____8"/>
      <sheetName val="[Spt-BH.xls][Spt-BH.xls]_Spt__3"/>
      <sheetName val="[Spt-BH.xls][Spt-BH.xls]_Spt__5"/>
      <sheetName val="[Spt-BH.xls][Spt-BH_xls]B_____2"/>
      <sheetName val="[Spt-BH.xls][Spt-BH_xls]B_____3"/>
      <sheetName val="[Spt-BH.xls][Spt-BH_xls]B_____4"/>
      <sheetName val="[Spt-BH.xls][Spt-BH_xls]B_____5"/>
      <sheetName val="[Spt-BH.xls][Spt-BH_xls]_Spt__2"/>
      <sheetName val="[Spt-BH.xls][Spt-BH_xls]B_____6"/>
      <sheetName val="[Spt-BH.xls][Spt-BH_xls]B_____7"/>
      <sheetName val="[Spt-BH.xls][Spt-BH_xls]B_____8"/>
      <sheetName val="[Spt-BH.xls][Spt-BH_xls]_Spt__3"/>
      <sheetName val="[Spt-BH.xls][Spt-BH_xls]B_____9"/>
      <sheetName val="[Spt-BH.xls][Spt-BH_xls]B____10"/>
      <sheetName val="[Spt-BH.xls][Spt-BH_xls]B____11"/>
      <sheetName val="[Spt-BH.xls][Spt-BH_xls]B____12"/>
      <sheetName val="[Spt-BH.xls][Spt-BH_xls]_Spt__4"/>
      <sheetName val="[Spt-BH.xls][Spt-BH.xls]_Spt__9"/>
      <sheetName val="[Spt-BH.xls][Spt-BH.xls]_Spt__7"/>
      <sheetName val="[Spt-BH.xls][Spt-BH.xls]_Spt__8"/>
      <sheetName val="[Spt-BH.xls][Spt-BH.xls]_Spt_10"/>
      <sheetName val="[Spt-BH.xls]B____x005f_x0004______116"/>
      <sheetName val="[Spt-BH.xls]B___x005f_x0000__x000_113"/>
      <sheetName val="[Spt-BH.xls][Spt-BH.xls]B__1491"/>
      <sheetName val="[Spt-BH.xls][Spt-BH.xls]B__1492"/>
      <sheetName val="[Spt-BH.xls][Spt-BH.xls]B__1493"/>
      <sheetName val="[Spt-BH.xls][Spt-BH.xls]B__1494"/>
      <sheetName val="[Spt-BH.xls][Spt-BH.xls]_Sp_503"/>
      <sheetName val="[Spt-BH.xls][Spt-BH.xls]_Spt_11"/>
      <sheetName val="[Spt-BH.xls][Spt-BH.xls]B@[?_x0"/>
      <sheetName val="[Spt-BH.xls][Spt-BH.xls]B____16"/>
      <sheetName val="[Spt-BH.xls][Spt-BH.xls]B____17"/>
      <sheetName val="[Spt-BH.xls][Spt-BH.xls]B____18"/>
      <sheetName val="[Spt-BH.xls][Spt-BH.xls]B____19"/>
      <sheetName val="[Spt-BH.xls]B____x005f_x0004________3"/>
      <sheetName val="[Spt-BH.xls]B___x005f_x0000__x005f_x0004__3"/>
      <sheetName val="[Spt-BH.xls][Spt-BH.xls]B____20"/>
      <sheetName val="[Spt-BH.xls][Spt-BH.xls]B____21"/>
      <sheetName val="[Spt-BH.xls][Spt-BH.xls]B____15"/>
      <sheetName val="[Spt-BH.xls][Spt-BH_xls]B____13"/>
      <sheetName val="[Spt-BH.xls][Spt-BH_xls]B____14"/>
      <sheetName val="[Spt-BH.xls][Spt-BH_xls]B____15"/>
      <sheetName val="[Spt-BH.xls][Spt-BH_xls]B____16"/>
      <sheetName val="[Spt-BH.xls][Spt-BH_xls]_Spt__5"/>
      <sheetName val="[Spt-BH.xls][Spt-BH_xls]B____17"/>
      <sheetName val="[Spt-BH.xls][Spt-BH_xls]B____18"/>
      <sheetName val="[Spt-BH.xls][Spt-BH_xls]B____19"/>
      <sheetName val="[Spt-BH.xls][Spt-BH_xls]_Spt__6"/>
      <sheetName val="[Spt-BH.xls][Spt-BH_xls]B____20"/>
      <sheetName val="[Spt-BH.xls][Spt-BH_xls]B____21"/>
      <sheetName val="[Spt-BH.xls][Spt-BH_xls]B____22"/>
      <sheetName val="[Spt-BH.xls][Spt-BH_xls]B____23"/>
      <sheetName val="[Spt-BH.xls][Spt-BH_xls]_Spt__7"/>
      <sheetName val="[Spt-BH.xls][Spt-BH.xls]B____29"/>
      <sheetName val="[Spt-BH.xls][Spt-BH.xls]B____30"/>
      <sheetName val="[Spt-BH.xls][Spt-BH.xls]_Sp_165"/>
      <sheetName val="[Spt-BH.xls][Spt-BH.xls]B____31"/>
      <sheetName val="[Spt-BH.xls][Spt-BH.xls]B____32"/>
      <sheetName val="[Spt-BH.xls]B____x005f_x0004________4"/>
      <sheetName val="[Spt-BH.xls][Spt-BH.xls]B____22"/>
      <sheetName val="[Spt-BH.xls][Spt-BH.xls]B____23"/>
      <sheetName val="[Spt-BH.xls][Spt-BH.xls]B____24"/>
      <sheetName val="[Spt-BH.xls][Spt-BH.xls]B____25"/>
      <sheetName val="[Spt-BH.xls]B___x005f_x0000__x005f_x0004__4"/>
      <sheetName val="[Spt-BH.xls][Spt-BH.xls]B____33"/>
      <sheetName val="[Spt-BH.xls][Spt-BH.xls]B____34"/>
      <sheetName val="[Spt-BH.xls][Spt-BH.xls]B____26"/>
      <sheetName val="[Spt-BH.xls][Spt-BH.xls]B____27"/>
      <sheetName val="[Spt-BH.xls][Spt-BH.xls]B____28"/>
      <sheetName val="[Spt-BH.xls][Spt-BH.xls]_Spt_12"/>
      <sheetName val="[Spt-BH.xls][Spt-BH_xls]B____24"/>
      <sheetName val="[Spt-BH.xls][Spt-BH_xls]B____25"/>
      <sheetName val="[Spt-BH.xls][Spt-BH_xls]B____26"/>
      <sheetName val="[Spt-BH.xls][Spt-BH_xls]B____27"/>
      <sheetName val="[Spt-BH.xls][Spt-BH_xls]_Spt__8"/>
      <sheetName val="[Spt-BH.xls][Spt-BH_xls]B____28"/>
      <sheetName val="[Spt-BH.xls][Spt-BH_xls]B____29"/>
      <sheetName val="[Spt-BH.xls][Spt-BH_xls]B____30"/>
      <sheetName val="[Spt-BH.xls][Spt-BH_xls]_Spt__9"/>
      <sheetName val="[Spt-BH.xls][Spt-BH_xls]B____31"/>
      <sheetName val="[Spt-BH.xls][Spt-BH_xls]B____32"/>
      <sheetName val="[Spt-BH.xls][Spt-BH_xls]B____33"/>
      <sheetName val="[Spt-BH.xls][Spt-BH_xls]B____34"/>
      <sheetName val="[Spt-BH.xls][Spt-BH_xls]_Spt_10"/>
      <sheetName val="[Spt-BH.xls][Spt-BH.xls]B___477"/>
      <sheetName val="[Spt-BH.xls][Spt-BH.xls]B___478"/>
      <sheetName val="[Spt-BH.xls][Spt-BH.xls]_Sp_166"/>
      <sheetName val="[Spt-BH.xls][Spt-BH.xls]B___479"/>
      <sheetName val="[Spt-BH.xls][Spt-BH.xls]B___480"/>
      <sheetName val="[Spt-BH.xls]B____x005f_x0004________5"/>
      <sheetName val="[Spt-BH.xls]B___x005f_x0000__x005f_x0004__5"/>
      <sheetName val="[Spt-BH.xls][Spt-BH.xls]B___481"/>
      <sheetName val="[Spt-BH.xls][Spt-BH.xls]B___482"/>
      <sheetName val="[Spt-BH.xls][Spt-BH.xls]B____35"/>
      <sheetName val="[Spt-BH.xls][Spt-BH.xls]B___471"/>
      <sheetName val="[Spt-BH.xls][Spt-BH.xls]B___472"/>
      <sheetName val="[Spt-BH.xls][Spt-BH.xls]_Sp_164"/>
      <sheetName val="[Spt-BH.xls][Spt-BH.xls]B___473"/>
      <sheetName val="[Spt-BH.xls][Spt-BH.xls]B___474"/>
      <sheetName val="[Spt-BH.xls][Spt-BH.xls]_Sp_159"/>
      <sheetName val="[Spt-BH.xls][Spt-BH.xls]B___464"/>
      <sheetName val="[Spt-BH.xls][Spt-BH.xls]B___465"/>
      <sheetName val="[Spt-BH.xls][Spt-BH.xls]_Sp_161"/>
      <sheetName val="[Spt-BH.xls][Spt-BH.xls]B___466"/>
      <sheetName val="[Spt-BH.xls][Spt-BH.xls]B___467"/>
      <sheetName val="[Spt-BH.xls][Spt-BH.xls]B___468"/>
      <sheetName val="[Spt-BH.xls]B____x005f_x0004_______42"/>
      <sheetName val="[Spt-BH.xls]B___x005f_x0000__x005f_x0004_39"/>
      <sheetName val="[Spt-BH.xls][Spt-BH.xls]B___475"/>
      <sheetName val="[Spt-BH.xls][Spt-BH.xls]B___476"/>
      <sheetName val="[Spt-BH.xls][Spt-BH.xls]B___469"/>
      <sheetName val="[Spt-BH.xls][Spt-BH.xls]B___470"/>
      <sheetName val="[Spt-BH.xls][Spt-BH.xls]_Sp_162"/>
      <sheetName val="[Spt-BH.xls][Spt-BH_xls]B___351"/>
      <sheetName val="[Spt-BH.xls][Spt-BH_xls]B___352"/>
      <sheetName val="[Spt-BH.xls][Spt-BH_xls]B___353"/>
      <sheetName val="[Spt-BH.xls][Spt-BH_xls]B___354"/>
      <sheetName val="[Spt-BH.xls][Spt-BH_xls]_Sp_109"/>
      <sheetName val="[Spt-BH.xls][Spt-BH_xls]B___355"/>
      <sheetName val="[Spt-BH.xls][Spt-BH_xls]B___356"/>
      <sheetName val="[Spt-BH.xls][Spt-BH_xls]B___357"/>
      <sheetName val="[Spt-BH.xls][Spt-BH_xls]_Sp_110"/>
      <sheetName val="[Spt-BH.xls][Spt-BH_xls]B___358"/>
      <sheetName val="[Spt-BH.xls][Spt-BH_xls]B___359"/>
      <sheetName val="[Spt-BH.xls][Spt-BH_xls]B___360"/>
      <sheetName val="[Spt-BH.xls][Spt-BH_xls]B___361"/>
      <sheetName val="[Spt-BH.xls][Spt-BH_xls]_Sp_111"/>
      <sheetName val="[Spt-BH.xls][Spt-BH.xls]_Sp_160"/>
      <sheetName val="[Spt-BH.xls][Spt-BH_xls]B___362"/>
      <sheetName val="[Spt-BH.xls][Spt-BH_xls]B___363"/>
      <sheetName val="[Spt-BH.xls][Spt-BH_xls]_Sp_112"/>
      <sheetName val="[Spt-BH.xls][Spt-BH_xls]B___364"/>
      <sheetName val="[Spt-BH.xls][Spt-BH_xls]B___365"/>
      <sheetName val="[Spt-BH.xls][Spt-BH_xls]_Sp_113"/>
      <sheetName val="[Spt-BH.xls][Spt-BH.xls]_Spt_13"/>
      <sheetName val="[Spt-BH.xls][Spt-BH.xls]B____36"/>
      <sheetName val="[Spt-BH.xls][Spt-BH.xls]_Spt_20"/>
      <sheetName val="[Spt-BH.xls][Spt-BH.xls]B____37"/>
      <sheetName val="[Spt-BH.xls][Spt-BH.xls]B____38"/>
      <sheetName val="[Spt-BH.xls][Spt-BH.xls]_Spt_18"/>
      <sheetName val="[Spt-BH.xls][Spt-BH.xls]B____39"/>
      <sheetName val="[Spt-BH.xls][Spt-BH.xls]B____40"/>
      <sheetName val="[Spt-BH.xls][Spt-BH.xls]_Spt_16"/>
      <sheetName val="[Spt-BH.xls][Spt-BH.xls]_Spt_17"/>
      <sheetName val="[Spt-BH.xls][Spt-BH.xls]_Spt_19"/>
      <sheetName val="[Spt-BH.xls][Spt-BH_xls]B____35"/>
      <sheetName val="[Spt-BH.xls][Spt-BH_xls]_Spt_12"/>
      <sheetName val="[Spt-BH.xls][Spt-BH_xls]B____36"/>
      <sheetName val="[Spt-BH.xls][Spt-BH_xls]B____37"/>
      <sheetName val="[Spt-BH.xls][Spt-BH_xls]B____38"/>
      <sheetName val="[Spt-BH.xls][Spt-BH_xls]_Spt_13"/>
      <sheetName val="[Spt-BH.xls][Spt-BH_xls]B____39"/>
      <sheetName val="[Spt-BH.xls][Spt-BH_xls]B____40"/>
      <sheetName val="[Spt-BH.xls][Spt-BH_xls]B____41"/>
      <sheetName val="[Spt-BH.xls][Spt-BH_xls]B____42"/>
      <sheetName val="[Spt-BH.xls][Spt-BH_xls]_Spt_14"/>
      <sheetName val="[Spt-BH.xls][Spt-BH_xls]B____43"/>
      <sheetName val="[Spt-BH.xls][Spt-BH_xls]B____44"/>
      <sheetName val="[Spt-BH.xls][Spt-BH_xls]_Spt_15"/>
      <sheetName val="[Spt-BH.xls][Spt-BH_xls]B____45"/>
      <sheetName val="[Spt-BH.xls][Spt-BH_xls]B____46"/>
      <sheetName val="[Spt-BH.xls][Spt-BH_xls]_Spt_16"/>
      <sheetName val="[Spt-BH.xls][Spt-BH.xls]_Spt_14"/>
      <sheetName val="[Spt-BH.xls][Spt-BH.xls]_Spt_15"/>
      <sheetName val="[Spt-BH.xls][Spt-BH_xls]_Spt_11"/>
      <sheetName val="[Spt-BH.xls][Spt-BH.xls]B____41"/>
      <sheetName val="[Spt-BH.xls][Spt-BH.xls]B____42"/>
      <sheetName val="[Spt-BH.xls][Spt-BH.xls]_Spt_22"/>
      <sheetName val="[Spt-BH.xls][Spt-BH.xls]B____43"/>
      <sheetName val="[Spt-BH.xls][Spt-BH.xls]B____44"/>
      <sheetName val="[Spt-BH.xls][Spt-BH.xls]B____45"/>
      <sheetName val="[Spt-BH.xls][Spt-BH.xls]B____46"/>
      <sheetName val="[Spt-BH.xls][Spt-BH.xls]_Spt_21"/>
      <sheetName val="[Spt-BH.xls][Spt-BH.xls]B____47"/>
      <sheetName val="[Spt-BH.xls][Spt-BH.xls]B____48"/>
      <sheetName val="[Spt-BH.xls][Spt-BH.xls]_Spt_23"/>
      <sheetName val="[Spt-BH.xls][Spt-BH.xls]B____49"/>
      <sheetName val="[Spt-BH.xls][Spt-BH.xls]B____50"/>
      <sheetName val="[Spt-BH.xls][Spt-BH.xls]_Spt_24"/>
      <sheetName val="[Spt-BH.xls][Spt-BH.xls]B____51"/>
      <sheetName val="[Spt-BH.xls][Spt-BH.xls]B____52"/>
      <sheetName val="[Spt-BH.xls][Spt-BH.xls]_Spt_25"/>
      <sheetName val="[Spt-BH.xls][Spt-BH.xls]B____53"/>
      <sheetName val="[Spt-BH.xls][Spt-BH.xls]B____54"/>
      <sheetName val="[Spt-BH.xls][Spt-BH.xls]B____55"/>
      <sheetName val="[Spt-BH.xls][Spt-BH.xls]B____56"/>
      <sheetName val="[Spt-BH.xls][Spt-BH.xls]_Spt_26"/>
      <sheetName val="[Spt-BH.xls]B____x005f_x0004________7"/>
      <sheetName val="[Spt-BH.xls]B___x005f_x0000__x005f_x0004__7"/>
      <sheetName val="conc-foot-gradeslab"/>
      <sheetName val="B@___x0004_@__x0000"/>
      <sheetName val="foot-slab reinft"/>
      <sheetName val="HDPE"/>
      <sheetName val="DI"/>
      <sheetName val="pvc"/>
      <sheetName val="Civil-works"/>
      <sheetName val="ALL"/>
      <sheetName val="ANAL"/>
      <sheetName val="Data sheet"/>
      <sheetName val="BPL"/>
      <sheetName val="PCS DATA"/>
      <sheetName val="GR.slab-reinft"/>
      <sheetName val="dummy2"/>
      <sheetName val="SCHEDULE"/>
      <sheetName val="CPIPE"/>
      <sheetName val="기계내역서"/>
      <sheetName val="girder"/>
      <sheetName val="Rocker"/>
      <sheetName val="SàQa_x005f_x0005_@_x005f_x0000_"/>
      <sheetName val="간접비내역-1"/>
      <sheetName val="95삼성급(본사)"/>
      <sheetName val="BQ List"/>
      <sheetName val="OVERHEADS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Staff_Forecast_spread7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irect_cost_shed_A-2_13"/>
      <sheetName val="Staff_Forecast_sprea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irect_cost_shed_A-2_11"/>
      <sheetName val="Staff_Forecast_spread11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PRRM_Dashboard26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PRRM_Dashboard27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MFG"/>
      <sheetName val="Contract Status"/>
      <sheetName val="Budget"/>
      <sheetName val="ENCL9"/>
      <sheetName val="B@__x005f_x005f_x005f_x005F_x005f_x0000__x0"/>
      <sheetName val="PANEL ANNEXURE"/>
      <sheetName val="SANJAY_JENE120"/>
      <sheetName val="sujay_fagchi20"/>
      <sheetName val="B@_?_x0004_@?_x0000"/>
      <sheetName val="RCC-Rates"/>
      <sheetName val="Schd 8 Input"/>
      <sheetName val="Emp &amp; Trng"/>
      <sheetName val="Rate analysis- BOQ 1 "/>
      <sheetName val="p_m"/>
      <sheetName val="B@___x005f_x0004_@___$_"/>
      <sheetName val="[Spt-BH.xls]B____x005f_x0004________6"/>
      <sheetName val="[Spt-BH.xls]B___x005f_x0000__x005f_x0004__6"/>
      <sheetName val="[Spt-BH.xls][Spt-BH.xls]B____68"/>
      <sheetName val="[Spt-BH.xls][Spt-BH.xls]B____69"/>
      <sheetName val="[Spt-BH.xls][Spt-BH.xls]B____70"/>
      <sheetName val="[Spt-BH.xls][Spt-BH.xls]B____71"/>
      <sheetName val="[Spt-BH.xls]B____x005f_x0004________8"/>
      <sheetName val="[Spt-BH.xls][Spt-BH.xls]B____61"/>
      <sheetName val="[Spt-BH.xls][Spt-BH.xls]B____62"/>
      <sheetName val="[Spt-BH.xls][Spt-BH.xls]B____63"/>
      <sheetName val="[Spt-BH.xls][Spt-BH.xls]B____64"/>
      <sheetName val="[Spt-BH.xls][Spt-BH.xls]B____65"/>
      <sheetName val="[Spt-BH.xls]B___x005f_x0000__x005f_x0004__8"/>
      <sheetName val="[Spt-BH.xls][Spt-BH.xls]B____72"/>
      <sheetName val="[Spt-BH.xls][Spt-BH.xls]B____73"/>
      <sheetName val="[Spt-BH.xls][Spt-BH.xls]B____66"/>
      <sheetName val="[Spt-BH.xls][Spt-BH.xls]B____67"/>
      <sheetName val="[Spt-BH.xls][Spt-BH_xls]B____47"/>
      <sheetName val="[Spt-BH.xls][Spt-BH_xls]B____48"/>
      <sheetName val="[Spt-BH.xls][Spt-BH_xls]B____49"/>
      <sheetName val="[Spt-BH.xls][Spt-BH_xls]B____50"/>
      <sheetName val="[Spt-BH.xls][Spt-BH_xls]_Spt_17"/>
      <sheetName val="[Spt-BH.xls][Spt-BH_xls]B____51"/>
      <sheetName val="[Spt-BH.xls][Spt-BH_xls]B____52"/>
      <sheetName val="[Spt-BH.xls][Spt-BH_xls]B____53"/>
      <sheetName val="[Spt-BH.xls][Spt-BH_xls]_Spt_18"/>
      <sheetName val="[Spt-BH.xls][Spt-BH_xls]B____54"/>
      <sheetName val="[Spt-BH.xls][Spt-BH_xls]B____55"/>
      <sheetName val="[Spt-BH.xls][Spt-BH_xls]B____56"/>
      <sheetName val="[Spt-BH.xls][Spt-BH_xls]B____57"/>
      <sheetName val="[Spt-BH.xls][Spt-BH_xls]_Spt_19"/>
      <sheetName val="[Spt-BH.xls][Spt-BH_xls]B____58"/>
      <sheetName val="[Spt-BH.xls][Spt-BH_xls]B____59"/>
      <sheetName val="[Spt-BH.xls][Spt-BH_xls]_Spt_20"/>
      <sheetName val="[Spt-BH.xls][Spt-BH_xls]B____60"/>
      <sheetName val="[Spt-BH.xls][Spt-BH_xls]B____61"/>
      <sheetName val="[Spt-BH.xls][Spt-BH_xls]_Spt_21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74"/>
      <sheetName val="[Spt-BH.xls][Spt-BH.xls]B____75"/>
      <sheetName val="[Spt-BH.xls][Spt-BH.xls]_Spt_28"/>
      <sheetName val="[Spt-BH.xls][Spt-BH.xls]B____76"/>
      <sheetName val="[Spt-BH.xls][Spt-BH.xls]B____77"/>
      <sheetName val="[Spt-BH.xls][Spt-BH.xls]B____78"/>
      <sheetName val="[Spt-BH.xls][Spt-BH.xls]B____79"/>
      <sheetName val="[Spt-BH.xls][Spt-BH.xls]_Spt_27"/>
      <sheetName val="[Spt-BH.xls][Spt-BH.xls]B____81"/>
      <sheetName val="[Spt-BH.xls][Spt-BH.xls]B____82"/>
      <sheetName val="[Spt-BH.xls][Spt-BH.xls]_Spt_30"/>
      <sheetName val="[Spt-BH.xls][Spt-BH.xls]B____83"/>
      <sheetName val="[Spt-BH.xls][Spt-BH.xls]B____84"/>
      <sheetName val="[Spt-BH.xls]B____x005f_x0004________9"/>
      <sheetName val="[Spt-BH.xls]B___x005f_x0000__x005f_x0004__9"/>
      <sheetName val="[Spt-BH.xls][Spt-BH.xls]B____85"/>
      <sheetName val="[Spt-BH.xls][Spt-BH.xls]B____86"/>
      <sheetName val="[Spt-BH.xls][Spt-BH.xls]B____80"/>
      <sheetName val="[Spt-BH.xls][Spt-BH.xls]_Spt_29"/>
      <sheetName val="[Spt-BH.xls][Spt-BH_xls]B____62"/>
      <sheetName val="[Spt-BH.xls][Spt-BH_xls]B____63"/>
      <sheetName val="[Spt-BH.xls][Spt-BH_xls]B____64"/>
      <sheetName val="[Spt-BH.xls][Spt-BH_xls]B____65"/>
      <sheetName val="[Spt-BH.xls][Spt-BH_xls]_Spt_22"/>
      <sheetName val="[Spt-BH.xls][Spt-BH_xls]B____66"/>
      <sheetName val="[Spt-BH.xls][Spt-BH_xls]B____67"/>
      <sheetName val="[Spt-BH.xls][Spt-BH_xls]B____68"/>
      <sheetName val="[Spt-BH.xls][Spt-BH_xls]_Spt_23"/>
      <sheetName val="[Spt-BH.xls][Spt-BH_xls]B____69"/>
      <sheetName val="[Spt-BH.xls][Spt-BH_xls]B____70"/>
      <sheetName val="[Spt-BH.xls][Spt-BH_xls]B____71"/>
      <sheetName val="[Spt-BH.xls][Spt-BH_xls]B____72"/>
      <sheetName val="[Spt-BH.xls][Spt-BH_xls]_Spt_24"/>
      <sheetName val="[Spt-BH.xls][Spt-BH_xls]B____73"/>
      <sheetName val="[Spt-BH.xls][Spt-BH_xls]B____74"/>
      <sheetName val="[Spt-BH.xls][Spt-BH_xls]_Spt_25"/>
      <sheetName val="[Spt-BH.xls][Spt-BH_xls]B____75"/>
      <sheetName val="[Spt-BH.xls][Spt-BH_xls]B____76"/>
      <sheetName val="[Spt-BH.xls][Spt-BH_xls]_Spt_26"/>
      <sheetName val="[Spt-BH.xls][Spt-BH.xls]_Spt_33"/>
      <sheetName val="[Spt-BH.xls][Spt-BH.xls]_Spt_31"/>
      <sheetName val="[Spt-BH.xls][Spt-BH.xls]_Spt_32"/>
      <sheetName val="[Spt-BH.xls][Spt-BH.xls]_Spt_34"/>
      <sheetName val="[Spt-BH.xls][Spt-BH.xls]_Spt_35"/>
      <sheetName val="[Spt-BH.xls][Spt-BH.xls]B____87"/>
      <sheetName val="[Spt-BH.xls][Spt-BH.xls]B____88"/>
      <sheetName val="[Spt-BH.xls][Spt-BH.xls]B____89"/>
      <sheetName val="[Spt-BH.xls][Spt-BH.xls]B____90"/>
      <sheetName val="[Spt-BH.xls][Spt-BH.xls]B____91"/>
      <sheetName val="[Spt-BH.xls]B____x005f_x0004_______10"/>
      <sheetName val="[Spt-BH.xls]B___x005f_x0000__x005f_x0004_10"/>
      <sheetName val="[Spt-BH.xls][Spt-BH.xls]B____92"/>
      <sheetName val="[Spt-BH.xls][Spt-BH.xls]B____93"/>
      <sheetName val="[Spt-BH.xls][Spt-BH_xls]B____77"/>
      <sheetName val="[Spt-BH.xls][Spt-BH_xls]B____78"/>
      <sheetName val="[Spt-BH.xls][Spt-BH_xls]B____79"/>
      <sheetName val="[Spt-BH.xls][Spt-BH_xls]B____80"/>
      <sheetName val="[Spt-BH.xls][Spt-BH_xls]_Spt_27"/>
      <sheetName val="[Spt-BH.xls][Spt-BH_xls]B____81"/>
      <sheetName val="[Spt-BH.xls][Spt-BH_xls]B____82"/>
      <sheetName val="[Spt-BH.xls][Spt-BH_xls]B____83"/>
      <sheetName val="[Spt-BH.xls][Spt-BH_xls]_Spt_28"/>
      <sheetName val="[Spt-BH.xls][Spt-BH_xls]B____84"/>
      <sheetName val="[Spt-BH.xls][Spt-BH_xls]B____85"/>
      <sheetName val="[Spt-BH.xls][Spt-BH_xls]B____86"/>
      <sheetName val="[Spt-BH.xls][Spt-BH_xls]B____87"/>
      <sheetName val="[Spt-BH.xls][Spt-BH_xls]_Spt_29"/>
      <sheetName val="[Spt-BH.xls][Spt-BH.xls]_Spt_36"/>
      <sheetName val="[Spt-BH.xls][Spt-BH_xls]B____88"/>
      <sheetName val="[Spt-BH.xls][Spt-BH_xls]B____89"/>
      <sheetName val="[Spt-BH.xls][Spt-BH_xls]_Spt_30"/>
      <sheetName val="[Spt-BH.xls][Spt-BH_xls]B____90"/>
      <sheetName val="[Spt-BH.xls][Spt-BH_xls]B____91"/>
      <sheetName val="[Spt-BH.xls][Spt-BH_xls]_Spt_31"/>
      <sheetName val="[Spt-BH.xls][Spt-BH.xls]_Sp_103"/>
      <sheetName val="[Spt-BH.xls][Spt-BH.xls]B___363"/>
      <sheetName val="[Spt-BH.xls][Spt-BH.xls]B___318"/>
      <sheetName val="[Spt-BH.xls][Spt-BH.xls]B___319"/>
      <sheetName val="[Spt-BH.xls][Spt-BH.xls]_Sp_118"/>
      <sheetName val="[Spt-BH.xls][Spt-BH.xls]B___320"/>
      <sheetName val="[Spt-BH.xls][Spt-BH.xls]B___321"/>
      <sheetName val="[Spt-BH.xls][Spt-BH.xls]B___364"/>
      <sheetName val="[Spt-BH.xls][Spt-BH.xls]B___322"/>
      <sheetName val="[Spt-BH.xls][Spt-BH.xls]B___323"/>
      <sheetName val="[Spt-BH.xls][Spt-BH.xls]_Sp_104"/>
      <sheetName val="[Spt-BH.xls][Spt-BH.xls]_Sp_120"/>
      <sheetName val="[Spt-BH.xls][Spt-BH.xls]B___365"/>
      <sheetName val="[Spt-BH.xls][Spt-BH.xls]B___366"/>
      <sheetName val="[Spt-BH.xls]B____x005f_x0004_______32"/>
      <sheetName val="[Spt-BH.xls]B___x005f_x0000__x005f_x0004_29"/>
      <sheetName val="[Spt-BH.xls][Spt-BH.xls]B___367"/>
      <sheetName val="[Spt-BH.xls][Spt-BH.xls]B___368"/>
      <sheetName val="[Spt-BH.xls][Spt-BH.xls]B___324"/>
      <sheetName val="[Spt-BH.xls][Spt-BH.xls]_Sp_119"/>
      <sheetName val="[Spt-BH.xls][Spt-BH_xls]B___213"/>
      <sheetName val="[Spt-BH.xls][Spt-BH_xls]B___214"/>
      <sheetName val="[Spt-BH.xls][Spt-BH_xls]B___215"/>
      <sheetName val="[Spt-BH.xls][Spt-BH_xls]B___216"/>
      <sheetName val="[Spt-BH.xls][Spt-BH_xls]_Spt_65"/>
      <sheetName val="[Spt-BH.xls][Spt-BH_xls]B___217"/>
      <sheetName val="[Spt-BH.xls][Spt-BH_xls]B___218"/>
      <sheetName val="[Spt-BH.xls][Spt-BH_xls]B___219"/>
      <sheetName val="[Spt-BH.xls][Spt-BH_xls]_Spt_66"/>
      <sheetName val="[Spt-BH.xls][Spt-BH_xls]B___220"/>
      <sheetName val="[Spt-BH.xls][Spt-BH_xls]B___221"/>
      <sheetName val="[Spt-BH.xls][Spt-BH_xls]B___222"/>
      <sheetName val="[Spt-BH.xls][Spt-BH_xls]B___223"/>
      <sheetName val="[Spt-BH.xls][Spt-BH_xls]_Spt_67"/>
      <sheetName val="[Spt-BH.xls][Spt-BH.xls]B___111"/>
      <sheetName val="[Spt-BH.xls][Spt-BH.xls]B___112"/>
      <sheetName val="[Spt-BH.xls][Spt-BH.xls]B___113"/>
      <sheetName val="[Spt-BH.xls][Spt-BH.xls]B___114"/>
      <sheetName val="[Spt-BH.xls][Spt-BH.xls]B___115"/>
      <sheetName val="[Spt-BH.xls][Spt-BH.xls]B___116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98"/>
      <sheetName val="[Spt-BH.xls][Spt-BH.xls]B____99"/>
      <sheetName val="[Spt-BH.xls][Spt-BH.xls]B___101"/>
      <sheetName val="[Spt-BH.xls][Spt-BH.xls]B___102"/>
      <sheetName val="[Spt-BH.xls][Spt-BH.xls]B___103"/>
      <sheetName val="[Spt-BH.xls][Spt-BH.xls]B___104"/>
      <sheetName val="[Spt-BH.xls]B____x005f_x0004_______11"/>
      <sheetName val="[Spt-BH.xls]B___x005f_x0000__x005f_x0004_11"/>
      <sheetName val="[Spt-BH.xls][Spt-BH.xls]B___105"/>
      <sheetName val="[Spt-BH.xls][Spt-BH.xls]B___106"/>
      <sheetName val="[Spt-BH.xls][Spt-BH.xls]B___100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7"/>
      <sheetName val="[Spt-BH.xls][Spt-BH.xls]B___118"/>
      <sheetName val="[Spt-BH.xls][Spt-BH.xls]B___119"/>
      <sheetName val="[Spt-BH.xls][Spt-BH.xls]B___120"/>
      <sheetName val="[Spt-BH.xls][Spt-BH.xls]_Spt_38"/>
      <sheetName val="[Spt-BH.xls][Spt-BH.xls]B___121"/>
      <sheetName val="[Spt-BH.xls][Spt-BH.xls]B___122"/>
      <sheetName val="[Spt-BH.xls][Spt-BH.xls]B___123"/>
      <sheetName val="[Spt-BH.xls][Spt-BH.xls]B___124"/>
      <sheetName val="[Spt-BH.xls][Spt-BH.xls]_Spt_37"/>
      <sheetName val="[Spt-BH.xls][Spt-BH.xls]B___129"/>
      <sheetName val="[Spt-BH.xls][Spt-BH.xls]B___130"/>
      <sheetName val="[Spt-BH.xls][Spt-BH.xls]_Spt_41"/>
      <sheetName val="[Spt-BH.xls][Spt-BH.xls]B___131"/>
      <sheetName val="[Spt-BH.xls][Spt-BH.xls]B___132"/>
      <sheetName val="[Spt-BH.xls]B____x005f_x0004_______13"/>
      <sheetName val="[Spt-BH.xls][Spt-BH.xls]B___125"/>
      <sheetName val="[Spt-BH.xls][Spt-BH.xls]B___126"/>
      <sheetName val="[Spt-BH.xls][Spt-BH.xls]_Spt_39"/>
      <sheetName val="[Spt-BH.xls][Spt-BH.xls]B___127"/>
      <sheetName val="[Spt-BH.xls][Spt-BH.xls]B___128"/>
      <sheetName val="[Spt-BH.xls]B____x005f_x0004_______12"/>
      <sheetName val="[Spt-BH.xls][Spt-BH.xls]B___136"/>
      <sheetName val="[Spt-BH.xls][Spt-BH.xls]B___137"/>
      <sheetName val="[Spt-BH.xls][Spt-BH.xls]_Spt_43"/>
      <sheetName val="[Spt-BH.xls][Spt-BH.xls]B___133"/>
      <sheetName val="[Spt-BH.xls][Spt-BH.xls]B___134"/>
      <sheetName val="[Spt-BH.xls][Spt-BH.xls]B___138"/>
      <sheetName val="[Spt-BH.xls][Spt-BH.xls]B___139"/>
      <sheetName val="[Spt-BH.xls]B____x005f_x0004_______14"/>
      <sheetName val="[Spt-BH.xls]B___x005f_x0000__x005f_x0004_12"/>
      <sheetName val="[Spt-BH.xls][Spt-BH.xls]B___140"/>
      <sheetName val="[Spt-BH.xls][Spt-BH.xls]B___141"/>
      <sheetName val="[Spt-BH.xls][Spt-BH.xls]B___135"/>
      <sheetName val="[Spt-BH.xls][Spt-BH.xls]_Spt_40"/>
      <sheetName val="[Spt-BH.xls][Spt-BH.xls]_Spt_42"/>
      <sheetName val="[Spt-BH.xls][Spt-BH.xls]B___144"/>
      <sheetName val="[Spt-BH.xls][Spt-BH.xls]B___145"/>
      <sheetName val="[Spt-BH.xls][Spt-BH.xls]_Spt_46"/>
      <sheetName val="[Spt-BH.xls][Spt-BH.xls]B___146"/>
      <sheetName val="[Spt-BH.xls][Spt-BH.xls]B___147"/>
      <sheetName val="[Spt-BH.xls][Spt-BH.xls]B___142"/>
      <sheetName val="[Spt-BH.xls][Spt-BH.xls]_Spt_44"/>
      <sheetName val="[Spt-BH.xls][Spt-BH.xls]B___143"/>
      <sheetName val="[Spt-BH.xls][Spt-BH.xls]_Spt_45"/>
      <sheetName val="[Spt-BH.xls][Spt-BH.xls]B___148"/>
      <sheetName val="[Spt-BH.xls][Spt-BH.xls]B___214"/>
      <sheetName val="[Spt-BH.xls][Spt-BH.xls]B___215"/>
      <sheetName val="[Spt-BH.xls][Spt-BH.xls]_Spt_98"/>
      <sheetName val="[Spt-BH.xls][Spt-BH.xls]B___216"/>
      <sheetName val="[Spt-BH.xls][Spt-BH.xls]B___217"/>
      <sheetName val="[Spt-BH.xls]B____x005f_x0004_______15"/>
      <sheetName val="[Spt-BH.xls]B___x005f_x0000__x005f_x0004_13"/>
      <sheetName val="[Spt-BH.xls][Spt-BH.xls]B___218"/>
      <sheetName val="[Spt-BH.xls][Spt-BH.xls]B___149"/>
      <sheetName val="[Spt-BH.xls][Spt-BH.xls]B___150"/>
      <sheetName val="[Spt-BH.xls][Spt-BH.xls]_Spt_68"/>
      <sheetName val="[Spt-BH.xls][Spt-BH.xls]B___151"/>
      <sheetName val="[Spt-BH.xls][Spt-BH.xls]B___152"/>
      <sheetName val="[Spt-BH.xls][Spt-BH.xls]B___219"/>
      <sheetName val="[Spt-BH.xls][Spt-BH.xls]_Spt_47"/>
      <sheetName val="[Spt-BH.xls][Spt-BH.xls]B___153"/>
      <sheetName val="[Spt-BH.xls][Spt-BH.xls]B___154"/>
      <sheetName val="[Spt-BH.xls][Spt-BH.xls]B___155"/>
      <sheetName val="[Spt-BH.xls][Spt-BH.xls]_Spt_48"/>
      <sheetName val="[Spt-BH.xls][Spt-BH.xls]_Spt_69"/>
      <sheetName val="[Spt-BH.xls][Spt-BH_xls]B____92"/>
      <sheetName val="[Spt-BH.xls][Spt-BH_xls]B____93"/>
      <sheetName val="[Spt-BH.xls][Spt-BH_xls]B____94"/>
      <sheetName val="[Spt-BH.xls][Spt-BH_xls]B____95"/>
      <sheetName val="[Spt-BH.xls][Spt-BH_xls]B____96"/>
      <sheetName val="[Spt-BH.xls][Spt-BH_xls]B____97"/>
      <sheetName val="[Spt-BH.xls][Spt-BH_xls]B____98"/>
      <sheetName val="[Spt-BH.xls][Spt-BH_xls]_Spt_32"/>
      <sheetName val="[Spt-BH.xls][Spt-BH_xls]B____99"/>
      <sheetName val="[Spt-BH.xls][Spt-BH_xls]B___100"/>
      <sheetName val="[Spt-BH.xls][Spt-BH_xls]_Spt_33"/>
      <sheetName val="[Spt-BH.xls][Spt-BH_xls]B___101"/>
      <sheetName val="[Spt-BH.xls][Spt-BH_xls]B___102"/>
      <sheetName val="[Spt-BH.xls][Spt-BH_xls]_Spt_34"/>
      <sheetName val="[Spt-BH.xls][Spt-BH.xls]B___305"/>
      <sheetName val="[Spt-BH.xls][Spt-BH.xls]B___306"/>
      <sheetName val="[Spt-BH.xls][Spt-BH.xls]B___307"/>
      <sheetName val="[Spt-BH.xls][Spt-BH.xls]B___308"/>
      <sheetName val="[Spt-BH.xls]B____x005f_x0004_______22"/>
      <sheetName val="[Spt-BH.xls]B___x005f_x0000__x005f_x0004_20"/>
      <sheetName val="[Spt-BH.xls][Spt-BH.xls]B___309"/>
      <sheetName val="[Spt-BH.xls][Spt-BH.xls]B___310"/>
      <sheetName val="[Spt-BH.xls][Spt-BH.xls]B___220"/>
      <sheetName val="[Spt-BH.xls][Spt-BH.xls]B___174"/>
      <sheetName val="[Spt-BH.xls][Spt-BH.xls]B___175"/>
      <sheetName val="[Spt-BH.xls][Spt-BH.xls]B___176"/>
      <sheetName val="[Spt-BH.xls][Spt-BH.xls]B___177"/>
      <sheetName val="[Spt-BH.xls][Spt-BH.xls]B___178"/>
      <sheetName val="[Spt-BH.xls][Spt-BH.xls]_Spt_55"/>
      <sheetName val="[Spt-BH.xls][Spt-BH.xls]B___179"/>
      <sheetName val="[Spt-BH.xls][Spt-BH.xls]_Spt_56"/>
      <sheetName val="[Spt-BH.xls][Spt-BH.xls]B___156"/>
      <sheetName val="[Spt-BH.xls][Spt-BH.xls]B___157"/>
      <sheetName val="[Spt-BH.xls][Spt-BH.xls]_Spt_49"/>
      <sheetName val="[Spt-BH.xls][Spt-BH.xls]B___158"/>
      <sheetName val="[Spt-BH.xls][Spt-BH.xls]B___159"/>
      <sheetName val="[Spt-BH.xls]B____x005f_x0004_______16"/>
      <sheetName val="[Spt-BH.xls]B___x005f_x0000__x005f_x0004_14"/>
      <sheetName val="[Spt-BH.xls][Spt-BH.xls]B___160"/>
      <sheetName val="[Spt-BH.xls][Spt-BH.xls]B___161"/>
      <sheetName val="[Spt-BH.xls][Spt-BH.xls]_Spt_50"/>
      <sheetName val="[Spt-BH.xls][Spt-BH.xls]B___162"/>
      <sheetName val="[Spt-BH.xls][Spt-BH.xls]B___163"/>
      <sheetName val="[Spt-BH.xls][Spt-BH.xls]_Spt_52"/>
      <sheetName val="[Spt-BH.xls][Spt-BH.xls]B___164"/>
      <sheetName val="[Spt-BH.xls][Spt-BH.xls]B___165"/>
      <sheetName val="[Spt-BH.xls][Spt-BH.xls]B___166"/>
      <sheetName val="[Spt-BH.xls][Spt-BH.xls]B___167"/>
      <sheetName val="[Spt-BH.xls][Spt-BH.xls]_Spt_51"/>
      <sheetName val="[Spt-BH.xls][Spt-BH.xls]B___168"/>
      <sheetName val="[Spt-BH.xls][Spt-BH.xls]B___169"/>
      <sheetName val="[Spt-BH.xls][Spt-BH.xls]B___170"/>
      <sheetName val="[Spt-BH.xls][Spt-BH.xls]B___171"/>
      <sheetName val="[Spt-BH.xls][Spt-BH.xls]B___172"/>
      <sheetName val="[Spt-BH.xls][Spt-BH.xls]_Spt_53"/>
      <sheetName val="[Spt-BH.xls][Spt-BH.xls]B___173"/>
      <sheetName val="[Spt-BH.xls][Spt-BH.xls]_Spt_54"/>
      <sheetName val="[Spt-BH.xls]B____x005f_x0004_______17"/>
      <sheetName val="[Spt-BH.xls]B___x005f_x0000__x005f_x0004_15"/>
      <sheetName val="[Spt-BH.xls][Spt-BH.xls]_Spt_57"/>
      <sheetName val="[Spt-BH.xls][Spt-BH.xls]B___180"/>
      <sheetName val="[Spt-BH.xls][Spt-BH.xls]B___181"/>
      <sheetName val="[Spt-BH.xls][Spt-BH.xls]B___182"/>
      <sheetName val="[Spt-BH.xls][Spt-BH.xls]B___183"/>
      <sheetName val="[Spt-BH.xls][Spt-BH.xls]B___184"/>
      <sheetName val="[Spt-BH.xls][Spt-BH.xls]B___185"/>
      <sheetName val="[Spt-BH.xls][Spt-BH.xls]_Spt_58"/>
      <sheetName val="[Spt-BH.xls]B____x005f_x0004_______18"/>
      <sheetName val="[Spt-BH.xls]B___x005f_x0000__x005f_x0004_16"/>
      <sheetName val="[Spt-BH.xls][Spt-BH.xls]B___186"/>
      <sheetName val="[Spt-BH.xls][Spt-BH.xls]_Spt_99"/>
      <sheetName val="[Spt-BH.xls][Spt-BH_xls]B___136"/>
      <sheetName val="[Spt-BH.xls][Spt-BH_xls]B___137"/>
      <sheetName val="[Spt-BH.xls][Spt-BH_xls]B___138"/>
      <sheetName val="[Spt-BH.xls][Spt-BH_xls]B___139"/>
      <sheetName val="[Spt-BH.xls][Spt-BH_xls]_Spt_44"/>
      <sheetName val="[Spt-BH.xls][Spt-BH_xls]B___140"/>
      <sheetName val="[Spt-BH.xls][Spt-BH_xls]B___141"/>
      <sheetName val="[Spt-BH.xls][Spt-BH_xls]B___142"/>
      <sheetName val="[Spt-BH.xls][Spt-BH_xls]_Spt_45"/>
      <sheetName val="[Spt-BH.xls][Spt-BH_xls]B___143"/>
      <sheetName val="[Spt-BH.xls][Spt-BH_xls]B___144"/>
      <sheetName val="[Spt-BH.xls][Spt-BH_xls]B___145"/>
      <sheetName val="[Spt-BH.xls][Spt-BH_xls]B___146"/>
      <sheetName val="[Spt-BH.xls][Spt-BH_xls]_Spt_46"/>
      <sheetName val="[Spt-BH.xls][Spt-BH.xls]_Spt_60"/>
      <sheetName val="[Spt-BH.xls][Spt-BH.xls]_Spt_59"/>
      <sheetName val="[Spt-BH.xls][Spt-BH.xls]B___187"/>
      <sheetName val="[Spt-BH.xls][Spt-BH.xls]B___188"/>
      <sheetName val="[Spt-BH.xls][Spt-BH.xls]_Spt_61"/>
      <sheetName val="[Spt-BH.xls][Spt-BH.xls]B___189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B___195"/>
      <sheetName val="[Spt-BH.xls][Spt-BH.xls]B___196"/>
      <sheetName val="[Spt-BH.xls][Spt-BH.xls]B___197"/>
      <sheetName val="[Spt-BH.xls][Spt-BH.xls]_Spt_62"/>
      <sheetName val="[Spt-BH.xls][Spt-BH.xls]B___198"/>
      <sheetName val="[Spt-BH.xls][Spt-BH.xls]_Spt_63"/>
      <sheetName val="[Spt-BH.xls]B____x005f_x0004_______19"/>
      <sheetName val="[Spt-BH.xls]B___x005f_x0000__x005f_x0004_17"/>
      <sheetName val="[Spt-BH.xls][Spt-BH.xls]B___199"/>
      <sheetName val="[Spt-BH.xls][Spt-BH_xls]B___103"/>
      <sheetName val="[Spt-BH.xls][Spt-BH_xls]B___104"/>
      <sheetName val="[Spt-BH.xls][Spt-BH_xls]B___105"/>
      <sheetName val="[Spt-BH.xls][Spt-BH_xls]B___106"/>
      <sheetName val="[Spt-BH.xls][Spt-BH_xls]_Spt_35"/>
      <sheetName val="[Spt-BH.xls][Spt-BH_xls]B___107"/>
      <sheetName val="[Spt-BH.xls][Spt-BH_xls]B___108"/>
      <sheetName val="[Spt-BH.xls][Spt-BH_xls]B___109"/>
      <sheetName val="[Spt-BH.xls][Spt-BH_xls]_Spt_36"/>
      <sheetName val="[Spt-BH.xls][Spt-BH_xls]B___110"/>
      <sheetName val="[Spt-BH.xls][Spt-BH_xls]B___111"/>
      <sheetName val="[Spt-BH.xls][Spt-BH_xls]B___112"/>
      <sheetName val="[Spt-BH.xls][Spt-BH_xls]B___113"/>
      <sheetName val="[Spt-BH.xls][Spt-BH_xls]_Spt_37"/>
      <sheetName val="[Spt-BH.xls][Spt-BH.xls]B___200"/>
      <sheetName val="[Spt-BH.xls][Spt-BH.xls]B___201"/>
      <sheetName val="[Spt-BH.xls][Spt-BH.xls]B___202"/>
      <sheetName val="[Spt-BH.xls][Spt-BH.xls]B___203"/>
      <sheetName val="[Spt-BH.xls][Spt-BH.xls]B___204"/>
      <sheetName val="[Spt-BH.xls][Spt-BH.xls]_Spt_64"/>
      <sheetName val="[Spt-BH.xls][Spt-BH.xls]B___205"/>
      <sheetName val="[Spt-BH.xls][Spt-BH.xls]_Spt_65"/>
      <sheetName val="[Spt-BH.xls]B____x005f_x0004_______20"/>
      <sheetName val="[Spt-BH.xls]B___x005f_x0000__x005f_x0004_18"/>
      <sheetName val="[Spt-BH.xls][Spt-BH.xls]B___206"/>
      <sheetName val="[Spt-BH.xls][Spt-BH_xls]B___114"/>
      <sheetName val="[Spt-BH.xls][Spt-BH_xls]B___115"/>
      <sheetName val="[Spt-BH.xls][Spt-BH_xls]B___116"/>
      <sheetName val="[Spt-BH.xls][Spt-BH_xls]B___117"/>
      <sheetName val="[Spt-BH.xls][Spt-BH_xls]_Spt_38"/>
      <sheetName val="[Spt-BH.xls][Spt-BH_xls]B___118"/>
      <sheetName val="[Spt-BH.xls][Spt-BH_xls]B___119"/>
      <sheetName val="[Spt-BH.xls][Spt-BH_xls]B___120"/>
      <sheetName val="[Spt-BH.xls][Spt-BH_xls]_Spt_39"/>
      <sheetName val="[Spt-BH.xls][Spt-BH_xls]B___121"/>
      <sheetName val="[Spt-BH.xls][Spt-BH_xls]B___122"/>
      <sheetName val="[Spt-BH.xls][Spt-BH_xls]B___123"/>
      <sheetName val="[Spt-BH.xls][Spt-BH_xls]B___124"/>
      <sheetName val="[Spt-BH.xls][Spt-BH_xls]_Spt_40"/>
      <sheetName val="[Spt-BH.xls][Spt-BH.xls]B___207"/>
      <sheetName val="[Spt-BH.xls][Spt-BH.xls]B___208"/>
      <sheetName val="[Spt-BH.xls][Spt-BH.xls]B___209"/>
      <sheetName val="[Spt-BH.xls][Spt-BH.xls]B___210"/>
      <sheetName val="[Spt-BH.xls][Spt-BH.xls]B___211"/>
      <sheetName val="[Spt-BH.xls][Spt-BH.xls]_Spt_66"/>
      <sheetName val="[Spt-BH.xls][Spt-BH.xls]B___212"/>
      <sheetName val="[Spt-BH.xls][Spt-BH.xls]_Spt_67"/>
      <sheetName val="[Spt-BH.xls]B____x005f_x0004_______21"/>
      <sheetName val="[Spt-BH.xls]B___x005f_x0000__x005f_x0004_19"/>
      <sheetName val="[Spt-BH.xls][Spt-BH.xls]B___213"/>
      <sheetName val="[Spt-BH.xls][Spt-BH_xls]B___125"/>
      <sheetName val="[Spt-BH.xls][Spt-BH_xls]B___126"/>
      <sheetName val="[Spt-BH.xls][Spt-BH_xls]B___127"/>
      <sheetName val="[Spt-BH.xls][Spt-BH_xls]B___128"/>
      <sheetName val="[Spt-BH.xls][Spt-BH_xls]_Spt_41"/>
      <sheetName val="[Spt-BH.xls][Spt-BH_xls]B___129"/>
      <sheetName val="[Spt-BH.xls][Spt-BH_xls]B___130"/>
      <sheetName val="[Spt-BH.xls][Spt-BH_xls]B___131"/>
      <sheetName val="[Spt-BH.xls][Spt-BH_xls]_Spt_42"/>
      <sheetName val="[Spt-BH.xls][Spt-BH_xls]B___132"/>
      <sheetName val="[Spt-BH.xls][Spt-BH_xls]B___133"/>
      <sheetName val="[Spt-BH.xls][Spt-BH_xls]B___134"/>
      <sheetName val="[Spt-BH.xls][Spt-BH_xls]B___135"/>
      <sheetName val="[Spt-BH.xls][Spt-BH_xls]_Spt_43"/>
      <sheetName val="[Spt-BH.xls][Spt-BH.xls]_Spt_81"/>
      <sheetName val="[Spt-BH.xls][Spt-BH.xls]B___245"/>
      <sheetName val="[Spt-BH.xls][Spt-BH.xls]B___246"/>
      <sheetName val="[Spt-BH.xls][Spt-BH.xls]_Spt_83"/>
      <sheetName val="[Spt-BH.xls][Spt-BH.xls]B___247"/>
      <sheetName val="[Spt-BH.xls][Spt-BH.xls]B___248"/>
      <sheetName val="[Spt-BH.xls][Spt-BH.xls]B___249"/>
      <sheetName val="[Spt-BH.xls][Spt-BH.xls]B___250"/>
      <sheetName val="[Spt-BH.xls][Spt-BH.xls]_Spt_82"/>
      <sheetName val="[Spt-BH.xls][Spt-BH.xls]_Spt_79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B___244"/>
      <sheetName val="[Spt-BH.xls][Spt-BH.xls]_Spt_80"/>
      <sheetName val="[Spt-BH.xls][Spt-BH.xls]_Spt_74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[Spt-BH.xls]B___232"/>
      <sheetName val="[Spt-BH.xls][Spt-BH.xls]_Spt_75"/>
      <sheetName val="[Spt-BH.xls]B____x005f_x0004_______24"/>
      <sheetName val="[Spt-BH.xls]B____x005f_x0004_______23"/>
      <sheetName val="[Spt-BH.xls]B___x005f_x0000__x005f_x0004_21"/>
      <sheetName val="[Spt-BH.xls][Spt-BH.xls]_Spt_70"/>
      <sheetName val="[Spt-BH.xls][Spt-BH.xls]_Spt_71"/>
      <sheetName val="[Spt-BH.xls][Spt-BH.xls]B___221"/>
      <sheetName val="[Spt-BH.xls][Spt-BH.xls]B___222"/>
      <sheetName val="[Spt-BH.xls][Spt-BH.xls]_Spt_73"/>
      <sheetName val="[Spt-BH.xls][Spt-BH.xls]B___223"/>
      <sheetName val="[Spt-BH.xls][Spt-BH.xls]B___224"/>
      <sheetName val="[Spt-BH.xls][Spt-BH.xls]B___225"/>
      <sheetName val="[Spt-BH.xls][Spt-BH.xls]B___226"/>
      <sheetName val="[Spt-BH.xls][Spt-BH.xls]_Spt_72"/>
      <sheetName val="[Spt-BH.xls][Spt-BH.xls]_Spt_76"/>
      <sheetName val="[Spt-BH.xls][Spt-BH.xls]B___233"/>
      <sheetName val="[Spt-BH.xls][Spt-BH.xls]B___234"/>
      <sheetName val="[Spt-BH.xls][Spt-BH.xls]_Spt_78"/>
      <sheetName val="[Spt-BH.xls][Spt-BH.xls]B___235"/>
      <sheetName val="[Spt-BH.xls][Spt-BH.xls]B___236"/>
      <sheetName val="[Spt-BH.xls][Spt-BH.xls]B___237"/>
      <sheetName val="[Spt-BH.xls][Spt-BH.xls]B___238"/>
      <sheetName val="[Spt-BH.xls][Spt-BH.xls]_Spt_77"/>
      <sheetName val="[Spt-BH.xls][Spt-BH.xls]B___252"/>
      <sheetName val="[Spt-BH.xls][Spt-BH.xls]B___253"/>
      <sheetName val="[Spt-BH.xls][Spt-BH.xls]B___254"/>
      <sheetName val="[Spt-BH.xls][Spt-BH.xls]B___255"/>
      <sheetName val="[Spt-BH.xls]B____x005f_x0004_______25"/>
      <sheetName val="[Spt-BH.xls]B___x005f_x0000__x005f_x0004_22"/>
      <sheetName val="[Spt-BH.xls][Spt-BH.xls]B___256"/>
      <sheetName val="[Spt-BH.xls][Spt-BH.xls]B___257"/>
      <sheetName val="[Spt-BH.xls][Spt-BH.xls]B___251"/>
      <sheetName val="[Spt-BH.xls]B____x005f_x0004_______31"/>
      <sheetName val="[Spt-BH.xls]B___x005f_x0000__x005f_x0004_28"/>
      <sheetName val="[Spt-BH.xls][Spt-BH.xls]B___311"/>
      <sheetName val="[Spt-BH.xls][Spt-BH_xls]B___202"/>
      <sheetName val="[Spt-BH.xls][Spt-BH_xls]B___203"/>
      <sheetName val="[Spt-BH.xls][Spt-BH_xls]B___204"/>
      <sheetName val="[Spt-BH.xls][Spt-BH_xls]B___205"/>
      <sheetName val="[Spt-BH.xls][Spt-BH_xls]_Spt_62"/>
      <sheetName val="[Spt-BH.xls][Spt-BH_xls]B___206"/>
      <sheetName val="[Spt-BH.xls][Spt-BH_xls]B___207"/>
      <sheetName val="[Spt-BH.xls][Spt-BH_xls]B___208"/>
      <sheetName val="[Spt-BH.xls][Spt-BH_xls]_Spt_63"/>
      <sheetName val="[Spt-BH.xls][Spt-BH_xls]B___209"/>
      <sheetName val="[Spt-BH.xls][Spt-BH_xls]B___210"/>
      <sheetName val="[Spt-BH.xls][Spt-BH_xls]B___211"/>
      <sheetName val="[Spt-BH.xls][Spt-BH_xls]B___212"/>
      <sheetName val="[Spt-BH.xls][Spt-BH_xls]_Spt_64"/>
      <sheetName val="[Spt-BH.xls][Spt-BH.xls]_Spt_84"/>
      <sheetName val="[Spt-BH.xls][Spt-BH.xls]B___258"/>
      <sheetName val="[Spt-BH.xls][Spt-BH.xls]B___259"/>
      <sheetName val="[Spt-BH.xls][Spt-BH.xls]B___260"/>
      <sheetName val="[Spt-BH.xls][Spt-BH.xls]B___261"/>
      <sheetName val="[Spt-BH.xls][Spt-BH.xls]B___262"/>
      <sheetName val="[Spt-BH.xls][Spt-BH.xls]B___263"/>
      <sheetName val="[Spt-BH.xls][Spt-BH.xls]_Spt_85"/>
      <sheetName val="[Spt-BH.xls]B____x005f_x0004_______26"/>
      <sheetName val="[Spt-BH.xls]B___x005f_x0000__x005f_x0004_23"/>
      <sheetName val="[Spt-BH.xls][Spt-BH.xls]B___264"/>
      <sheetName val="[Spt-BH.xls][Spt-BH_xls]B___147"/>
      <sheetName val="[Spt-BH.xls][Spt-BH_xls]B___148"/>
      <sheetName val="[Spt-BH.xls][Spt-BH_xls]B___149"/>
      <sheetName val="[Spt-BH.xls][Spt-BH_xls]B___150"/>
      <sheetName val="[Spt-BH.xls][Spt-BH_xls]_Spt_47"/>
      <sheetName val="[Spt-BH.xls][Spt-BH_xls]B___151"/>
      <sheetName val="[Spt-BH.xls][Spt-BH_xls]B___152"/>
      <sheetName val="[Spt-BH.xls][Spt-BH_xls]B___153"/>
      <sheetName val="[Spt-BH.xls][Spt-BH_xls]_Spt_48"/>
      <sheetName val="[Spt-BH.xls][Spt-BH_xls]B___154"/>
      <sheetName val="[Spt-BH.xls][Spt-BH_xls]B___155"/>
      <sheetName val="[Spt-BH.xls][Spt-BH_xls]B___156"/>
      <sheetName val="[Spt-BH.xls][Spt-BH_xls]B___157"/>
      <sheetName val="[Spt-BH.xls][Spt-BH_xls]_Spt_49"/>
      <sheetName val="[Spt-BH.xls][Spt-BH.xls]_Spt_86"/>
      <sheetName val="[Spt-BH.xls][Spt-BH.xls]B___265"/>
      <sheetName val="[Spt-BH.xls][Spt-BH.xls]B___266"/>
      <sheetName val="[Spt-BH.xls][Spt-BH.xls]B___267"/>
      <sheetName val="[Spt-BH.xls][Spt-BH.xls]B___268"/>
      <sheetName val="[Spt-BH.xls][Spt-BH.xls]B___269"/>
      <sheetName val="[Spt-BH.xls][Spt-BH.xls]B___270"/>
      <sheetName val="[Spt-BH.xls][Spt-BH.xls]_Spt_87"/>
      <sheetName val="[Spt-BH.xls]B____x005f_x0004_______27"/>
      <sheetName val="[Spt-BH.xls]B___x005f_x0000__x005f_x0004_24"/>
      <sheetName val="[Spt-BH.xls][Spt-BH.xls]B___271"/>
      <sheetName val="[Spt-BH.xls][Spt-BH_xls]B___158"/>
      <sheetName val="[Spt-BH.xls][Spt-BH_xls]B___159"/>
      <sheetName val="[Spt-BH.xls][Spt-BH_xls]B___160"/>
      <sheetName val="[Spt-BH.xls][Spt-BH_xls]B___161"/>
      <sheetName val="[Spt-BH.xls][Spt-BH_xls]_Spt_50"/>
      <sheetName val="[Spt-BH.xls][Spt-BH_xls]B___162"/>
      <sheetName val="[Spt-BH.xls][Spt-BH_xls]B___163"/>
      <sheetName val="[Spt-BH.xls][Spt-BH_xls]B___164"/>
      <sheetName val="[Spt-BH.xls][Spt-BH_xls]_Spt_51"/>
      <sheetName val="[Spt-BH.xls][Spt-BH_xls]B___165"/>
      <sheetName val="[Spt-BH.xls][Spt-BH_xls]B___166"/>
      <sheetName val="[Spt-BH.xls][Spt-BH_xls]B___167"/>
      <sheetName val="[Spt-BH.xls][Spt-BH_xls]B___168"/>
      <sheetName val="[Spt-BH.xls][Spt-BH_xls]_Spt_52"/>
      <sheetName val="[Spt-BH.xls][Spt-BH.xls]_Spt_88"/>
      <sheetName val="[Spt-BH.xls][Spt-BH.xls]B___272"/>
      <sheetName val="[Spt-BH.xls][Spt-BH.xls]B___273"/>
      <sheetName val="[Spt-BH.xls][Spt-BH.xls]B___274"/>
      <sheetName val="[Spt-BH.xls][Spt-BH.xls]B___275"/>
      <sheetName val="[Spt-BH.xls][Spt-BH.xls]B___276"/>
      <sheetName val="[Spt-BH.xls][Spt-BH.xls]B___277"/>
      <sheetName val="[Spt-BH.xls][Spt-BH.xls]_Spt_89"/>
      <sheetName val="[Spt-BH.xls]B____x005f_x0004_______28"/>
      <sheetName val="[Spt-BH.xls]B___x005f_x0000__x005f_x0004_25"/>
      <sheetName val="[Spt-BH.xls][Spt-BH.xls]B___278"/>
      <sheetName val="[Spt-BH.xls][Spt-BH_xls]B___169"/>
      <sheetName val="[Spt-BH.xls][Spt-BH_xls]B___170"/>
      <sheetName val="[Spt-BH.xls][Spt-BH_xls]B___171"/>
      <sheetName val="[Spt-BH.xls][Spt-BH_xls]B___172"/>
      <sheetName val="[Spt-BH.xls][Spt-BH_xls]_Spt_53"/>
      <sheetName val="[Spt-BH.xls][Spt-BH_xls]B___173"/>
      <sheetName val="[Spt-BH.xls][Spt-BH_xls]B___174"/>
      <sheetName val="[Spt-BH.xls][Spt-BH_xls]B___175"/>
      <sheetName val="[Spt-BH.xls][Spt-BH_xls]_Spt_54"/>
      <sheetName val="[Spt-BH.xls][Spt-BH_xls]B___176"/>
      <sheetName val="[Spt-BH.xls][Spt-BH_xls]B___177"/>
      <sheetName val="[Spt-BH.xls][Spt-BH_xls]B___178"/>
      <sheetName val="[Spt-BH.xls][Spt-BH_xls]B___179"/>
      <sheetName val="[Spt-BH.xls][Spt-BH_xls]_Spt_55"/>
      <sheetName val="[Spt-BH.xls][Spt-BH.xls]_Spt_90"/>
      <sheetName val="[Spt-BH.xls][Spt-BH.xls]B___279"/>
      <sheetName val="[Spt-BH.xls][Spt-BH.xls]B___280"/>
      <sheetName val="[Spt-BH.xls][Spt-BH.xls]B___281"/>
      <sheetName val="[Spt-BH.xls][Spt-BH.xls]B___282"/>
      <sheetName val="[Spt-BH.xls][Spt-BH.xls]B___283"/>
      <sheetName val="[Spt-BH.xls][Spt-BH.xls]B___284"/>
      <sheetName val="[Spt-BH.xls][Spt-BH.xls]_Spt_91"/>
      <sheetName val="[Spt-BH.xls]B____x005f_x0004_______29"/>
      <sheetName val="[Spt-BH.xls]B___x005f_x0000__x005f_x0004_26"/>
      <sheetName val="[Spt-BH.xls][Spt-BH.xls]B___285"/>
      <sheetName val="[Spt-BH.xls][Spt-BH_xls]B___180"/>
      <sheetName val="[Spt-BH.xls][Spt-BH_xls]B___181"/>
      <sheetName val="[Spt-BH.xls][Spt-BH_xls]B___182"/>
      <sheetName val="[Spt-BH.xls][Spt-BH_xls]B___183"/>
      <sheetName val="[Spt-BH.xls][Spt-BH_xls]_Spt_56"/>
      <sheetName val="[Spt-BH.xls][Spt-BH_xls]B___184"/>
      <sheetName val="[Spt-BH.xls][Spt-BH_xls]B___185"/>
      <sheetName val="[Spt-BH.xls][Spt-BH_xls]B___186"/>
      <sheetName val="[Spt-BH.xls][Spt-BH_xls]_Spt_57"/>
      <sheetName val="[Spt-BH.xls][Spt-BH_xls]B___187"/>
      <sheetName val="[Spt-BH.xls][Spt-BH_xls]B___188"/>
      <sheetName val="[Spt-BH.xls][Spt-BH_xls]B___189"/>
      <sheetName val="[Spt-BH.xls][Spt-BH_xls]B___190"/>
      <sheetName val="[Spt-BH.xls][Spt-BH_xls]_Spt_58"/>
      <sheetName val="[Spt-BH.xls][Spt-BH.xls]_Spt_92"/>
      <sheetName val="[Spt-BH.xls][Spt-BH.xls]B___286"/>
      <sheetName val="[Spt-BH.xls][Spt-BH.xls]B___287"/>
      <sheetName val="[Spt-BH.xls][Spt-BH.xls]_Spt_96"/>
      <sheetName val="[Spt-BH.xls][Spt-BH.xls]B___288"/>
      <sheetName val="[Spt-BH.xls][Spt-BH.xls]B___289"/>
      <sheetName val="[Spt-BH.xls][Spt-BH.xls]B___290"/>
      <sheetName val="[Spt-BH.xls][Spt-BH.xls]B___291"/>
      <sheetName val="[Spt-BH.xls][Spt-BH.xls]_Spt_93"/>
      <sheetName val="[Spt-BH.xls][Spt-BH.xls]B___299"/>
      <sheetName val="[Spt-BH.xls][Spt-BH.xls]B___300"/>
      <sheetName val="[Spt-BH.xls][Spt-BH.xls]B___301"/>
      <sheetName val="[Spt-BH.xls][Spt-BH.xls]B___302"/>
      <sheetName val="[Spt-BH.xls]B____x005f_x0004_______30"/>
      <sheetName val="[Spt-BH.xls]B___x005f_x0000__x005f_x0004_27"/>
      <sheetName val="[Spt-BH.xls][Spt-BH.xls]B___303"/>
      <sheetName val="[Spt-BH.xls][Spt-BH.xls]B___304"/>
      <sheetName val="[Spt-BH.xls][Spt-BH.xls]B___292"/>
      <sheetName val="[Spt-BH.xls][Spt-BH.xls]_Spt_97"/>
      <sheetName val="[Spt-BH.xls][Spt-BH_xls]B___191"/>
      <sheetName val="[Spt-BH.xls][Spt-BH_xls]B___192"/>
      <sheetName val="[Spt-BH.xls][Spt-BH_xls]B___193"/>
      <sheetName val="[Spt-BH.xls][Spt-BH_xls]B___194"/>
      <sheetName val="[Spt-BH.xls][Spt-BH_xls]_Spt_59"/>
      <sheetName val="[Spt-BH.xls][Spt-BH_xls]B___195"/>
      <sheetName val="[Spt-BH.xls][Spt-BH_xls]B___196"/>
      <sheetName val="[Spt-BH.xls][Spt-BH_xls]B___197"/>
      <sheetName val="[Spt-BH.xls][Spt-BH_xls]_Spt_60"/>
      <sheetName val="[Spt-BH.xls][Spt-BH_xls]B___198"/>
      <sheetName val="[Spt-BH.xls][Spt-BH_xls]B___199"/>
      <sheetName val="[Spt-BH.xls][Spt-BH_xls]B___200"/>
      <sheetName val="[Spt-BH.xls][Spt-BH_xls]B___201"/>
      <sheetName val="[Spt-BH.xls][Spt-BH_xls]_Spt_61"/>
      <sheetName val="[Spt-BH.xls][Spt-BH.xls]_Spt_94"/>
      <sheetName val="[Spt-BH.xls][Spt-BH.xls]B___293"/>
      <sheetName val="[Spt-BH.xls][Spt-BH.xls]B___294"/>
      <sheetName val="[Spt-BH.xls][Spt-BH.xls]B___295"/>
      <sheetName val="[Spt-BH.xls][Spt-BH.xls]B___296"/>
      <sheetName val="[Spt-BH.xls][Spt-BH.xls]B___297"/>
      <sheetName val="[Spt-BH.xls][Spt-BH.xls]B___298"/>
      <sheetName val="[Spt-BH.xls][Spt-BH.xls]_Spt_95"/>
      <sheetName val="[Spt-BH.xls][Spt-BH.xls]_Sp_100"/>
      <sheetName val="[Spt-BH.xls][Spt-BH.xls]B___312"/>
      <sheetName val="[Spt-BH.xls][Spt-BH.xls]B___313"/>
      <sheetName val="[Spt-BH.xls][Spt-BH.xls]_Sp_102"/>
      <sheetName val="[Spt-BH.xls][Spt-BH.xls]B___314"/>
      <sheetName val="[Spt-BH.xls][Spt-BH.xls]B___315"/>
      <sheetName val="[Spt-BH.xls][Spt-BH.xls]B___316"/>
      <sheetName val="[Spt-BH.xls][Spt-BH.xls]B___317"/>
      <sheetName val="[Spt-BH.xls][Spt-BH.xls]_Sp_101"/>
      <sheetName val="[Spt-BH.xls][Spt-BH.xls]_Sp_109"/>
      <sheetName val="[Spt-BH.xls][Spt-BH.xls]B___344"/>
      <sheetName val="[Spt-BH.xls][Spt-BH.xls]B___337"/>
      <sheetName val="[Spt-BH.xls][Spt-BH.xls]B___338"/>
      <sheetName val="[Spt-BH.xls][Spt-BH.xls]_Sp_111"/>
      <sheetName val="[Spt-BH.xls][Spt-BH.xls]B___339"/>
      <sheetName val="[Spt-BH.xls][Spt-BH.xls]B___340"/>
      <sheetName val="[Spt-BH.xls][Spt-BH.xls]B___345"/>
      <sheetName val="[Spt-BH.xls][Spt-BH.xls]B___341"/>
      <sheetName val="[Spt-BH.xls][Spt-BH.xls]B___342"/>
      <sheetName val="[Spt-BH.xls][Spt-BH.xls]_Sp_110"/>
      <sheetName val="[Spt-BH.xls][Spt-BH.xls]B___346"/>
      <sheetName val="[Spt-BH.xls][Spt-BH.xls]B___347"/>
      <sheetName val="[Spt-BH.xls]B____x005f_x0004_______33"/>
      <sheetName val="[Spt-BH.xls]B___x005f_x0000__x005f_x0004_30"/>
      <sheetName val="[Spt-BH.xls][Spt-BH.xls]B___348"/>
      <sheetName val="[Spt-BH.xls][Spt-BH.xls]B___349"/>
      <sheetName val="[Spt-BH.xls][Spt-BH.xls]B___343"/>
      <sheetName val="[Spt-BH.xls][Spt-BH.xls]_Sp_112"/>
      <sheetName val="[Spt-BH.xls][Spt-BH_xls]B___224"/>
      <sheetName val="[Spt-BH.xls][Spt-BH_xls]B___225"/>
      <sheetName val="[Spt-BH.xls][Spt-BH_xls]B___226"/>
      <sheetName val="[Spt-BH.xls][Spt-BH_xls]B___227"/>
      <sheetName val="[Spt-BH.xls][Spt-BH_xls]_Spt_68"/>
      <sheetName val="[Spt-BH.xls][Spt-BH_xls]B___228"/>
      <sheetName val="[Spt-BH.xls][Spt-BH_xls]B___229"/>
      <sheetName val="[Spt-BH.xls][Spt-BH_xls]B___230"/>
      <sheetName val="[Spt-BH.xls][Spt-BH_xls]_Spt_69"/>
      <sheetName val="[Spt-BH.xls][Spt-BH_xls]B___231"/>
      <sheetName val="[Spt-BH.xls][Spt-BH_xls]B___232"/>
      <sheetName val="[Spt-BH.xls][Spt-BH_xls]B___233"/>
      <sheetName val="[Spt-BH.xls][Spt-BH_xls]B___234"/>
      <sheetName val="[Spt-BH.xls][Spt-BH_xls]_Spt_70"/>
      <sheetName val="[Spt-BH.xls][Spt-BH.xls]B___331"/>
      <sheetName val="[Spt-BH.xls][Spt-BH.xls]_Sp_107"/>
      <sheetName val="[Spt-BH.xls][Spt-BH.xls]B___332"/>
      <sheetName val="[Spt-BH.xls][Spt-BH.xls]B___333"/>
      <sheetName val="[Spt-BH.xls][Spt-BH.xls]B___334"/>
      <sheetName val="[Spt-BH.xls][Spt-BH.xls]B___335"/>
      <sheetName val="[Spt-BH.xls][Spt-BH.xls]B___336"/>
      <sheetName val="[Spt-BH.xls][Spt-BH.xls]_Sp_108"/>
      <sheetName val="[Spt-BH.xls][Spt-BH.xls]B___325"/>
      <sheetName val="[Spt-BH.xls][Spt-BH.xls]_Sp_105"/>
      <sheetName val="[Spt-BH.xls][Spt-BH.xls]B___326"/>
      <sheetName val="[Spt-BH.xls][Spt-BH.xls]B___327"/>
      <sheetName val="[Spt-BH.xls][Spt-BH.xls]B___328"/>
      <sheetName val="[Spt-BH.xls][Spt-BH.xls]B___329"/>
      <sheetName val="[Spt-BH.xls][Spt-BH.xls]B___330"/>
      <sheetName val="[Spt-BH.xls][Spt-BH.xls]_Sp_106"/>
      <sheetName val="[Spt-BH.xls][Spt-BH.xls]B___370"/>
      <sheetName val="[Spt-BH.xls][Spt-BH.xls]B___371"/>
      <sheetName val="[Spt-BH.xls][Spt-BH.xls]_Sp_122"/>
      <sheetName val="[Spt-BH.xls][Spt-BH.xls]B___372"/>
      <sheetName val="[Spt-BH.xls][Spt-BH.xls]B___373"/>
      <sheetName val="[Spt-BH.xls]B____x005f_x0004_______35"/>
      <sheetName val="[Spt-BH.xls]B___x005f_x0000__x005f_x0004_32"/>
      <sheetName val="[Spt-BH.xls][Spt-BH.xls]B___374"/>
      <sheetName val="[Spt-BH.xls][Spt-BH.xls]B___375"/>
      <sheetName val="[Spt-BH.xls][Spt-BH.xls]B___369"/>
      <sheetName val="[Spt-BH.xls][Spt-BH.xls]_Sp_121"/>
      <sheetName val="[Spt-BH.xls][Spt-BH_xls]B___246"/>
      <sheetName val="[Spt-BH.xls][Spt-BH_xls]B___247"/>
      <sheetName val="[Spt-BH.xls][Spt-BH_xls]B___248"/>
      <sheetName val="[Spt-BH.xls][Spt-BH_xls]B___249"/>
      <sheetName val="[Spt-BH.xls][Spt-BH_xls]_Spt_74"/>
      <sheetName val="[Spt-BH.xls][Spt-BH_xls]B___250"/>
      <sheetName val="[Spt-BH.xls][Spt-BH_xls]B___251"/>
      <sheetName val="[Spt-BH.xls][Spt-BH_xls]B___252"/>
      <sheetName val="[Spt-BH.xls][Spt-BH_xls]_Spt_75"/>
      <sheetName val="[Spt-BH.xls][Spt-BH_xls]B___253"/>
      <sheetName val="[Spt-BH.xls][Spt-BH_xls]B___254"/>
      <sheetName val="[Spt-BH.xls][Spt-BH_xls]B___255"/>
      <sheetName val="[Spt-BH.xls][Spt-BH_xls]B___256"/>
      <sheetName val="[Spt-BH.xls][Spt-BH_xls]_Spt_76"/>
      <sheetName val="[Spt-BH.xls][Spt-BH.xls]B___350"/>
      <sheetName val="[Spt-BH.xls][Spt-BH.xls]_Sp_113"/>
      <sheetName val="[Spt-BH.xls][Spt-BH.xls]B___351"/>
      <sheetName val="[Spt-BH.xls][Spt-BH.xls]_Sp_115"/>
      <sheetName val="[Spt-BH.xls][Spt-BH.xls]B___352"/>
      <sheetName val="[Spt-BH.xls][Spt-BH.xls]B___353"/>
      <sheetName val="[Spt-BH.xls][Spt-BH.xls]B___354"/>
      <sheetName val="[Spt-BH.xls][Spt-BH.xls]B___355"/>
      <sheetName val="[Spt-BH.xls][Spt-BH.xls]_Sp_114"/>
      <sheetName val="[Spt-BH.xls][Spt-BH.xls]B___357"/>
      <sheetName val="[Spt-BH.xls][Spt-BH.xls]B___358"/>
      <sheetName val="[Spt-BH.xls][Spt-BH.xls]_Sp_117"/>
      <sheetName val="[Spt-BH.xls][Spt-BH.xls]B___359"/>
      <sheetName val="[Spt-BH.xls][Spt-BH.xls]B___360"/>
      <sheetName val="[Spt-BH.xls]B____x005f_x0004_______34"/>
      <sheetName val="[Spt-BH.xls]B___x005f_x0000__x005f_x0004_31"/>
      <sheetName val="[Spt-BH.xls][Spt-BH.xls]B___361"/>
      <sheetName val="[Spt-BH.xls][Spt-BH.xls]B___362"/>
      <sheetName val="[Spt-BH.xls][Spt-BH.xls]B___356"/>
      <sheetName val="[Spt-BH.xls][Spt-BH.xls]_Sp_116"/>
      <sheetName val="[Spt-BH.xls][Spt-BH_xls]B___235"/>
      <sheetName val="[Spt-BH.xls][Spt-BH_xls]B___236"/>
      <sheetName val="[Spt-BH.xls][Spt-BH_xls]B___237"/>
      <sheetName val="[Spt-BH.xls][Spt-BH_xls]B___238"/>
      <sheetName val="[Spt-BH.xls][Spt-BH_xls]_Spt_71"/>
      <sheetName val="[Spt-BH.xls][Spt-BH_xls]B___239"/>
      <sheetName val="[Spt-BH.xls][Spt-BH_xls]B___240"/>
      <sheetName val="[Spt-BH.xls][Spt-BH_xls]B___241"/>
      <sheetName val="[Spt-BH.xls][Spt-BH_xls]_Spt_72"/>
      <sheetName val="[Spt-BH.xls][Spt-BH_xls]B___242"/>
      <sheetName val="[Spt-BH.xls][Spt-BH_xls]B___243"/>
      <sheetName val="[Spt-BH.xls][Spt-BH_xls]B___244"/>
      <sheetName val="[Spt-BH.xls][Spt-BH_xls]B___245"/>
      <sheetName val="[Spt-BH.xls][Spt-BH_xls]_Spt_73"/>
      <sheetName val="[Spt-BH.xls][Spt-BH.xls]_Sp_133"/>
      <sheetName val="[Spt-BH.xls][Spt-BH.xls]B___399"/>
      <sheetName val="[Spt-BH.xls][Spt-BH.xls]B___400"/>
      <sheetName val="[Spt-BH.xls][Spt-BH.xls]_Sp_138"/>
      <sheetName val="[Spt-BH.xls][Spt-BH.xls]B___401"/>
      <sheetName val="[Spt-BH.xls][Spt-BH.xls]B___402"/>
      <sheetName val="[Spt-BH.xls][Spt-BH.xls]B___403"/>
      <sheetName val="[Spt-BH.xls][Spt-BH.xls]B___404"/>
      <sheetName val="[Spt-BH.xls][Spt-BH.xls]B___412"/>
      <sheetName val="[Spt-BH.xls][Spt-BH.xls]B___413"/>
      <sheetName val="[Spt-BH.xls][Spt-BH.xls]_Sp_140"/>
      <sheetName val="[Spt-BH.xls][Spt-BH.xls]B___414"/>
      <sheetName val="[Spt-BH.xls][Spt-BH.xls]B___415"/>
      <sheetName val="[Spt-BH.xls]B____x005f_x0004_______37"/>
      <sheetName val="[Spt-BH.xls]B___x005f_x0000__x005f_x0004_34"/>
      <sheetName val="[Spt-BH.xls][Spt-BH.xls]B___416"/>
      <sheetName val="[Spt-BH.xls][Spt-BH.xls]B___417"/>
      <sheetName val="[Spt-BH.xls][Spt-BH.xls]B___405"/>
      <sheetName val="[Spt-BH.xls][Spt-BH.xls]_Sp_139"/>
      <sheetName val="[Spt-BH.xls][Spt-BH_xls]B___276"/>
      <sheetName val="[Spt-BH.xls][Spt-BH_xls]B___277"/>
      <sheetName val="[Spt-BH.xls][Spt-BH_xls]B___278"/>
      <sheetName val="[Spt-BH.xls][Spt-BH_xls]B___279"/>
      <sheetName val="[Spt-BH.xls][Spt-BH_xls]_Spt_84"/>
      <sheetName val="[Spt-BH.xls][Spt-BH_xls]B___280"/>
      <sheetName val="[Spt-BH.xls][Spt-BH_xls]B___281"/>
      <sheetName val="[Spt-BH.xls][Spt-BH_xls]B___282"/>
      <sheetName val="[Spt-BH.xls][Spt-BH_xls]_Spt_85"/>
      <sheetName val="[Spt-BH.xls][Spt-BH_xls]B___283"/>
      <sheetName val="[Spt-BH.xls][Spt-BH_xls]B___284"/>
      <sheetName val="[Spt-BH.xls][Spt-BH_xls]B___285"/>
      <sheetName val="[Spt-BH.xls][Spt-BH_xls]B___286"/>
      <sheetName val="[Spt-BH.xls][Spt-BH_xls]_Spt_86"/>
      <sheetName val="[Spt-BH.xls][Spt-BH.xls]_Sp_134"/>
      <sheetName val="[Spt-BH.xls][Spt-BH_xls]B___287"/>
      <sheetName val="[Spt-BH.xls][Spt-BH_xls]B___288"/>
      <sheetName val="[Spt-BH.xls][Spt-BH_xls]_Spt_87"/>
      <sheetName val="[Spt-BH.xls][Spt-BH_xls]B___289"/>
      <sheetName val="[Spt-BH.xls][Spt-BH_xls]B___290"/>
      <sheetName val="[Spt-BH.xls][Spt-BH_xls]_Spt_88"/>
      <sheetName val="[Spt-BH.xls][Spt-BH.xls]_Sp_124"/>
      <sheetName val="[Spt-BH.xls][Spt-BH.xls]B___376"/>
      <sheetName val="[Spt-BH.xls][Spt-BH.xls]B___377"/>
      <sheetName val="[Spt-BH.xls][Spt-BH.xls]B___378"/>
      <sheetName val="[Spt-BH.xls][Spt-BH.xls]_Sp_123"/>
      <sheetName val="[Spt-BH.xls][Spt-BH.xls]_Sp_125"/>
      <sheetName val="[Spt-BH.xls][Spt-BH.xls]_Sp_126"/>
      <sheetName val="[Spt-BH.xls][Spt-BH.xls]_Sp_127"/>
      <sheetName val="[Spt-BH.xls][Spt-BH.xls]B___379"/>
      <sheetName val="[Spt-BH.xls][Spt-BH.xls]B___380"/>
      <sheetName val="[Spt-BH.xls][Spt-BH.xls]B___381"/>
      <sheetName val="[Spt-BH.xls][Spt-BH.xls]B___382"/>
      <sheetName val="[Spt-BH.xls][Spt-BH.xls]B___383"/>
      <sheetName val="[Spt-BH.xls][Spt-BH.xls]B___384"/>
      <sheetName val="[Spt-BH.xls][Spt-BH.xls]B___385"/>
      <sheetName val="[Spt-BH.xls][Spt-BH.xls]_Sp_128"/>
      <sheetName val="[Spt-BH.xls][Spt-BH_xls]B___257"/>
      <sheetName val="[Spt-BH.xls][Spt-BH_xls]B___258"/>
      <sheetName val="[Spt-BH.xls][Spt-BH_xls]_Spt_77"/>
      <sheetName val="[Spt-BH.xls][Spt-BH_xls]B___259"/>
      <sheetName val="[Spt-BH.xls][Spt-BH_xls]B___260"/>
      <sheetName val="[Spt-BH.xls][Spt-BH_xls]_Spt_78"/>
      <sheetName val="[Spt-BH.xls][Spt-BH.xls]_Sp_131"/>
      <sheetName val="[Spt-BH.xls][Spt-BH.xls]_Sp_129"/>
      <sheetName val="[Spt-BH.xls][Spt-BH.xls]B___386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1"/>
      <sheetName val="[Spt-BH.xls][Spt-BH.xls]B___393"/>
      <sheetName val="[Spt-BH.xls][Spt-BH.xls]B___394"/>
      <sheetName val="[Spt-BH.xls][Spt-BH.xls]B___395"/>
      <sheetName val="[Spt-BH.xls][Spt-BH.xls]B___396"/>
      <sheetName val="[Spt-BH.xls]B____x005f_x0004_______36"/>
      <sheetName val="[Spt-BH.xls]B___x005f_x0000__x005f_x0004_33"/>
      <sheetName val="[Spt-BH.xls][Spt-BH.xls]B___397"/>
      <sheetName val="[Spt-BH.xls][Spt-BH.xls]B___398"/>
      <sheetName val="[Spt-BH.xls][Spt-BH.xls]B___392"/>
      <sheetName val="[Spt-BH.xls][Spt-BH.xls]_Sp_132"/>
      <sheetName val="[Spt-BH.xls][Spt-BH_xls]B___261"/>
      <sheetName val="[Spt-BH.xls][Spt-BH_xls]B___262"/>
      <sheetName val="[Spt-BH.xls][Spt-BH_xls]B___263"/>
      <sheetName val="[Spt-BH.xls][Spt-BH_xls]B___264"/>
      <sheetName val="[Spt-BH.xls][Spt-BH_xls]_Spt_79"/>
      <sheetName val="[Spt-BH.xls][Spt-BH_xls]B___265"/>
      <sheetName val="[Spt-BH.xls][Spt-BH_xls]B___266"/>
      <sheetName val="[Spt-BH.xls][Spt-BH_xls]B___267"/>
      <sheetName val="[Spt-BH.xls][Spt-BH_xls]_Spt_80"/>
      <sheetName val="[Spt-BH.xls][Spt-BH_xls]B___268"/>
      <sheetName val="[Spt-BH.xls][Spt-BH_xls]B___269"/>
      <sheetName val="[Spt-BH.xls][Spt-BH_xls]B___270"/>
      <sheetName val="[Spt-BH.xls][Spt-BH_xls]B___271"/>
      <sheetName val="[Spt-BH.xls][Spt-BH_xls]_Spt_81"/>
      <sheetName val="[Spt-BH.xls][Spt-BH.xls]_Sp_130"/>
      <sheetName val="[Spt-BH.xls][Spt-BH_xls]B___272"/>
      <sheetName val="[Spt-BH.xls][Spt-BH_xls]B___273"/>
      <sheetName val="[Spt-BH.xls][Spt-BH_xls]_Spt_82"/>
      <sheetName val="[Spt-BH.xls][Spt-BH_xls]B___274"/>
      <sheetName val="[Spt-BH.xls][Spt-BH_xls]B___275"/>
      <sheetName val="[Spt-BH.xls][Spt-BH_xls]_Spt_83"/>
      <sheetName val="[Spt-BH.xls][Spt-BH.xls]_Sp_135"/>
      <sheetName val="[Spt-BH.xls][Spt-BH.xls]B___406"/>
      <sheetName val="[Spt-BH.xls][Spt-BH.xls]B___407"/>
      <sheetName val="[Spt-BH.xls][Spt-BH.xls]_Sp_137"/>
      <sheetName val="[Spt-BH.xls][Spt-BH.xls]B___408"/>
      <sheetName val="[Spt-BH.xls][Spt-BH.xls]B___409"/>
      <sheetName val="[Spt-BH.xls][Spt-BH.xls]B___410"/>
      <sheetName val="[Spt-BH.xls][Spt-BH.xls]B___411"/>
      <sheetName val="[Spt-BH.xls][Spt-BH.xls]_Sp_136"/>
      <sheetName val="[Spt-BH.xls][Spt-BH.xls]_Sp_141"/>
      <sheetName val="[Spt-BH.xls][Spt-BH.xls]B___418"/>
      <sheetName val="[Spt-BH.xls][Spt-BH.xls]B___419"/>
      <sheetName val="[Spt-BH.xls][Spt-BH.xls]_Sp_143"/>
      <sheetName val="[Spt-BH.xls][Spt-BH.xls]B___420"/>
      <sheetName val="[Spt-BH.xls][Spt-BH.xls]B___421"/>
      <sheetName val="[Spt-BH.xls][Spt-BH.xls]B___422"/>
      <sheetName val="[Spt-BH.xls][Spt-BH.xls]B___423"/>
      <sheetName val="[Spt-BH.xls][Spt-BH.xls]_Sp_142"/>
      <sheetName val="[Spt-BH.xls]B____x005f_x0004_______38"/>
      <sheetName val="[Spt-BH.xls]B___x005f_x0000__x005f_x0004_35"/>
      <sheetName val="[Spt-BH.xls][Spt-BH.xls]B___424"/>
      <sheetName val="[Spt-BH.xls][Spt-BH.xls]B___425"/>
      <sheetName val="[Spt-BH.xls][Spt-BH.xls]B___426"/>
      <sheetName val="[Spt-BH.xls][Spt-BH.xls]B___427"/>
      <sheetName val="[Spt-BH.xls][Spt-BH.xls]B___428"/>
      <sheetName val="[Spt-BH.xls][Spt-BH.xls]B___429"/>
      <sheetName val="[Spt-BH.xls][Spt-BH.xls]_Sp_144"/>
      <sheetName val="[Spt-BH.xls][Spt-BH.xls]_Sp_145"/>
      <sheetName val="[Spt-BH.xls][Spt-BH.xls]B___430"/>
      <sheetName val="[Spt-BH.xls][Spt-BH_xls]B___291"/>
      <sheetName val="[Spt-BH.xls][Spt-BH_xls]B___292"/>
      <sheetName val="[Spt-BH.xls][Spt-BH_xls]B___293"/>
      <sheetName val="[Spt-BH.xls][Spt-BH_xls]B___294"/>
      <sheetName val="[Spt-BH.xls][Spt-BH_xls]_Spt_89"/>
      <sheetName val="[Spt-BH.xls][Spt-BH_xls]B___295"/>
      <sheetName val="[Spt-BH.xls][Spt-BH_xls]B___296"/>
      <sheetName val="[Spt-BH.xls][Spt-BH_xls]B___297"/>
      <sheetName val="[Spt-BH.xls][Spt-BH_xls]_Spt_90"/>
      <sheetName val="[Spt-BH.xls][Spt-BH_xls]B___298"/>
      <sheetName val="[Spt-BH.xls][Spt-BH_xls]B___299"/>
      <sheetName val="[Spt-BH.xls][Spt-BH_xls]B___300"/>
      <sheetName val="[Spt-BH.xls][Spt-BH_xls]B___301"/>
      <sheetName val="[Spt-BH.xls][Spt-BH_xls]_Spt_91"/>
      <sheetName val="[Spt-BH.xls][Spt-BH_xls]B___302"/>
      <sheetName val="[Spt-BH.xls][Spt-BH_xls]B___303"/>
      <sheetName val="[Spt-BH.xls][Spt-BH_xls]_Spt_92"/>
      <sheetName val="[Spt-BH.xls][Spt-BH_xls]B___304"/>
      <sheetName val="[Spt-BH.xls][Spt-BH_xls]B___305"/>
      <sheetName val="[Spt-BH.xls][Spt-BH_xls]_Spt_93"/>
      <sheetName val="[Spt-BH.xls][Spt-BH.xls]_Sp_146"/>
      <sheetName val="[Spt-BH.xls][Spt-BH.xls]B___438"/>
      <sheetName val="[Spt-BH.xls][Spt-BH.xls]B___439"/>
      <sheetName val="[Spt-BH.xls][Spt-BH.xls]_Sp_151"/>
      <sheetName val="[Spt-BH.xls][Spt-BH.xls]B___440"/>
      <sheetName val="[Spt-BH.xls][Spt-BH.xls]B___441"/>
      <sheetName val="[Spt-BH.xls]B____x005f_x0004_______39"/>
      <sheetName val="[Spt-BH.xls]B___x005f_x0000__x005f_x0004_36"/>
      <sheetName val="[Spt-BH.xls][Spt-BH.xls]B___442"/>
      <sheetName val="[Spt-BH.xls][Spt-BH.xls]B___431"/>
      <sheetName val="[Spt-BH.xls][Spt-BH.xls]B___432"/>
      <sheetName val="[Spt-BH.xls][Spt-BH.xls]_Sp_149"/>
      <sheetName val="[Spt-BH.xls][Spt-BH.xls]B___433"/>
      <sheetName val="[Spt-BH.xls][Spt-BH.xls]B___434"/>
      <sheetName val="[Spt-BH.xls][Spt-BH.xls]B___443"/>
      <sheetName val="[Spt-BH.xls][Spt-BH.xls]_Sp_147"/>
      <sheetName val="[Spt-BH.xls][Spt-BH.xls]B___435"/>
      <sheetName val="[Spt-BH.xls][Spt-BH.xls]B___436"/>
      <sheetName val="[Spt-BH.xls][Spt-BH.xls]B___437"/>
      <sheetName val="[Spt-BH.xls][Spt-BH.xls]_Sp_148"/>
      <sheetName val="[Spt-BH.xls][Spt-BH.xls]_Sp_150"/>
      <sheetName val="[Spt-BH.xls][Spt-BH_xls]B___306"/>
      <sheetName val="[Spt-BH.xls][Spt-BH_xls]B___307"/>
      <sheetName val="[Spt-BH.xls][Spt-BH_xls]B___308"/>
      <sheetName val="[Spt-BH.xls][Spt-BH_xls]B___309"/>
      <sheetName val="[Spt-BH.xls][Spt-BH_xls]_Spt_94"/>
      <sheetName val="[Spt-BH.xls][Spt-BH_xls]B___310"/>
      <sheetName val="[Spt-BH.xls][Spt-BH_xls]B___311"/>
      <sheetName val="[Spt-BH.xls][Spt-BH_xls]B___312"/>
      <sheetName val="[Spt-BH.xls][Spt-BH_xls]_Spt_95"/>
      <sheetName val="[Spt-BH.xls][Spt-BH_xls]B___313"/>
      <sheetName val="[Spt-BH.xls][Spt-BH_xls]B___314"/>
      <sheetName val="[Spt-BH.xls][Spt-BH_xls]B___315"/>
      <sheetName val="[Spt-BH.xls][Spt-BH_xls]B___316"/>
      <sheetName val="[Spt-BH.xls][Spt-BH_xls]_Spt_96"/>
      <sheetName val="[Spt-BH.xls][Spt-BH_xls]B___317"/>
      <sheetName val="[Spt-BH.xls][Spt-BH_xls]B___318"/>
      <sheetName val="[Spt-BH.xls][Spt-BH_xls]_Spt_97"/>
      <sheetName val="[Spt-BH.xls][Spt-BH_xls]B___319"/>
      <sheetName val="[Spt-BH.xls][Spt-BH_xls]B___320"/>
      <sheetName val="[Spt-BH.xls][Spt-BH_xls]_Spt_98"/>
      <sheetName val="[Spt-BH.xls][Spt-BH.xls]B___445"/>
      <sheetName val="[Spt-BH.xls][Spt-BH.xls]B___446"/>
      <sheetName val="[Spt-BH.xls][Spt-BH.xls]_Sp_153"/>
      <sheetName val="[Spt-BH.xls][Spt-BH.xls]B___447"/>
      <sheetName val="[Spt-BH.xls][Spt-BH.xls]B___448"/>
      <sheetName val="[Spt-BH.xls]B____x005f_x0004_______40"/>
      <sheetName val="[Spt-BH.xls]B___x005f_x0000__x005f_x0004_37"/>
      <sheetName val="[Spt-BH.xls][Spt-BH.xls]B___449"/>
      <sheetName val="[Spt-BH.xls][Spt-BH.xls]B___450"/>
      <sheetName val="[Spt-BH.xls][Spt-BH.xls]B___444"/>
      <sheetName val="[Spt-BH.xls][Spt-BH.xls]_Sp_152"/>
      <sheetName val="[Spt-BH.xls][Spt-BH_xls]B___321"/>
      <sheetName val="[Spt-BH.xls][Spt-BH_xls]B___322"/>
      <sheetName val="[Spt-BH.xls][Spt-BH_xls]B___323"/>
      <sheetName val="[Spt-BH.xls][Spt-BH_xls]B___324"/>
      <sheetName val="[Spt-BH.xls][Spt-BH_xls]_Spt_99"/>
      <sheetName val="[Spt-BH.xls][Spt-BH_xls]B___325"/>
      <sheetName val="[Spt-BH.xls][Spt-BH_xls]B___326"/>
      <sheetName val="[Spt-BH.xls][Spt-BH_xls]B___327"/>
      <sheetName val="[Spt-BH.xls][Spt-BH_xls]_Sp_100"/>
      <sheetName val="[Spt-BH.xls][Spt-BH_xls]B___328"/>
      <sheetName val="[Spt-BH.xls][Spt-BH_xls]B___329"/>
      <sheetName val="[Spt-BH.xls][Spt-BH_xls]B___330"/>
      <sheetName val="[Spt-BH.xls][Spt-BH_xls]B___331"/>
      <sheetName val="[Spt-BH.xls][Spt-BH_xls]_Sp_101"/>
      <sheetName val="[Spt-BH.xls][Spt-BH_xls]B___332"/>
      <sheetName val="[Spt-BH.xls][Spt-BH_xls]B___333"/>
      <sheetName val="[Spt-BH.xls][Spt-BH_xls]_Sp_102"/>
      <sheetName val="[Spt-BH.xls][Spt-BH_xls]B___334"/>
      <sheetName val="[Spt-BH.xls][Spt-BH_xls]B___335"/>
      <sheetName val="[Spt-BH.xls][Spt-BH_xls]_Sp_103"/>
      <sheetName val="[Spt-BH.xls][Spt-BH.xls]_Sp_154"/>
      <sheetName val="[Spt-BH.xls][Spt-BH.xls]B___451"/>
      <sheetName val="[Spt-BH.xls][Spt-BH.xls]B___452"/>
      <sheetName val="[Spt-BH.xls][Spt-BH.xls]_Sp_157"/>
      <sheetName val="[Spt-BH.xls][Spt-BH.xls]B___453"/>
      <sheetName val="[Spt-BH.xls][Spt-BH.xls]B___454"/>
      <sheetName val="[Spt-BH.xls][Spt-BH.xls]_Sp_155"/>
      <sheetName val="[Spt-BH.xls][Spt-BH.xls]B___455"/>
      <sheetName val="[Spt-BH.xls][Spt-BH.xls]B___456"/>
      <sheetName val="[Spt-BH.xls][Spt-BH.xls]_Sp_156"/>
      <sheetName val="[Spt-BH.xls][Spt-BH.xls]B___458"/>
      <sheetName val="[Spt-BH.xls][Spt-BH.xls]B___459"/>
      <sheetName val="[Spt-BH.xls][Spt-BH.xls]B___460"/>
      <sheetName val="[Spt-BH.xls][Spt-BH.xls]B___461"/>
      <sheetName val="[Spt-BH.xls]B____x005f_x0004_______41"/>
      <sheetName val="[Spt-BH.xls]B___x005f_x0000__x005f_x0004_38"/>
      <sheetName val="[Spt-BH.xls][Spt-BH.xls]B___462"/>
      <sheetName val="[Spt-BH.xls][Spt-BH.xls]B___463"/>
      <sheetName val="[Spt-BH.xls][Spt-BH.xls]B___457"/>
      <sheetName val="[Spt-BH.xls][Spt-BH.xls]_Sp_158"/>
      <sheetName val="[Spt-BH.xls][Spt-BH_xls]B___336"/>
      <sheetName val="[Spt-BH.xls][Spt-BH_xls]B___337"/>
      <sheetName val="[Spt-BH.xls][Spt-BH_xls]B___338"/>
      <sheetName val="[Spt-BH.xls][Spt-BH_xls]B___339"/>
      <sheetName val="[Spt-BH.xls][Spt-BH_xls]_Sp_104"/>
      <sheetName val="[Spt-BH.xls][Spt-BH_xls]B___340"/>
      <sheetName val="[Spt-BH.xls][Spt-BH_xls]B___341"/>
      <sheetName val="[Spt-BH.xls][Spt-BH_xls]B___342"/>
      <sheetName val="[Spt-BH.xls][Spt-BH_xls]_Sp_105"/>
      <sheetName val="[Spt-BH.xls][Spt-BH_xls]B___343"/>
      <sheetName val="[Spt-BH.xls][Spt-BH_xls]B___344"/>
      <sheetName val="[Spt-BH.xls][Spt-BH_xls]B___345"/>
      <sheetName val="[Spt-BH.xls][Spt-BH_xls]B___346"/>
      <sheetName val="[Spt-BH.xls][Spt-BH_xls]_Sp_106"/>
      <sheetName val="[Spt-BH.xls][Spt-BH_xls]B___347"/>
      <sheetName val="[Spt-BH.xls][Spt-BH_xls]B___348"/>
      <sheetName val="[Spt-BH.xls][Spt-BH_xls]_Sp_107"/>
      <sheetName val="[Spt-BH.xls][Spt-BH_xls]B___349"/>
      <sheetName val="[Spt-BH.xls][Spt-BH_xls]B___350"/>
      <sheetName val="[Spt-BH.xls][Spt-BH_xls]_Sp_108"/>
      <sheetName val="[Spt-BH.xls][Spt-BH.xls]_Sp_163"/>
      <sheetName val="FT-05-02Is-"/>
      <sheetName val="[Spt-BH.xls][Spt-BH.xls]B@["/>
      <sheetName val="[Spt-BH.xls][Spt-BH.xls]B___490"/>
      <sheetName val="[Spt-BH.xls][Spt-BH.xls]B___491"/>
      <sheetName val="[Spt-BH.xls][Spt-BH.xls]_Sp_169"/>
      <sheetName val="[Spt-BH.xls][Spt-BH.xls]B___492"/>
      <sheetName val="[Spt-BH.xls][Spt-BH.xls]B___493"/>
      <sheetName val="[Spt-BH.xls]B____x005f_x0004_______43"/>
      <sheetName val="[Spt-BH.xls][Spt-BH.xls]B___483"/>
      <sheetName val="[Spt-BH.xls][Spt-BH.xls]B___484"/>
      <sheetName val="[Spt-BH.xls][Spt-BH.xls]_Sp_167"/>
      <sheetName val="[Spt-BH.xls][Spt-BH.xls]B___485"/>
      <sheetName val="[Spt-BH.xls][Spt-BH.xls]B___486"/>
      <sheetName val="[Spt-BH.xls][Spt-BH.xls]B___487"/>
      <sheetName val="[Spt-BH.xls][Spt-BH.xls]B___488"/>
      <sheetName val="[Spt-BH.xls]B___x005f_x0000__x005f_x0004_40"/>
      <sheetName val="[Spt-BH.xls][Spt-BH.xls]B___494"/>
      <sheetName val="[Spt-BH.xls][Spt-BH.xls]B___495"/>
      <sheetName val="[Spt-BH.xls][Spt-BH.xls]B___489"/>
      <sheetName val="[Spt-BH.xls][Spt-BH.xls]_Sp_168"/>
      <sheetName val="[Spt-BH.xls][Spt-BH_xls]B___366"/>
      <sheetName val="[Spt-BH.xls][Spt-BH_xls]B___367"/>
      <sheetName val="[Spt-BH.xls][Spt-BH_xls]B___368"/>
      <sheetName val="[Spt-BH.xls][Spt-BH_xls]B___369"/>
      <sheetName val="[Spt-BH.xls][Spt-BH_xls]B___370"/>
      <sheetName val="[Spt-BH.xls][Spt-BH_xls]B___371"/>
      <sheetName val="[Spt-BH.xls][Spt-BH_xls]B___372"/>
      <sheetName val="[Spt-BH.xls][Spt-BH_xls]_Sp_114"/>
      <sheetName val="[Spt-BH.xls][Spt-BH_xls]B___373"/>
      <sheetName val="[Spt-BH.xls][Spt-BH_xls]B___374"/>
      <sheetName val="[Spt-BH.xls][Spt-BH_xls]_Sp_115"/>
      <sheetName val="[Spt-BH.xls][Spt-BH_xls]B___375"/>
      <sheetName val="[Spt-BH.xls][Spt-BH_xls]B___376"/>
      <sheetName val="[Spt-BH.xls][Spt-BH_xls]_Sp_116"/>
      <sheetName val="[Spt-BH.xls][Spt-BH.xls]B___496"/>
      <sheetName val="[Spt-BH.xls][Spt-BH.xls]B___497"/>
      <sheetName val="[Spt-BH.xls][Spt-BH.xls]_Sp_171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70"/>
      <sheetName val="[Spt-BH.xls][Spt-BH.xls]B___502"/>
      <sheetName val="[Spt-BH.xls][Spt-BH.xls]B___503"/>
      <sheetName val="[Spt-BH.xls][Spt-BH.xls]_Sp_176"/>
      <sheetName val="[Spt-BH.xls][Spt-BH.xls]B___504"/>
      <sheetName val="[Spt-BH.xls][Spt-BH.xls]B___505"/>
      <sheetName val="[Spt-BH.xls][Spt-BH.xls]B___506"/>
      <sheetName val="[Spt-BH.xls][Spt-BH.xls]B___507"/>
      <sheetName val="[Spt-BH.xls][Spt-BH.xls]_Sp_172"/>
      <sheetName val="[Spt-BH.xls][Spt-BH.xls]B___519"/>
      <sheetName val="[Spt-BH.xls][Spt-BH.xls]B___520"/>
      <sheetName val="[Spt-BH.xls][Spt-BH.xls]_Sp_178"/>
      <sheetName val="[Spt-BH.xls][Spt-BH.xls]B___521"/>
      <sheetName val="[Spt-BH.xls][Spt-BH.xls]B___522"/>
      <sheetName val="[Spt-BH.xls]B____x005f_x0004_______44"/>
      <sheetName val="[Spt-BH.xls]B___x005f_x0000__x005f_x0004_41"/>
      <sheetName val="[Spt-BH.xls][Spt-BH.xls]B___523"/>
      <sheetName val="[Spt-BH.xls][Spt-BH.xls]B___524"/>
      <sheetName val="[Spt-BH.xls][Spt-BH.xls]_Sp_177"/>
      <sheetName val="[Spt-BH.xls][Spt-BH_xls]B___377"/>
      <sheetName val="[Spt-BH.xls][Spt-BH_xls]B___378"/>
      <sheetName val="[Spt-BH.xls][Spt-BH_xls]B___379"/>
      <sheetName val="[Spt-BH.xls][Spt-BH_xls]B___380"/>
      <sheetName val="[Spt-BH.xls][Spt-BH_xls]_Sp_117"/>
      <sheetName val="[Spt-BH.xls][Spt-BH_xls]B___381"/>
      <sheetName val="[Spt-BH.xls][Spt-BH_xls]B___382"/>
      <sheetName val="[Spt-BH.xls][Spt-BH_xls]B___383"/>
      <sheetName val="[Spt-BH.xls][Spt-BH_xls]_Sp_118"/>
      <sheetName val="[Spt-BH.xls][Spt-BH_xls]B___384"/>
      <sheetName val="[Spt-BH.xls][Spt-BH_xls]B___385"/>
      <sheetName val="[Spt-BH.xls][Spt-BH_xls]B___386"/>
      <sheetName val="[Spt-BH.xls][Spt-BH_xls]B___387"/>
      <sheetName val="[Spt-BH.xls][Spt-BH_xls]_Sp_119"/>
      <sheetName val="[Spt-BH.xls][Spt-BH_xls]B___388"/>
      <sheetName val="[Spt-BH.xls][Spt-BH_xls]B___389"/>
      <sheetName val="[Spt-BH.xls][Spt-BH_xls]_Sp_120"/>
      <sheetName val="[Spt-BH.xls][Spt-BH_xls]B___390"/>
      <sheetName val="[Spt-BH.xls][Spt-BH_xls]B___391"/>
      <sheetName val="[Spt-BH.xls][Spt-BH_xls]_Sp_121"/>
      <sheetName val="[Spt-BH.xls][Spt-BH.xls]_Sp_173"/>
      <sheetName val="[Spt-BH.xls][Spt-BH.xls]B___508"/>
      <sheetName val="[Spt-BH.xls][Spt-BH.xls]B___509"/>
      <sheetName val="[Spt-BH.xls][Spt-BH.xls]_Sp_174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B___518"/>
      <sheetName val="[Spt-BH.xls][Spt-BH.xls]_Sp_175"/>
      <sheetName val="[Spt-BH.xls][Spt-BH.xls]_Sp_179"/>
      <sheetName val="[Spt-BH.xls][Spt-BH.xls]_Sp_182"/>
      <sheetName val="[Spt-BH.xls][Spt-BH.xls]B___539"/>
      <sheetName val="[Spt-BH.xls][Spt-BH.xls]B___540"/>
      <sheetName val="[Spt-BH.xls][Spt-BH.xls]_Sp_188"/>
      <sheetName val="[Spt-BH.xls][Spt-BH.xls]B___541"/>
      <sheetName val="[Spt-BH.xls][Spt-BH.xls]B___542"/>
      <sheetName val="[Spt-BH.xls]B____x005f_x0004_______46"/>
      <sheetName val="[Spt-BH.xls]B___x005f_x0000__x005f_x0004_43"/>
      <sheetName val="[Spt-BH.xls][Spt-BH.xls]B___543"/>
      <sheetName val="[Spt-BH.xls][Spt-BH.xls]B___532"/>
      <sheetName val="[Spt-BH.xls][Spt-BH.xls]B___533"/>
      <sheetName val="[Spt-BH.xls][Spt-BH.xls]B___534"/>
      <sheetName val="[Spt-BH.xls][Spt-BH.xls]_Sp_184"/>
      <sheetName val="[Spt-BH.xls][Spt-BH.xls]B___535"/>
      <sheetName val="[Spt-BH.xls][Spt-BH.xls]B___536"/>
      <sheetName val="[Spt-BH.xls][Spt-BH.xls]B___537"/>
      <sheetName val="[Spt-BH.xls][Spt-BH.xls]_Sp_183"/>
      <sheetName val="[Spt-BH.xls][Spt-BH.xls]B___544"/>
      <sheetName val="[Spt-BH.xls][Spt-BH.xls]B___538"/>
      <sheetName val="[Spt-BH.xls][Spt-BH.xls]_Sp_185"/>
      <sheetName val="[Spt-BH.xls][Spt-BH_xls]B___407"/>
      <sheetName val="[Spt-BH.xls][Spt-BH_xls]B___408"/>
      <sheetName val="[Spt-BH.xls][Spt-BH_xls]B___409"/>
      <sheetName val="[Spt-BH.xls][Spt-BH_xls]B___410"/>
      <sheetName val="[Spt-BH.xls][Spt-BH_xls]_Sp_127"/>
      <sheetName val="[Spt-BH.xls][Spt-BH_xls]B___411"/>
      <sheetName val="[Spt-BH.xls][Spt-BH_xls]B___412"/>
      <sheetName val="[Spt-BH.xls][Spt-BH_xls]B___413"/>
      <sheetName val="[Spt-BH.xls][Spt-BH_xls]_Sp_128"/>
      <sheetName val="[Spt-BH.xls][Spt-BH_xls]B___414"/>
      <sheetName val="[Spt-BH.xls][Spt-BH_xls]B___415"/>
      <sheetName val="[Spt-BH.xls][Spt-BH_xls]B___416"/>
      <sheetName val="[Spt-BH.xls][Spt-BH_xls]B___417"/>
      <sheetName val="[Spt-BH.xls][Spt-BH_xls]_Sp_129"/>
      <sheetName val="[Spt-BH.xls][Spt-BH_xls]B___418"/>
      <sheetName val="[Spt-BH.xls][Spt-BH_xls]B___419"/>
      <sheetName val="[Spt-BH.xls][Spt-BH_xls]_Sp_130"/>
      <sheetName val="[Spt-BH.xls][Spt-BH_xls]B___420"/>
      <sheetName val="[Spt-BH.xls][Spt-BH_xls]B___421"/>
      <sheetName val="[Spt-BH.xls][Spt-BH_xls]_Sp_131"/>
      <sheetName val="[Spt-BH.xls][Spt-BH.xls]_Sp_180"/>
      <sheetName val="[Spt-BH.xls]B____x005f_x0004_______45"/>
      <sheetName val="[Spt-BH.xls]B___x005f_x0000__x005f_x0004_42"/>
      <sheetName val="[Spt-BH.xls][Spt-BH.xls]B___525"/>
      <sheetName val="[Spt-BH.xls][Spt-BH.xls]B___526"/>
      <sheetName val="[Spt-BH.xls][Spt-BH.xls]B___527"/>
      <sheetName val="[Spt-BH.xls][Spt-BH.xls]B___528"/>
      <sheetName val="[Spt-BH.xls][Spt-BH.xls]B___529"/>
      <sheetName val="[Spt-BH.xls][Spt-BH.xls]B___530"/>
      <sheetName val="[Spt-BH.xls][Spt-BH.xls]_Sp_181"/>
      <sheetName val="[Spt-BH.xls][Spt-BH.xls]B___531"/>
      <sheetName val="[Spt-BH.xls][Spt-BH_xls]B___392"/>
      <sheetName val="[Spt-BH.xls][Spt-BH_xls]B___393"/>
      <sheetName val="[Spt-BH.xls][Spt-BH_xls]B___394"/>
      <sheetName val="[Spt-BH.xls][Spt-BH_xls]B___395"/>
      <sheetName val="[Spt-BH.xls][Spt-BH_xls]_Sp_122"/>
      <sheetName val="[Spt-BH.xls][Spt-BH_xls]B___396"/>
      <sheetName val="[Spt-BH.xls][Spt-BH_xls]B___397"/>
      <sheetName val="[Spt-BH.xls][Spt-BH_xls]B___398"/>
      <sheetName val="[Spt-BH.xls][Spt-BH_xls]_Sp_123"/>
      <sheetName val="[Spt-BH.xls][Spt-BH_xls]B___399"/>
      <sheetName val="[Spt-BH.xls][Spt-BH_xls]B___400"/>
      <sheetName val="[Spt-BH.xls][Spt-BH_xls]B___401"/>
      <sheetName val="[Spt-BH.xls][Spt-BH_xls]B___402"/>
      <sheetName val="[Spt-BH.xls][Spt-BH_xls]_Sp_124"/>
      <sheetName val="[Spt-BH.xls][Spt-BH_xls]B___403"/>
      <sheetName val="[Spt-BH.xls][Spt-BH_xls]B___404"/>
      <sheetName val="[Spt-BH.xls][Spt-BH_xls]_Sp_125"/>
      <sheetName val="[Spt-BH.xls][Spt-BH_xls]B___405"/>
      <sheetName val="[Spt-BH.xls][Spt-BH_xls]B___406"/>
      <sheetName val="[Spt-BH.xls][Spt-BH_xls]_Sp_126"/>
      <sheetName val="[Spt-BH.xls][Spt-BH.xls]B___559"/>
      <sheetName val="[Spt-BH.xls][Spt-BH.xls]B___560"/>
      <sheetName val="[Spt-BH.xls][Spt-BH.xls]_Sp_193"/>
      <sheetName val="[Spt-BH.xls][Spt-BH.xls]B___561"/>
      <sheetName val="[Spt-BH.xls][Spt-BH.xls]B___562"/>
      <sheetName val="[Spt-BH.xls]B____x005f_x0004_______48"/>
      <sheetName val="[Spt-BH.xls]B___x005f_x0000__x005f_x0004_45"/>
      <sheetName val="[Spt-BH.xls][Spt-BH.xls]B___563"/>
      <sheetName val="[Spt-BH.xls][Spt-BH.xls]B___552"/>
      <sheetName val="[Spt-BH.xls][Spt-BH.xls]B___553"/>
      <sheetName val="[Spt-BH.xls][Spt-BH.xls]B___554"/>
      <sheetName val="[Spt-BH.xls][Spt-BH.xls]_Sp_190"/>
      <sheetName val="[Spt-BH.xls][Spt-BH.xls]B___555"/>
      <sheetName val="[Spt-BH.xls][Spt-BH.xls]B___556"/>
      <sheetName val="[Spt-BH.xls][Spt-BH.xls]B___557"/>
      <sheetName val="[Spt-BH.xls][Spt-BH.xls]_Sp_189"/>
      <sheetName val="[Spt-BH.xls][Spt-BH.xls]B___564"/>
      <sheetName val="[Spt-BH.xls][Spt-BH.xls]B___558"/>
      <sheetName val="[Spt-BH.xls][Spt-BH.xls]_Sp_191"/>
      <sheetName val="[Spt-BH.xls][Spt-BH_xls]B___437"/>
      <sheetName val="[Spt-BH.xls][Spt-BH_xls]B___438"/>
      <sheetName val="[Spt-BH.xls][Spt-BH_xls]B___439"/>
      <sheetName val="[Spt-BH.xls][Spt-BH_xls]B___440"/>
      <sheetName val="[Spt-BH.xls][Spt-BH_xls]_Sp_137"/>
      <sheetName val="[Spt-BH.xls][Spt-BH_xls]B___441"/>
      <sheetName val="[Spt-BH.xls][Spt-BH_xls]B___442"/>
      <sheetName val="[Spt-BH.xls][Spt-BH_xls]B___443"/>
      <sheetName val="[Spt-BH.xls][Spt-BH_xls]_Sp_138"/>
      <sheetName val="[Spt-BH.xls][Spt-BH_xls]B___444"/>
      <sheetName val="[Spt-BH.xls][Spt-BH_xls]B___445"/>
      <sheetName val="[Spt-BH.xls][Spt-BH_xls]B___446"/>
      <sheetName val="[Spt-BH.xls][Spt-BH_xls]B___447"/>
      <sheetName val="[Spt-BH.xls][Spt-BH_xls]_Sp_139"/>
      <sheetName val="[Spt-BH.xls][Spt-BH_xls]B___448"/>
      <sheetName val="[Spt-BH.xls][Spt-BH_xls]B___449"/>
      <sheetName val="[Spt-BH.xls][Spt-BH_xls]_Sp_140"/>
      <sheetName val="[Spt-BH.xls][Spt-BH_xls]B___450"/>
      <sheetName val="[Spt-BH.xls][Spt-BH_xls]B___451"/>
      <sheetName val="[Spt-BH.xls][Spt-BH_xls]_Sp_141"/>
      <sheetName val="[Spt-BH.xls][Spt-BH.xls]_Sp_186"/>
      <sheetName val="[Spt-BH.xls]B____x005f_x0004_______47"/>
      <sheetName val="[Spt-BH.xls]B___x005f_x0000__x005f_x0004_44"/>
      <sheetName val="[Spt-BH.xls][Spt-BH.xls]B___545"/>
      <sheetName val="[Spt-BH.xls][Spt-BH.xls]B___546"/>
      <sheetName val="[Spt-BH.xls][Spt-BH.xls]B___547"/>
      <sheetName val="[Spt-BH.xls][Spt-BH.xls]B___548"/>
      <sheetName val="[Spt-BH.xls][Spt-BH.xls]B___549"/>
      <sheetName val="[Spt-BH.xls][Spt-BH.xls]B___550"/>
      <sheetName val="[Spt-BH.xls][Spt-BH.xls]_Sp_187"/>
      <sheetName val="[Spt-BH.xls][Spt-BH.xls]B___551"/>
      <sheetName val="[Spt-BH.xls][Spt-BH_xls]B___422"/>
      <sheetName val="[Spt-BH.xls][Spt-BH_xls]B___423"/>
      <sheetName val="[Spt-BH.xls][Spt-BH_xls]B___424"/>
      <sheetName val="[Spt-BH.xls][Spt-BH_xls]B___425"/>
      <sheetName val="[Spt-BH.xls][Spt-BH_xls]_Sp_132"/>
      <sheetName val="[Spt-BH.xls][Spt-BH_xls]B___426"/>
      <sheetName val="[Spt-BH.xls][Spt-BH_xls]B___427"/>
      <sheetName val="[Spt-BH.xls][Spt-BH_xls]B___428"/>
      <sheetName val="[Spt-BH.xls][Spt-BH_xls]_Sp_133"/>
      <sheetName val="[Spt-BH.xls][Spt-BH_xls]B___429"/>
      <sheetName val="[Spt-BH.xls][Spt-BH_xls]B___430"/>
      <sheetName val="[Spt-BH.xls][Spt-BH_xls]B___431"/>
      <sheetName val="[Spt-BH.xls][Spt-BH_xls]B___432"/>
      <sheetName val="[Spt-BH.xls][Spt-BH_xls]_Sp_134"/>
      <sheetName val="[Spt-BH.xls][Spt-BH_xls]B___433"/>
      <sheetName val="[Spt-BH.xls][Spt-BH_xls]B___434"/>
      <sheetName val="[Spt-BH.xls][Spt-BH_xls]_Sp_135"/>
      <sheetName val="[Spt-BH.xls][Spt-BH_xls]B___435"/>
      <sheetName val="[Spt-BH.xls][Spt-BH_xls]B___436"/>
      <sheetName val="[Spt-BH.xls][Spt-BH_xls]_Sp_136"/>
      <sheetName val="[Spt-BH.xls][Spt-BH.xls]_Sp_192"/>
      <sheetName val="[Spt-BH.xls][Spt-BH.xls]B___565"/>
      <sheetName val="[Spt-BH.xls][Spt-BH.xls]B___566"/>
      <sheetName val="[Spt-BH.xls][Spt-BH.xls]_Sp_196"/>
      <sheetName val="[Spt-BH.xls][Spt-BH.xls]B___567"/>
      <sheetName val="[Spt-BH.xls][Spt-BH.xls]B___568"/>
      <sheetName val="[Spt-BH.xls][Spt-BH.xls]B___569"/>
      <sheetName val="[Spt-BH.xls][Spt-BH.xls]_Sp_194"/>
      <sheetName val="[Spt-BH.xls][Spt-BH.xls]B___570"/>
      <sheetName val="[Spt-BH.xls][Spt-BH.xls]_Sp_195"/>
      <sheetName val="[Spt-BH.xls][Spt-BH.xls]B___572"/>
      <sheetName val="[Spt-BH.xls][Spt-BH.xls]B___573"/>
      <sheetName val="[Spt-BH.xls][Spt-BH.xls]_Sp_198"/>
      <sheetName val="[Spt-BH.xls][Spt-BH.xls]B___574"/>
      <sheetName val="[Spt-BH.xls][Spt-BH.xls]B___575"/>
      <sheetName val="[Spt-BH.xls]B____x005f_x0004_______49"/>
      <sheetName val="[Spt-BH.xls]B___x005f_x0000__x005f_x0004_46"/>
      <sheetName val="[Spt-BH.xls][Spt-BH.xls]B___576"/>
      <sheetName val="[Spt-BH.xls][Spt-BH.xls]B___577"/>
      <sheetName val="[Spt-BH.xls][Spt-BH.xls]B___571"/>
      <sheetName val="[Spt-BH.xls][Spt-BH.xls]_Sp_197"/>
      <sheetName val="[Spt-BH.xls][Spt-BH_xls]B___452"/>
      <sheetName val="[Spt-BH.xls][Spt-BH_xls]B___453"/>
      <sheetName val="[Spt-BH.xls][Spt-BH_xls]B___454"/>
      <sheetName val="[Spt-BH.xls][Spt-BH_xls]B___455"/>
      <sheetName val="[Spt-BH.xls][Spt-BH_xls]_Sp_142"/>
      <sheetName val="[Spt-BH.xls][Spt-BH_xls]B___456"/>
      <sheetName val="[Spt-BH.xls][Spt-BH_xls]B___457"/>
      <sheetName val="[Spt-BH.xls][Spt-BH_xls]B___458"/>
      <sheetName val="[Spt-BH.xls][Spt-BH_xls]_Sp_143"/>
      <sheetName val="[Spt-BH.xls][Spt-BH_xls]B___459"/>
      <sheetName val="[Spt-BH.xls][Spt-BH_xls]B___460"/>
      <sheetName val="[Spt-BH.xls][Spt-BH_xls]B___461"/>
      <sheetName val="[Spt-BH.xls][Spt-BH_xls]B___462"/>
      <sheetName val="[Spt-BH.xls][Spt-BH_xls]_Sp_144"/>
      <sheetName val="[Spt-BH.xls][Spt-BH_xls]B___463"/>
      <sheetName val="[Spt-BH.xls][Spt-BH_xls]B___464"/>
      <sheetName val="[Spt-BH.xls][Spt-BH_xls]_Sp_145"/>
      <sheetName val="[Spt-BH.xls][Spt-BH_xls]B___465"/>
      <sheetName val="[Spt-BH.xls][Spt-BH_xls]B___466"/>
      <sheetName val="[Spt-BH.xls][Spt-BH_xls]_Sp_146"/>
      <sheetName val="[Spt-BH.xls][Spt-BH.xls]B___578"/>
      <sheetName val="[Spt-BH.xls][Spt-BH.xls]B___579"/>
      <sheetName val="[Spt-BH.xls][Spt-BH.xls]_Sp_201"/>
      <sheetName val="[Spt-BH.xls][Spt-BH.xls]B___580"/>
      <sheetName val="[Spt-BH.xls][Spt-BH.xls]B___581"/>
      <sheetName val="[Spt-BH.xls][Spt-BH.xls]B___582"/>
      <sheetName val="[Spt-BH.xls][Spt-BH.xls]B___583"/>
      <sheetName val="[Spt-BH.xls][Spt-BH.xls]_Sp_199"/>
      <sheetName val="[Spt-BH.xls][Spt-BH.xls]_Sp_200"/>
      <sheetName val="[Spt-BH.xls][Spt-BH.xls]B___584"/>
      <sheetName val="[Spt-BH.xls][Spt-BH.xls]B___585"/>
      <sheetName val="[Spt-BH.xls][Spt-BH.xls]_Sp_211"/>
      <sheetName val="[Spt-BH.xls][Spt-BH.xls]B___586"/>
      <sheetName val="[Spt-BH.xls][Spt-BH.xls]B___587"/>
      <sheetName val="[Spt-BH.xls][Spt-BH.xls]B___588"/>
      <sheetName val="[Spt-BH.xls][Spt-BH.xls]B___589"/>
      <sheetName val="[Spt-BH.xls][Spt-BH.xls]_Sp_202"/>
      <sheetName val="[Spt-BH.xls][Spt-BH.xls]B___615"/>
      <sheetName val="[Spt-BH.xls][Spt-BH.xls]B___616"/>
      <sheetName val="[Spt-BH.xls][Spt-BH.xls]_Sp_214"/>
      <sheetName val="[Spt-BH.xls][Spt-BH.xls]B___617"/>
      <sheetName val="[Spt-BH.xls][Spt-BH.xls]B___618"/>
      <sheetName val="[Spt-BH.xls]B____x005f_x0004_______50"/>
      <sheetName val="[Spt-BH.xls]B___x005f_x0000__x005f_x0004_47"/>
      <sheetName val="[Spt-BH.xls][Spt-BH.xls]B___619"/>
      <sheetName val="[Spt-BH.xls][Spt-BH.xls]B___620"/>
      <sheetName val="[Spt-BH.xls][Spt-BH.xls]B___590"/>
      <sheetName val="[Spt-BH.xls][Spt-BH.xls]_Sp_212"/>
      <sheetName val="[Spt-BH.xls][Spt-BH_xls]B___467"/>
      <sheetName val="[Spt-BH.xls][Spt-BH_xls]B___468"/>
      <sheetName val="[Spt-BH.xls][Spt-BH_xls]B___469"/>
      <sheetName val="[Spt-BH.xls][Spt-BH_xls]B___470"/>
      <sheetName val="[Spt-BH.xls][Spt-BH_xls]_Sp_147"/>
      <sheetName val="[Spt-BH.xls][Spt-BH_xls]B___471"/>
      <sheetName val="[Spt-BH.xls][Spt-BH_xls]B___472"/>
      <sheetName val="[Spt-BH.xls][Spt-BH_xls]B___473"/>
      <sheetName val="[Spt-BH.xls][Spt-BH_xls]_Sp_148"/>
      <sheetName val="[Spt-BH.xls][Spt-BH_xls]B___474"/>
      <sheetName val="[Spt-BH.xls][Spt-BH_xls]B___475"/>
      <sheetName val="[Spt-BH.xls][Spt-BH_xls]B___476"/>
      <sheetName val="[Spt-BH.xls][Spt-BH_xls]B___477"/>
      <sheetName val="[Spt-BH.xls][Spt-BH_xls]_Sp_149"/>
      <sheetName val="[Spt-BH.xls][Spt-BH_xls]B___478"/>
      <sheetName val="[Spt-BH.xls][Spt-BH_xls]B___479"/>
      <sheetName val="[Spt-BH.xls][Spt-BH_xls]_Sp_150"/>
      <sheetName val="[Spt-BH.xls][Spt-BH_xls]B___480"/>
      <sheetName val="[Spt-BH.xls][Spt-BH_xls]B___481"/>
      <sheetName val="[Spt-BH.xls][Spt-BH_xls]_Sp_151"/>
      <sheetName val="[Spt-BH.xls][Spt-BH.xls]_Sp_203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595"/>
      <sheetName val="[Spt-BH.xls][Spt-BH.xls]B___596"/>
      <sheetName val="[Spt-BH.xls][Spt-BH.xls]_Sp_204"/>
      <sheetName val="[Spt-BH.xls][Spt-BH.xls]_Sp_205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_Sp_206"/>
      <sheetName val="[Spt-BH.xls][Spt-BH.xls]_Sp_207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08"/>
      <sheetName val="[Spt-BH.xls][Spt-BH.xls]_Sp_208"/>
      <sheetName val="[Spt-BH.xls][Spt-BH.xls]_Sp_209"/>
      <sheetName val="[Spt-BH.xls][Spt-BH.xls]B___609"/>
      <sheetName val="[Spt-BH.xls][Spt-BH.xls]B___610"/>
      <sheetName val="[Spt-BH.xls][Spt-BH.xls]B___611"/>
      <sheetName val="[Spt-BH.xls][Spt-BH.xls]B___612"/>
      <sheetName val="[Spt-BH.xls][Spt-BH.xls]B___613"/>
      <sheetName val="[Spt-BH.xls][Spt-BH.xls]B___614"/>
      <sheetName val="[Spt-BH.xls][Spt-BH.xls]_Sp_210"/>
      <sheetName val="[Spt-BH.xls][Spt-BH.xls]_Sp_213"/>
      <sheetName val="[Spt-BH.xls][Spt-BH.xls]_Sp_215"/>
      <sheetName val="[Spt-BH.xls][Spt-BH.xls]_Sp_216"/>
      <sheetName val="[Spt-BH.xls][Spt-BH.xls]B___635"/>
      <sheetName val="[Spt-BH.xls][Spt-BH.xls]B___636"/>
      <sheetName val="[Spt-BH.xls][Spt-BH.xls]_Sp_223"/>
      <sheetName val="[Spt-BH.xls][Spt-BH.xls]B___637"/>
      <sheetName val="[Spt-BH.xls][Spt-BH.xls]B___638"/>
      <sheetName val="[Spt-BH.xls]B____x005f_x0004_______52"/>
      <sheetName val="[Spt-BH.xls]B___x005f_x0000__x005f_x0004_49"/>
      <sheetName val="[Spt-BH.xls][Spt-BH.xls]B___639"/>
      <sheetName val="[Spt-BH.xls][Spt-BH.xls]B___628"/>
      <sheetName val="[Spt-BH.xls][Spt-BH.xls]B___629"/>
      <sheetName val="[Spt-BH.xls][Spt-BH.xls]B___630"/>
      <sheetName val="[Spt-BH.xls][Spt-BH.xls]_Sp_221"/>
      <sheetName val="[Spt-BH.xls][Spt-BH.xls]B___631"/>
      <sheetName val="[Spt-BH.xls][Spt-BH.xls]B___632"/>
      <sheetName val="[Spt-BH.xls][Spt-BH.xls]B___633"/>
      <sheetName val="[Spt-BH.xls][Spt-BH.xls]_Sp_219"/>
      <sheetName val="[Spt-BH.xls][Spt-BH.xls]_Sp_220"/>
      <sheetName val="[Spt-BH.xls][Spt-BH.xls]B___640"/>
      <sheetName val="[Spt-BH.xls][Spt-BH.xls]B___634"/>
      <sheetName val="[Spt-BH.xls][Spt-BH.xls]_Sp_222"/>
      <sheetName val="[Spt-BH.xls][Spt-BH_xls]B___497"/>
      <sheetName val="[Spt-BH.xls][Spt-BH_xls]B___498"/>
      <sheetName val="[Spt-BH.xls][Spt-BH_xls]B___499"/>
      <sheetName val="[Spt-BH.xls][Spt-BH_xls]B___500"/>
      <sheetName val="[Spt-BH.xls][Spt-BH_xls]_Sp_157"/>
      <sheetName val="[Spt-BH.xls][Spt-BH_xls]B___501"/>
      <sheetName val="[Spt-BH.xls][Spt-BH_xls]B___502"/>
      <sheetName val="[Spt-BH.xls][Spt-BH_xls]B___503"/>
      <sheetName val="[Spt-BH.xls][Spt-BH_xls]_Sp_158"/>
      <sheetName val="[Spt-BH.xls][Spt-BH_xls]B___504"/>
      <sheetName val="[Spt-BH.xls][Spt-BH_xls]B___505"/>
      <sheetName val="[Spt-BH.xls][Spt-BH_xls]B___506"/>
      <sheetName val="[Spt-BH.xls][Spt-BH_xls]B___507"/>
      <sheetName val="[Spt-BH.xls][Spt-BH_xls]_Sp_159"/>
      <sheetName val="[Spt-BH.xls][Spt-BH_xls]B___508"/>
      <sheetName val="[Spt-BH.xls][Spt-BH_xls]B___509"/>
      <sheetName val="[Spt-BH.xls][Spt-BH_xls]_Sp_160"/>
      <sheetName val="[Spt-BH.xls][Spt-BH_xls]B___510"/>
      <sheetName val="[Spt-BH.xls][Spt-BH_xls]B___511"/>
      <sheetName val="[Spt-BH.xls][Spt-BH_xls]_Sp_161"/>
      <sheetName val="[Spt-BH.xls]B____x005f_x0004_______51"/>
      <sheetName val="[Spt-BH.xls]B___x005f_x0000__x005f_x0004_48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[Spt-BH.xls]_Sp_217"/>
      <sheetName val="[Spt-BH.xls][Spt-BH.xls]_Sp_218"/>
      <sheetName val="[Spt-BH.xls][Spt-BH.xls]B___627"/>
      <sheetName val="[Spt-BH.xls][Spt-BH_xls]B___482"/>
      <sheetName val="[Spt-BH.xls][Spt-BH_xls]B___483"/>
      <sheetName val="[Spt-BH.xls][Spt-BH_xls]B___484"/>
      <sheetName val="[Spt-BH.xls][Spt-BH_xls]B___485"/>
      <sheetName val="[Spt-BH.xls][Spt-BH_xls]_Sp_152"/>
      <sheetName val="[Spt-BH.xls][Spt-BH_xls]B___486"/>
      <sheetName val="[Spt-BH.xls][Spt-BH_xls]B___487"/>
      <sheetName val="[Spt-BH.xls][Spt-BH_xls]B___488"/>
      <sheetName val="[Spt-BH.xls][Spt-BH_xls]_Sp_153"/>
      <sheetName val="[Spt-BH.xls][Spt-BH_xls]B___489"/>
      <sheetName val="[Spt-BH.xls][Spt-BH_xls]B___490"/>
      <sheetName val="[Spt-BH.xls][Spt-BH_xls]B___491"/>
      <sheetName val="[Spt-BH.xls][Spt-BH_xls]B___492"/>
      <sheetName val="[Spt-BH.xls][Spt-BH_xls]_Sp_154"/>
      <sheetName val="[Spt-BH.xls][Spt-BH_xls]B___493"/>
      <sheetName val="[Spt-BH.xls][Spt-BH_xls]B___494"/>
      <sheetName val="[Spt-BH.xls][Spt-BH_xls]_Sp_155"/>
      <sheetName val="[Spt-BH.xls][Spt-BH_xls]B___495"/>
      <sheetName val="[Spt-BH.xls][Spt-BH_xls]B___496"/>
      <sheetName val="[Spt-BH.xls][Spt-BH_xls]_Sp_156"/>
      <sheetName val="[Spt-BH.xls]B____x005f_x0004_______53"/>
      <sheetName val="[Spt-BH.xls]B___x005f_x0000__x005f_x0004_50"/>
      <sheetName val="[Spt-BH.xls][Spt-BH.xls]_Sp_225"/>
      <sheetName val="[Spt-BH.xls][Spt-BH.xls]B___648"/>
      <sheetName val="[Spt-BH.xls][Spt-BH.xls]B___649"/>
      <sheetName val="[Spt-BH.xls][Spt-BH.xls]_Sp_229"/>
      <sheetName val="[Spt-BH.xls][Spt-BH.xls]B___650"/>
      <sheetName val="[Spt-BH.xls][Spt-BH.xls]B___651"/>
      <sheetName val="[Spt-BH.xls][Spt-BH.xls]B___641"/>
      <sheetName val="[Spt-BH.xls][Spt-BH.xls]B___642"/>
      <sheetName val="[Spt-BH.xls][Spt-BH.xls]B___643"/>
      <sheetName val="[Spt-BH.xls][Spt-BH.xls]_Sp_227"/>
      <sheetName val="[Spt-BH.xls][Spt-BH.xls]B___644"/>
      <sheetName val="[Spt-BH.xls][Spt-BH.xls]B___645"/>
      <sheetName val="[Spt-BH.xls][Spt-BH.xls]B___646"/>
      <sheetName val="[Spt-BH.xls][Spt-BH.xls]_Sp_226"/>
      <sheetName val="[Spt-BH.xls][Spt-BH.xls]B___652"/>
      <sheetName val="[Spt-BH.xls][Spt-BH.xls]B___653"/>
      <sheetName val="[Spt-BH.xls][Spt-BH.xls]B___647"/>
      <sheetName val="[Spt-BH.xls][Spt-BH.xls]_Sp_228"/>
      <sheetName val="[Spt-BH.xls][Spt-BH_xls]B___512"/>
      <sheetName val="[Spt-BH.xls][Spt-BH_xls]B___513"/>
      <sheetName val="[Spt-BH.xls][Spt-BH_xls]B___514"/>
      <sheetName val="[Spt-BH.xls][Spt-BH_xls]B___515"/>
      <sheetName val="[Spt-BH.xls][Spt-BH_xls]_Sp_162"/>
      <sheetName val="[Spt-BH.xls][Spt-BH_xls]B___516"/>
      <sheetName val="[Spt-BH.xls][Spt-BH_xls]B___517"/>
      <sheetName val="[Spt-BH.xls][Spt-BH_xls]B___518"/>
      <sheetName val="[Spt-BH.xls][Spt-BH_xls]_Sp_163"/>
      <sheetName val="[Spt-BH.xls][Spt-BH_xls]B___519"/>
      <sheetName val="[Spt-BH.xls][Spt-BH_xls]B___520"/>
      <sheetName val="[Spt-BH.xls][Spt-BH_xls]B___521"/>
      <sheetName val="[Spt-BH.xls][Spt-BH_xls]B___522"/>
      <sheetName val="[Spt-BH.xls][Spt-BH_xls]_Sp_164"/>
      <sheetName val="[Spt-BH.xls][Spt-BH_xls]B___523"/>
      <sheetName val="[Spt-BH.xls][Spt-BH_xls]B___524"/>
      <sheetName val="[Spt-BH.xls][Spt-BH_xls]_Sp_165"/>
      <sheetName val="[Spt-BH.xls][Spt-BH_xls]B___525"/>
      <sheetName val="[Spt-BH.xls][Spt-BH_xls]B___526"/>
      <sheetName val="[Spt-BH.xls][Spt-BH_xls]_Sp_166"/>
      <sheetName val="[Spt-BH.xls][Spt-BH.xls]_Sp_224"/>
      <sheetName val="[Spt-BH.xls][Spt-BH.xls]B___661"/>
      <sheetName val="[Spt-BH.xls][Spt-BH.xls]B___662"/>
      <sheetName val="[Spt-BH.xls][Spt-BH.xls]_Sp_234"/>
      <sheetName val="[Spt-BH.xls][Spt-BH.xls]B___663"/>
      <sheetName val="[Spt-BH.xls][Spt-BH.xls]B___664"/>
      <sheetName val="[Spt-BH.xls][Spt-BH.xls]B___654"/>
      <sheetName val="[Spt-BH.xls][Spt-BH.xls]B___655"/>
      <sheetName val="[Spt-BH.xls][Spt-BH.xls]B___656"/>
      <sheetName val="[Spt-BH.xls][Spt-BH.xls]_Sp_232"/>
      <sheetName val="[Spt-BH.xls][Spt-BH.xls]B___657"/>
      <sheetName val="[Spt-BH.xls][Spt-BH.xls]B___658"/>
      <sheetName val="[Spt-BH.xls][Spt-BH.xls]B___659"/>
      <sheetName val="[Spt-BH.xls][Spt-BH.xls]_Sp_230"/>
      <sheetName val="[Spt-BH.xls][Spt-BH.xls]_Sp_231"/>
      <sheetName val="[Spt-BH.xls]B____x005f_x0004_______54"/>
      <sheetName val="[Spt-BH.xls]B___x005f_x0000__x005f_x0004_51"/>
      <sheetName val="[Spt-BH.xls][Spt-BH.xls]B___665"/>
      <sheetName val="[Spt-BH.xls][Spt-BH.xls]B___666"/>
      <sheetName val="[Spt-BH.xls][Spt-BH.xls]B___660"/>
      <sheetName val="[Spt-BH.xls][Spt-BH.xls]_Sp_233"/>
      <sheetName val="[Spt-BH.xls][Spt-BH_xls]B___527"/>
      <sheetName val="[Spt-BH.xls][Spt-BH_xls]B___528"/>
      <sheetName val="[Spt-BH.xls][Spt-BH_xls]B___529"/>
      <sheetName val="[Spt-BH.xls][Spt-BH_xls]B___530"/>
      <sheetName val="[Spt-BH.xls][Spt-BH_xls]_Sp_167"/>
      <sheetName val="[Spt-BH.xls][Spt-BH_xls]B___531"/>
      <sheetName val="[Spt-BH.xls][Spt-BH_xls]B___532"/>
      <sheetName val="[Spt-BH.xls][Spt-BH_xls]B___533"/>
      <sheetName val="[Spt-BH.xls][Spt-BH_xls]_Sp_168"/>
      <sheetName val="[Spt-BH.xls][Spt-BH_xls]B___534"/>
      <sheetName val="[Spt-BH.xls][Spt-BH_xls]B___535"/>
      <sheetName val="[Spt-BH.xls][Spt-BH_xls]B___536"/>
      <sheetName val="[Spt-BH.xls][Spt-BH_xls]B___537"/>
      <sheetName val="[Spt-BH.xls][Spt-BH_xls]_Sp_169"/>
      <sheetName val="[Spt-BH.xls][Spt-BH_xls]B___538"/>
      <sheetName val="[Spt-BH.xls][Spt-BH_xls]B___539"/>
      <sheetName val="[Spt-BH.xls][Spt-BH_xls]_Sp_170"/>
      <sheetName val="[Spt-BH.xls][Spt-BH_xls]B___540"/>
      <sheetName val="[Spt-BH.xls][Spt-BH_xls]B___541"/>
      <sheetName val="[Spt-BH.xls][Spt-BH_xls]_Sp_171"/>
      <sheetName val="[Spt-BH.xls][Spt-BH.xls]B___667"/>
      <sheetName val="[Spt-BH.xls][Spt-BH.xls]B___668"/>
      <sheetName val="[Spt-BH.xls][Spt-BH.xls]B___669"/>
      <sheetName val="[Spt-BH.xls][Spt-BH.xls]B___670"/>
      <sheetName val="[Spt-BH.xls][Spt-BH.xls]B___671"/>
      <sheetName val="[Spt-BH.xls][Spt-BH.xls]B___672"/>
      <sheetName val="[Spt-BH.xls][Spt-BH.xls]_Sp_235"/>
      <sheetName val="[Spt-BH.xls][Spt-BH.xls]B___673"/>
      <sheetName val="[Spt-BH.xls][Spt-BH.xls]B___674"/>
      <sheetName val="[Spt-BH.xls]B____x005f_x0004_______56"/>
      <sheetName val="[Spt-BH.xls]B___x005f_x0000__x005f_x0004_53"/>
      <sheetName val="[Spt-BH.xls][Spt-BH_xls]B___557"/>
      <sheetName val="[Spt-BH.xls][Spt-BH_xls]B___558"/>
      <sheetName val="[Spt-BH.xls][Spt-BH_xls]B___559"/>
      <sheetName val="[Spt-BH.xls][Spt-BH_xls]B___560"/>
      <sheetName val="[Spt-BH.xls][Spt-BH_xls]_Sp_177"/>
      <sheetName val="[Spt-BH.xls][Spt-BH_xls]B___561"/>
      <sheetName val="[Spt-BH.xls][Spt-BH_xls]B___562"/>
      <sheetName val="[Spt-BH.xls][Spt-BH_xls]B___563"/>
      <sheetName val="[Spt-BH.xls][Spt-BH_xls]_Sp_178"/>
      <sheetName val="[Spt-BH.xls][Spt-BH_xls]B___564"/>
      <sheetName val="[Spt-BH.xls][Spt-BH_xls]B___565"/>
      <sheetName val="[Spt-BH.xls][Spt-BH_xls]B___566"/>
      <sheetName val="[Spt-BH.xls][Spt-BH_xls]B___567"/>
      <sheetName val="[Spt-BH.xls][Spt-BH_xls]_Sp_179"/>
      <sheetName val="[Spt-BH.xls][Spt-BH_xls]B___568"/>
      <sheetName val="[Spt-BH.xls][Spt-BH_xls]B___569"/>
      <sheetName val="[Spt-BH.xls][Spt-BH_xls]_Sp_180"/>
      <sheetName val="[Spt-BH.xls][Spt-BH_xls]B___570"/>
      <sheetName val="[Spt-BH.xls][Spt-BH_xls]B___571"/>
      <sheetName val="[Spt-BH.xls][Spt-BH_xls]_Sp_181"/>
      <sheetName val="[Spt-BH.xls]B____x005f_x0004_______55"/>
      <sheetName val="[Spt-BH.xls]B___x005f_x0000__x005f_x0004_52"/>
      <sheetName val="[Spt-BH.xls][Spt-BH_xls]B___542"/>
      <sheetName val="[Spt-BH.xls][Spt-BH_xls]B___543"/>
      <sheetName val="[Spt-BH.xls][Spt-BH_xls]B___544"/>
      <sheetName val="[Spt-BH.xls][Spt-BH_xls]B___545"/>
      <sheetName val="[Spt-BH.xls][Spt-BH_xls]_Sp_172"/>
      <sheetName val="[Spt-BH.xls][Spt-BH_xls]B___546"/>
      <sheetName val="[Spt-BH.xls][Spt-BH_xls]B___547"/>
      <sheetName val="[Spt-BH.xls][Spt-BH_xls]B___548"/>
      <sheetName val="[Spt-BH.xls][Spt-BH_xls]_Sp_173"/>
      <sheetName val="[Spt-BH.xls][Spt-BH_xls]B___549"/>
      <sheetName val="[Spt-BH.xls][Spt-BH_xls]B___550"/>
      <sheetName val="[Spt-BH.xls][Spt-BH_xls]B___551"/>
      <sheetName val="[Spt-BH.xls][Spt-BH_xls]B___552"/>
      <sheetName val="[Spt-BH.xls][Spt-BH_xls]_Sp_174"/>
      <sheetName val="[Spt-BH.xls][Spt-BH_xls]B___553"/>
      <sheetName val="[Spt-BH.xls][Spt-BH_xls]B___554"/>
      <sheetName val="[Spt-BH.xls][Spt-BH_xls]_Sp_175"/>
      <sheetName val="[Spt-BH.xls][Spt-BH_xls]B___555"/>
      <sheetName val="[Spt-BH.xls][Spt-BH_xls]B___556"/>
      <sheetName val="[Spt-BH.xls][Spt-BH_xls]_Sp_176"/>
      <sheetName val="[Spt-BH.xls][Spt-BH.xls]_Sp_236"/>
      <sheetName val="[Spt-BH.xls][Spt-BH.xls]_Sp_238"/>
      <sheetName val="[Spt-BH.xls][Spt-BH.xls]_Sp_237"/>
      <sheetName val="[Spt-BH.xls][Spt-BH.xls]_Sp_239"/>
      <sheetName val="[Spt-BH.xls][Spt-BH.xls]B___682"/>
      <sheetName val="[Spt-BH.xls][Spt-BH.xls]B___683"/>
      <sheetName val="[Spt-BH.xls][Spt-BH.xls]_Sp_243"/>
      <sheetName val="[Spt-BH.xls][Spt-BH.xls]B___684"/>
      <sheetName val="[Spt-BH.xls][Spt-BH.xls]B___685"/>
      <sheetName val="[Spt-BH.xls][Spt-BH.xls]B___675"/>
      <sheetName val="[Spt-BH.xls][Spt-BH.xls]B___676"/>
      <sheetName val="[Spt-BH.xls][Spt-BH.xls]B___677"/>
      <sheetName val="[Spt-BH.xls][Spt-BH.xls]_Sp_241"/>
      <sheetName val="[Spt-BH.xls][Spt-BH.xls]B___678"/>
      <sheetName val="[Spt-BH.xls][Spt-BH.xls]B___679"/>
      <sheetName val="[Spt-BH.xls][Spt-BH.xls]B___680"/>
      <sheetName val="[Spt-BH.xls][Spt-BH.xls]_Sp_240"/>
      <sheetName val="[Spt-BH.xls]B____x005f_x0004_______57"/>
      <sheetName val="[Spt-BH.xls]B___x005f_x0000__x005f_x0004_54"/>
      <sheetName val="[Spt-BH.xls][Spt-BH.xls]B___686"/>
      <sheetName val="[Spt-BH.xls][Spt-BH.xls]B___687"/>
      <sheetName val="[Spt-BH.xls][Spt-BH.xls]B___681"/>
      <sheetName val="[Spt-BH.xls][Spt-BH.xls]_Sp_242"/>
      <sheetName val="[Spt-BH.xls][Spt-BH_xls]B___572"/>
      <sheetName val="[Spt-BH.xls][Spt-BH_xls]B___573"/>
      <sheetName val="[Spt-BH.xls][Spt-BH_xls]B___574"/>
      <sheetName val="[Spt-BH.xls][Spt-BH_xls]B___575"/>
      <sheetName val="[Spt-BH.xls][Spt-BH_xls]_Sp_182"/>
      <sheetName val="[Spt-BH.xls][Spt-BH_xls]B___576"/>
      <sheetName val="[Spt-BH.xls][Spt-BH_xls]B___577"/>
      <sheetName val="[Spt-BH.xls][Spt-BH_xls]B___578"/>
      <sheetName val="[Spt-BH.xls][Spt-BH_xls]_Sp_183"/>
      <sheetName val="[Spt-BH.xls][Spt-BH_xls]B___579"/>
      <sheetName val="[Spt-BH.xls][Spt-BH_xls]B___580"/>
      <sheetName val="[Spt-BH.xls][Spt-BH_xls]B___581"/>
      <sheetName val="[Spt-BH.xls][Spt-BH_xls]B___582"/>
      <sheetName val="[Spt-BH.xls][Spt-BH_xls]_Sp_184"/>
      <sheetName val="[Spt-BH.xls][Spt-BH_xls]B___583"/>
      <sheetName val="[Spt-BH.xls][Spt-BH_xls]B___584"/>
      <sheetName val="[Spt-BH.xls][Spt-BH_xls]_Sp_185"/>
      <sheetName val="[Spt-BH.xls][Spt-BH_xls]B___585"/>
      <sheetName val="[Spt-BH.xls][Spt-BH_xls]B___586"/>
      <sheetName val="[Spt-BH.xls][Spt-BH_xls]_Sp_186"/>
      <sheetName val="[Spt-BH.xls][Spt-BH.xls]_Sp_245"/>
      <sheetName val="[Spt-BH.xls][Spt-BH.xls]_Sp_244"/>
      <sheetName val="[Spt-BH.xls][Spt-BH.xls]B___695"/>
      <sheetName val="[Spt-BH.xls][Spt-BH.xls]B___696"/>
      <sheetName val="[Spt-BH.xls][Spt-BH.xls]_Sp_249"/>
      <sheetName val="[Spt-BH.xls][Spt-BH.xls]B___697"/>
      <sheetName val="[Spt-BH.xls][Spt-BH.xls]B___698"/>
      <sheetName val="[Spt-BH.xls]B____x005f_x0004_______58"/>
      <sheetName val="[Spt-BH.xls]B___x005f_x0000__x005f_x0004_55"/>
      <sheetName val="[Spt-BH.xls][Spt-BH.xls]B___699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[Spt-BH.xls]B___700"/>
      <sheetName val="[Spt-BH.xls][Spt-BH.xls]B___694"/>
      <sheetName val="[Spt-BH.xls][Spt-BH.xls]_Sp_246"/>
      <sheetName val="[Spt-BH.xls][Spt-BH_xls]B___587"/>
      <sheetName val="[Spt-BH.xls][Spt-BH_xls]B___588"/>
      <sheetName val="[Spt-BH.xls][Spt-BH_xls]B___589"/>
      <sheetName val="[Spt-BH.xls][Spt-BH_xls]B___590"/>
      <sheetName val="[Spt-BH.xls][Spt-BH_xls]_Sp_187"/>
      <sheetName val="[Spt-BH.xls][Spt-BH_xls]B___591"/>
      <sheetName val="[Spt-BH.xls][Spt-BH_xls]B___592"/>
      <sheetName val="[Spt-BH.xls][Spt-BH_xls]B___593"/>
      <sheetName val="[Spt-BH.xls][Spt-BH_xls]_Sp_188"/>
      <sheetName val="[Spt-BH.xls][Spt-BH_xls]B___594"/>
      <sheetName val="[Spt-BH.xls][Spt-BH_xls]B___595"/>
      <sheetName val="[Spt-BH.xls][Spt-BH_xls]B___596"/>
      <sheetName val="[Spt-BH.xls][Spt-BH_xls]B___597"/>
      <sheetName val="[Spt-BH.xls][Spt-BH_xls]_Sp_189"/>
      <sheetName val="[Spt-BH.xls][Spt-BH_xls]B___598"/>
      <sheetName val="[Spt-BH.xls][Spt-BH_xls]B___599"/>
      <sheetName val="[Spt-BH.xls][Spt-BH_xls]_Sp_190"/>
      <sheetName val="[Spt-BH.xls][Spt-BH_xls]B___600"/>
      <sheetName val="[Spt-BH.xls][Spt-BH_xls]B___601"/>
      <sheetName val="[Spt-BH.xls][Spt-BH_xls]_Sp_191"/>
      <sheetName val="[Spt-BH.xls][Spt-BH.xls]B___709"/>
      <sheetName val="[Spt-BH.xls][Spt-BH.xls]B___710"/>
      <sheetName val="[Spt-BH.xls][Spt-BH.xls]B___711"/>
      <sheetName val="[Spt-BH.xls][Spt-BH.xls]B___712"/>
      <sheetName val="[Spt-BH.xls]B____x005f_x0004_______59"/>
      <sheetName val="[Spt-BH.xls]B___x005f_x0000__x005f_x0004_56"/>
      <sheetName val="[Spt-BH.xls][Spt-BH.xls]B___713"/>
      <sheetName val="[Spt-BH.xls][Spt-BH.xls]B___701"/>
      <sheetName val="[Spt-BH.xls][Spt-BH.xls]B___714"/>
      <sheetName val="[Spt-BH.xls][Spt-BH.xls]_Sp_250"/>
      <sheetName val="[Spt-BH.xls][Spt-BH_xls]B___602"/>
      <sheetName val="[Spt-BH.xls][Spt-BH_xls]B___603"/>
      <sheetName val="[Spt-BH.xls][Spt-BH_xls]B___604"/>
      <sheetName val="[Spt-BH.xls][Spt-BH_xls]B___605"/>
      <sheetName val="[Spt-BH.xls][Spt-BH_xls]_Sp_192"/>
      <sheetName val="[Spt-BH.xls][Spt-BH_xls]B___606"/>
      <sheetName val="[Spt-BH.xls][Spt-BH_xls]B___607"/>
      <sheetName val="[Spt-BH.xls][Spt-BH_xls]B___608"/>
      <sheetName val="[Spt-BH.xls][Spt-BH_xls]_Sp_193"/>
      <sheetName val="[Spt-BH.xls][Spt-BH_xls]B___609"/>
      <sheetName val="[Spt-BH.xls][Spt-BH_xls]B___610"/>
      <sheetName val="[Spt-BH.xls][Spt-BH_xls]B___611"/>
      <sheetName val="[Spt-BH.xls][Spt-BH_xls]B___612"/>
      <sheetName val="[Spt-BH.xls][Spt-BH_xls]_Sp_194"/>
      <sheetName val="[Spt-BH.xls][Spt-BH_xls]B___613"/>
      <sheetName val="[Spt-BH.xls][Spt-BH_xls]B___614"/>
      <sheetName val="[Spt-BH.xls][Spt-BH_xls]_Sp_195"/>
      <sheetName val="[Spt-BH.xls][Spt-BH_xls]B___615"/>
      <sheetName val="[Spt-BH.xls][Spt-BH_xls]B___616"/>
      <sheetName val="[Spt-BH.xls][Spt-BH_xls]_Sp_196"/>
      <sheetName val="[Spt-BH.xls]B____x005f_x0004_______61"/>
      <sheetName val="[Spt-BH.xls]B___x005f_x0000__x005f_x0004_58"/>
      <sheetName val="[Spt-BH.xls][Spt-BH.xls]B___715"/>
      <sheetName val="[Spt-BH.xls][Spt-BH_xls]B___632"/>
      <sheetName val="[Spt-BH.xls][Spt-BH_xls]B___633"/>
      <sheetName val="[Spt-BH.xls][Spt-BH_xls]B___634"/>
      <sheetName val="[Spt-BH.xls][Spt-BH_xls]B___635"/>
      <sheetName val="[Spt-BH.xls][Spt-BH_xls]_Sp_202"/>
      <sheetName val="[Spt-BH.xls][Spt-BH_xls]B___636"/>
      <sheetName val="[Spt-BH.xls][Spt-BH_xls]B___637"/>
      <sheetName val="[Spt-BH.xls][Spt-BH_xls]B___638"/>
      <sheetName val="[Spt-BH.xls][Spt-BH_xls]_Sp_203"/>
      <sheetName val="[Spt-BH.xls][Spt-BH_xls]B___639"/>
      <sheetName val="[Spt-BH.xls][Spt-BH_xls]B___640"/>
      <sheetName val="[Spt-BH.xls][Spt-BH_xls]B___641"/>
      <sheetName val="[Spt-BH.xls][Spt-BH_xls]B___642"/>
      <sheetName val="[Spt-BH.xls][Spt-BH_xls]_Sp_204"/>
      <sheetName val="[Spt-BH.xls][Spt-BH_xls]B___643"/>
      <sheetName val="[Spt-BH.xls][Spt-BH_xls]B___644"/>
      <sheetName val="[Spt-BH.xls][Spt-BH_xls]_Sp_205"/>
      <sheetName val="[Spt-BH.xls][Spt-BH_xls]B___645"/>
      <sheetName val="[Spt-BH.xls][Spt-BH_xls]B___646"/>
      <sheetName val="[Spt-BH.xls][Spt-BH_xls]_Sp_206"/>
      <sheetName val="[Spt-BH.xls][Spt-BH.xls]_Sp_247"/>
      <sheetName val="[Spt-BH.xls][Spt-BH.xls]B___702"/>
      <sheetName val="[Spt-BH.xls][Spt-BH.xls]B___703"/>
      <sheetName val="[Spt-BH.xls][Spt-BH.xls]B___704"/>
      <sheetName val="[Spt-BH.xls][Spt-BH.xls]B___705"/>
      <sheetName val="[Spt-BH.xls][Spt-BH.xls]B___706"/>
      <sheetName val="[Spt-BH.xls][Spt-BH.xls]B___707"/>
      <sheetName val="[Spt-BH.xls][Spt-BH.xls]_Sp_248"/>
      <sheetName val="[Spt-BH.xls]B____x005f_x0004_______60"/>
      <sheetName val="[Spt-BH.xls]B___x005f_x0000__x005f_x0004_57"/>
      <sheetName val="[Spt-BH.xls][Spt-BH.xls]B___708"/>
      <sheetName val="[Spt-BH.xls][Spt-BH_xls]B___617"/>
      <sheetName val="[Spt-BH.xls][Spt-BH_xls]B___618"/>
      <sheetName val="[Spt-BH.xls][Spt-BH_xls]B___619"/>
      <sheetName val="[Spt-BH.xls][Spt-BH_xls]B___620"/>
      <sheetName val="[Spt-BH.xls][Spt-BH_xls]_Sp_197"/>
      <sheetName val="[Spt-BH.xls][Spt-BH_xls]B___621"/>
      <sheetName val="[Spt-BH.xls][Spt-BH_xls]B___622"/>
      <sheetName val="[Spt-BH.xls][Spt-BH_xls]B___623"/>
      <sheetName val="[Spt-BH.xls][Spt-BH_xls]_Sp_198"/>
      <sheetName val="[Spt-BH.xls][Spt-BH_xls]B___624"/>
      <sheetName val="[Spt-BH.xls][Spt-BH_xls]B___625"/>
      <sheetName val="[Spt-BH.xls][Spt-BH_xls]B___626"/>
      <sheetName val="[Spt-BH.xls][Spt-BH_xls]B___627"/>
      <sheetName val="[Spt-BH.xls][Spt-BH_xls]_Sp_199"/>
      <sheetName val="[Spt-BH.xls][Spt-BH_xls]B___628"/>
      <sheetName val="[Spt-BH.xls][Spt-BH_xls]B___629"/>
      <sheetName val="[Spt-BH.xls][Spt-BH_xls]_Sp_200"/>
      <sheetName val="[Spt-BH.xls][Spt-BH_xls]B___630"/>
      <sheetName val="[Spt-BH.xls][Spt-BH_xls]B___631"/>
      <sheetName val="[Spt-BH.xls][Spt-BH_xls]_Sp_201"/>
      <sheetName val="[Spt-BH.xls][Spt-BH.xls]_Sp_251"/>
      <sheetName val="[Spt-BH.xls][Spt-BH.xls]B___716"/>
      <sheetName val="[Spt-BH.xls][Spt-BH.xls]B___717"/>
      <sheetName val="[Spt-BH.xls][Spt-BH.xls]_Sp_253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252"/>
      <sheetName val="[Spt-BH.xls][Spt-BH.xls]B___722"/>
      <sheetName val="[Spt-BH.xls][Spt-BH.xls]B___723"/>
      <sheetName val="[Spt-BH.xls][Spt-BH.xls]B___724"/>
      <sheetName val="[Spt-BH.xls][Spt-BH.xls]B___725"/>
      <sheetName val="[Spt-BH.xls][Spt-BH.xls]B___726"/>
      <sheetName val="[Spt-BH.xls][Spt-BH.xls]B___727"/>
      <sheetName val="[Spt-BH.xls][Spt-BH.xls]_Sp_254"/>
      <sheetName val="[Spt-BH.xls][Spt-BH.xls]_Sp_255"/>
      <sheetName val="[Spt-BH.xls][Spt-BH.xls]_Sp_256"/>
      <sheetName val="[Spt-BH.xls][Spt-BH.xls]_Sp_257"/>
      <sheetName val="[Spt-BH.xls][Spt-BH.xls]B___728"/>
      <sheetName val="[Spt-BH.xls][Spt-BH.xls]B___729"/>
      <sheetName val="[Spt-BH.xls][Spt-BH.xls]_Sp_261"/>
      <sheetName val="[Spt-BH.xls][Spt-BH.xls]B___730"/>
      <sheetName val="[Spt-BH.xls][Spt-BH.xls]B___731"/>
      <sheetName val="[Spt-BH.xls][Spt-BH.xls]B___732"/>
      <sheetName val="[Spt-BH.xls][Spt-BH.xls]B___733"/>
      <sheetName val="[Spt-BH.xls][Spt-BH.xls]_Sp_258"/>
      <sheetName val="[Spt-BH.xls][Spt-BH.xls]B___741"/>
      <sheetName val="[Spt-BH.xls][Spt-BH.xls]B___742"/>
      <sheetName val="[Spt-BH.xls][Spt-BH.xls]_Sp_264"/>
      <sheetName val="[Spt-BH.xls][Spt-BH.xls]B___743"/>
      <sheetName val="[Spt-BH.xls][Spt-BH.xls]B___744"/>
      <sheetName val="[Spt-BH.xls]B____x005f_x0004_______62"/>
      <sheetName val="[Spt-BH.xls]B___x005f_x0000__x005f_x0004_59"/>
      <sheetName val="[Spt-BH.xls][Spt-BH.xls]B___745"/>
      <sheetName val="[Spt-BH.xls][Spt-BH.xls]B___746"/>
      <sheetName val="[Spt-BH.xls][Spt-BH.xls]B___734"/>
      <sheetName val="[Spt-BH.xls][Spt-BH.xls]_Sp_262"/>
      <sheetName val="[Spt-BH.xls][Spt-BH_xls]B___647"/>
      <sheetName val="[Spt-BH.xls][Spt-BH_xls]B___648"/>
      <sheetName val="[Spt-BH.xls][Spt-BH_xls]B___649"/>
      <sheetName val="[Spt-BH.xls][Spt-BH_xls]B___650"/>
      <sheetName val="[Spt-BH.xls][Spt-BH_xls]_Sp_207"/>
      <sheetName val="[Spt-BH.xls][Spt-BH_xls]B___651"/>
      <sheetName val="[Spt-BH.xls][Spt-BH_xls]B___652"/>
      <sheetName val="[Spt-BH.xls][Spt-BH_xls]B___653"/>
      <sheetName val="[Spt-BH.xls][Spt-BH_xls]_Sp_208"/>
      <sheetName val="[Spt-BH.xls][Spt-BH_xls]B___654"/>
      <sheetName val="[Spt-BH.xls][Spt-BH_xls]B___655"/>
      <sheetName val="[Spt-BH.xls][Spt-BH_xls]B___656"/>
      <sheetName val="[Spt-BH.xls][Spt-BH_xls]B___657"/>
      <sheetName val="[Spt-BH.xls][Spt-BH_xls]_Sp_209"/>
      <sheetName val="[Spt-BH.xls][Spt-BH_xls]B___658"/>
      <sheetName val="[Spt-BH.xls][Spt-BH_xls]B___659"/>
      <sheetName val="[Spt-BH.xls][Spt-BH_xls]_Sp_210"/>
      <sheetName val="[Spt-BH.xls][Spt-BH_xls]B___660"/>
      <sheetName val="[Spt-BH.xls][Spt-BH_xls]B___661"/>
      <sheetName val="[Spt-BH.xls][Spt-BH_xls]_Sp_211"/>
      <sheetName val="[Spt-BH.xls][Spt-BH.xls]_Sp_259"/>
      <sheetName val="[Spt-BH.xls][Spt-BH.xls]B___735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_Sp_260"/>
      <sheetName val="[Spt-BH.xls][Spt-BH.xls]_Sp_263"/>
      <sheetName val="[Spt-BH.xls][Spt-BH.xls]_Sp_265"/>
      <sheetName val="[Spt-BH.xls][Spt-BH.xls]B___747"/>
      <sheetName val="[Spt-BH.xls][Spt-BH.xls]B___748"/>
      <sheetName val="[Spt-BH.xls][Spt-BH.xls]_Sp_294"/>
      <sheetName val="[Spt-BH.xls][Spt-BH.xls]B___749"/>
      <sheetName val="[Spt-BH.xls][Spt-BH.xls]B___750"/>
      <sheetName val="[Spt-BH.xls][Spt-BH.xls]B___751"/>
      <sheetName val="[Spt-BH.xls][Spt-BH.xls]B___752"/>
      <sheetName val="[Spt-BH.xls][Spt-BH.xls]_Sp_266"/>
      <sheetName val="[Spt-BH.xls][Spt-BH.xls]B___817"/>
      <sheetName val="[Spt-BH.xls][Spt-BH.xls]B___818"/>
      <sheetName val="[Spt-BH.xls][Spt-BH.xls]_Sp_300"/>
      <sheetName val="[Spt-BH.xls][Spt-BH.xls]B___819"/>
      <sheetName val="[Spt-BH.xls][Spt-BH.xls]B___820"/>
      <sheetName val="[Spt-BH.xls]B____x005f_x0004_______63"/>
      <sheetName val="[Spt-BH.xls]B___x005f_x0000__x005f_x0004_60"/>
      <sheetName val="[Spt-BH.xls][Spt-BH.xls]B___821"/>
      <sheetName val="[Spt-BH.xls][Spt-BH.xls]B___822"/>
      <sheetName val="[Spt-BH.xls][Spt-BH.xls]B___753"/>
      <sheetName val="[Spt-BH.xls][Spt-BH.xls]_Sp_295"/>
      <sheetName val="[Spt-BH.xls][Spt-BH_xls]B___662"/>
      <sheetName val="[Spt-BH.xls][Spt-BH_xls]B___663"/>
      <sheetName val="[Spt-BH.xls][Spt-BH_xls]B___664"/>
      <sheetName val="[Spt-BH.xls][Spt-BH_xls]B___665"/>
      <sheetName val="[Spt-BH.xls][Spt-BH_xls]_Sp_212"/>
      <sheetName val="[Spt-BH.xls][Spt-BH_xls]B___666"/>
      <sheetName val="[Spt-BH.xls][Spt-BH_xls]B___667"/>
      <sheetName val="[Spt-BH.xls][Spt-BH_xls]B___668"/>
      <sheetName val="[Spt-BH.xls][Spt-BH_xls]_Sp_213"/>
      <sheetName val="[Spt-BH.xls][Spt-BH_xls]B___669"/>
      <sheetName val="[Spt-BH.xls][Spt-BH_xls]B___670"/>
      <sheetName val="[Spt-BH.xls][Spt-BH_xls]B___671"/>
      <sheetName val="[Spt-BH.xls][Spt-BH_xls]B___672"/>
      <sheetName val="[Spt-BH.xls][Spt-BH_xls]_Sp_214"/>
      <sheetName val="[Spt-BH.xls][Spt-BH.xls]_Sp_267"/>
      <sheetName val="[Spt-BH.xls][Spt-BH.xls]_Sp_270"/>
      <sheetName val="[Spt-BH.xls][Spt-BH.xls]B___754"/>
      <sheetName val="[Spt-BH.xls][Spt-BH.xls]B___755"/>
      <sheetName val="[Spt-BH.xls][Spt-BH.xls]_Sp_278"/>
      <sheetName val="[Spt-BH.xls][Spt-BH.xls]B___756"/>
      <sheetName val="[Spt-BH.xls][Spt-BH.xls]B___757"/>
      <sheetName val="[Spt-BH.xls][Spt-BH.xls]B___758"/>
      <sheetName val="[Spt-BH.xls][Spt-BH.xls]B___759"/>
      <sheetName val="[Spt-BH.xls][Spt-BH.xls]_Sp_271"/>
      <sheetName val="[Spt-BH.xls][Spt-BH.xls]B___779"/>
      <sheetName val="[Spt-BH.xls][Spt-BH.xls]B___780"/>
      <sheetName val="[Spt-BH.xls][Spt-BH.xls]_Sp_280"/>
      <sheetName val="[Spt-BH.xls][Spt-BH.xls]B___781"/>
      <sheetName val="[Spt-BH.xls][Spt-BH.xls]B___782"/>
      <sheetName val="[Spt-BH.xls]B____x005f_x0004_______64"/>
      <sheetName val="[Spt-BH.xls]B___x005f_x0000__x005f_x0004_61"/>
      <sheetName val="[Spt-BH.xls][Spt-BH.xls]B___783"/>
      <sheetName val="[Spt-BH.xls][Spt-BH.xls]B___784"/>
      <sheetName val="[Spt-BH.xls][Spt-BH.xls]B___760"/>
      <sheetName val="[Spt-BH.xls][Spt-BH.xls]_Sp_279"/>
      <sheetName val="[Spt-BH.xls][Spt-BH_xls]B___677"/>
      <sheetName val="[Spt-BH.xls][Spt-BH_xls]B___678"/>
      <sheetName val="[Spt-BH.xls][Spt-BH_xls]B___679"/>
      <sheetName val="[Spt-BH.xls][Spt-BH_xls]B___680"/>
      <sheetName val="[Spt-BH.xls][Spt-BH_xls]_Sp_217"/>
      <sheetName val="[Spt-BH.xls][Spt-BH_xls]B___681"/>
      <sheetName val="[Spt-BH.xls][Spt-BH_xls]B___682"/>
      <sheetName val="[Spt-BH.xls][Spt-BH_xls]B___683"/>
      <sheetName val="[Spt-BH.xls][Spt-BH_xls]_Sp_218"/>
      <sheetName val="[Spt-BH.xls][Spt-BH_xls]B___684"/>
      <sheetName val="[Spt-BH.xls][Spt-BH_xls]B___685"/>
      <sheetName val="[Spt-BH.xls][Spt-BH_xls]B___686"/>
      <sheetName val="[Spt-BH.xls][Spt-BH_xls]B___687"/>
      <sheetName val="[Spt-BH.xls][Spt-BH_xls]_Sp_219"/>
      <sheetName val="[Spt-BH.xls][Spt-BH_xls]B___688"/>
      <sheetName val="[Spt-BH.xls][Spt-BH_xls]B___689"/>
      <sheetName val="[Spt-BH.xls][Spt-BH_xls]_Sp_220"/>
      <sheetName val="[Spt-BH.xls][Spt-BH_xls]B___690"/>
      <sheetName val="[Spt-BH.xls][Spt-BH_xls]B___691"/>
      <sheetName val="[Spt-BH.xls][Spt-BH_xls]_Sp_221"/>
      <sheetName val="[Spt-BH.xls][Spt-BH.xls]_Sp_268"/>
      <sheetName val="[Spt-BH.xls][Spt-BH.xls]_Sp_269"/>
      <sheetName val="[Spt-BH.xls][Spt-BH_xls]B___673"/>
      <sheetName val="[Spt-BH.xls][Spt-BH_xls]B___674"/>
      <sheetName val="[Spt-BH.xls][Spt-BH_xls]_Sp_215"/>
      <sheetName val="[Spt-BH.xls][Spt-BH_xls]B___675"/>
      <sheetName val="[Spt-BH.xls][Spt-BH_xls]B___676"/>
      <sheetName val="[Spt-BH.xls][Spt-BH_xls]_Sp_216"/>
      <sheetName val="[Spt-BH.xls][Spt-BH.xls]_Sp_272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65"/>
      <sheetName val="[Spt-BH.xls][Spt-BH.xls]B___766"/>
      <sheetName val="[Spt-BH.xls][Spt-BH.xls]_Sp_273"/>
      <sheetName val="[Spt-BH.xls][Spt-BH.xls]_Sp_274"/>
      <sheetName val="[Spt-BH.xls][Spt-BH.xls]B___767"/>
      <sheetName val="[Spt-BH.xls][Spt-BH.xls]B___768"/>
      <sheetName val="[Spt-BH.xls][Spt-BH.xls]B___769"/>
      <sheetName val="[Spt-BH.xls][Spt-BH.xls]B___770"/>
      <sheetName val="[Spt-BH.xls][Spt-BH.xls]B___771"/>
      <sheetName val="[Spt-BH.xls][Spt-BH.xls]B___772"/>
      <sheetName val="[Spt-BH.xls][Spt-BH.xls]_Sp_275"/>
      <sheetName val="[Spt-BH.xls][Spt-BH.xls]_Sp_276"/>
      <sheetName val="[Spt-BH.xls][Spt-BH.xls]B___773"/>
      <sheetName val="[Spt-BH.xls][Spt-BH.xls]B___774"/>
      <sheetName val="[Spt-BH.xls][Spt-BH.xls]B___775"/>
      <sheetName val="[Spt-BH.xls][Spt-BH.xls]B___776"/>
      <sheetName val="[Spt-BH.xls][Spt-BH.xls]B___777"/>
      <sheetName val="[Spt-BH.xls][Spt-BH.xls]B___778"/>
      <sheetName val="[Spt-BH.xls][Spt-BH.xls]_Sp_277"/>
      <sheetName val="[Spt-BH.xls][Spt-BH.xls]_Sp_281"/>
      <sheetName val="[Spt-BH.xls][Spt-BH.xls]_Sp_282"/>
      <sheetName val="[Spt-BH.xls][Spt-BH.xls]B___792"/>
      <sheetName val="[Spt-BH.xls][Spt-BH.xls]B___793"/>
      <sheetName val="[Spt-BH.xls][Spt-BH.xls]_Sp_286"/>
      <sheetName val="[Spt-BH.xls][Spt-BH.xls]B___794"/>
      <sheetName val="[Spt-BH.xls][Spt-BH.xls]B___795"/>
      <sheetName val="[Spt-BH.xls]B____x005f_x0004_______65"/>
      <sheetName val="[Spt-BH.xls][Spt-BH.xls]B___785"/>
      <sheetName val="[Spt-BH.xls][Spt-BH.xls]B___786"/>
      <sheetName val="[Spt-BH.xls][Spt-BH.xls]_Sp_284"/>
      <sheetName val="[Spt-BH.xls][Spt-BH.xls]B___787"/>
      <sheetName val="[Spt-BH.xls][Spt-BH.xls]B___788"/>
      <sheetName val="[Spt-BH.xls][Spt-BH.xls]B___789"/>
      <sheetName val="[Spt-BH.xls][Spt-BH.xls]B___790"/>
      <sheetName val="[Spt-BH.xls]B___x005f_x0000__x005f_x0004_62"/>
      <sheetName val="[Spt-BH.xls][Spt-BH.xls]B___796"/>
      <sheetName val="[Spt-BH.xls][Spt-BH.xls]B___797"/>
      <sheetName val="[Spt-BH.xls][Spt-BH.xls]B___791"/>
      <sheetName val="[Spt-BH.xls][Spt-BH.xls]_Sp_285"/>
      <sheetName val="[Spt-BH.xls][Spt-BH_xls]B___692"/>
      <sheetName val="[Spt-BH.xls][Spt-BH_xls]B___693"/>
      <sheetName val="[Spt-BH.xls][Spt-BH_xls]B___694"/>
      <sheetName val="[Spt-BH.xls][Spt-BH_xls]B___695"/>
      <sheetName val="[Spt-BH.xls][Spt-BH_xls]_Sp_222"/>
      <sheetName val="[Spt-BH.xls][Spt-BH_xls]B___696"/>
      <sheetName val="[Spt-BH.xls][Spt-BH_xls]B___697"/>
      <sheetName val="[Spt-BH.xls][Spt-BH_xls]B___698"/>
      <sheetName val="[Spt-BH.xls][Spt-BH_xls]_Sp_223"/>
      <sheetName val="[Spt-BH.xls][Spt-BH_xls]B___699"/>
      <sheetName val="[Spt-BH.xls][Spt-BH_xls]B___700"/>
      <sheetName val="[Spt-BH.xls][Spt-BH_xls]B___701"/>
      <sheetName val="[Spt-BH.xls][Spt-BH_xls]B___702"/>
      <sheetName val="[Spt-BH.xls][Spt-BH_xls]_Sp_224"/>
      <sheetName val="[Spt-BH.xls][Spt-BH.xls]_Sp_283"/>
      <sheetName val="[Spt-BH.xls][Spt-BH_xls]B___703"/>
      <sheetName val="[Spt-BH.xls][Spt-BH_xls]B___704"/>
      <sheetName val="[Spt-BH.xls][Spt-BH_xls]_Sp_225"/>
      <sheetName val="[Spt-BH.xls][Spt-BH_xls]B___705"/>
      <sheetName val="[Spt-BH.xls][Spt-BH_xls]B___706"/>
      <sheetName val="[Spt-BH.xls][Spt-BH_xls]_Sp_226"/>
      <sheetName val="[Spt-BH.xls][Spt-BH.xls]B___799"/>
      <sheetName val="[Spt-BH.xls][Spt-BH.xls]B___800"/>
      <sheetName val="[Spt-BH.xls][Spt-BH.xls]_Sp_289"/>
      <sheetName val="[Spt-BH.xls][Spt-BH.xls]B___801"/>
      <sheetName val="[Spt-BH.xls][Spt-BH.xls]B___802"/>
      <sheetName val="[Spt-BH.xls]B____x005f_x0004_______66"/>
      <sheetName val="[Spt-BH.xls]B___x005f_x0000__x005f_x0004_63"/>
      <sheetName val="[Spt-BH.xls][Spt-BH.xls]B___803"/>
      <sheetName val="[Spt-BH.xls][Spt-BH.xls]B___804"/>
      <sheetName val="[Spt-BH.xls][Spt-BH.xls]B___798"/>
      <sheetName val="[Spt-BH.xls][Spt-BH.xls]_Sp_287"/>
      <sheetName val="[Spt-BH.xls][Spt-BH_xls]B___707"/>
      <sheetName val="[Spt-BH.xls][Spt-BH_xls]B___708"/>
      <sheetName val="[Spt-BH.xls][Spt-BH_xls]B___709"/>
      <sheetName val="[Spt-BH.xls][Spt-BH_xls]B___710"/>
      <sheetName val="[Spt-BH.xls][Spt-BH_xls]_Sp_227"/>
      <sheetName val="[Spt-BH.xls][Spt-BH_xls]B___711"/>
      <sheetName val="[Spt-BH.xls][Spt-BH_xls]B___712"/>
      <sheetName val="[Spt-BH.xls][Spt-BH_xls]B___713"/>
      <sheetName val="[Spt-BH.xls][Spt-BH_xls]_Sp_228"/>
      <sheetName val="[Spt-BH.xls][Spt-BH_xls]B___714"/>
      <sheetName val="[Spt-BH.xls][Spt-BH_xls]B___715"/>
      <sheetName val="[Spt-BH.xls][Spt-BH_xls]B___716"/>
      <sheetName val="[Spt-BH.xls][Spt-BH_xls]B___717"/>
      <sheetName val="[Spt-BH.xls][Spt-BH_xls]_Sp_229"/>
      <sheetName val="[Spt-BH.xls][Spt-BH_xls]B___718"/>
      <sheetName val="[Spt-BH.xls][Spt-BH_xls]B___719"/>
      <sheetName val="[Spt-BH.xls][Spt-BH_xls]_Sp_230"/>
      <sheetName val="[Spt-BH.xls][Spt-BH_xls]B___720"/>
      <sheetName val="[Spt-BH.xls][Spt-BH_xls]B___721"/>
      <sheetName val="[Spt-BH.xls][Spt-BH_xls]_Sp_231"/>
      <sheetName val="[Spt-BH.xls][Spt-BH.xls]_Sp_288"/>
      <sheetName val="[Spt-BH.xls][Spt-BH.xls]B___805"/>
      <sheetName val="[Spt-BH.xls][Spt-BH.xls]B___806"/>
      <sheetName val="[Spt-BH.xls][Spt-BH.xls]_Sp_292"/>
      <sheetName val="[Spt-BH.xls][Spt-BH.xls]B___807"/>
      <sheetName val="[Spt-BH.xls][Spt-BH.xls]B___808"/>
      <sheetName val="[Spt-BH.xls][Spt-BH.xls]_Sp_290"/>
      <sheetName val="[Spt-BH.xls][Spt-BH.xls]B___809"/>
      <sheetName val="[Spt-BH.xls][Spt-BH.xls]B___810"/>
      <sheetName val="[Spt-BH.xls][Spt-BH.xls]_Sp_291"/>
      <sheetName val="[Spt-BH.xls][Spt-BH.xls]B___811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_Sp_293"/>
      <sheetName val="[Spt-BH.xls][Spt-BH.xls]B___837"/>
      <sheetName val="[Spt-BH.xls][Spt-BH.xls]B___838"/>
      <sheetName val="[Spt-BH.xls][Spt-BH.xls]_Sp_302"/>
      <sheetName val="[Spt-BH.xls][Spt-BH.xls]B___839"/>
      <sheetName val="[Spt-BH.xls][Spt-BH.xls]B___840"/>
      <sheetName val="[Spt-BH.xls]B____x005f_x0004_______67"/>
      <sheetName val="[Spt-BH.xls]B___x005f_x0000__x005f_x0004_64"/>
      <sheetName val="[Spt-BH.xls][Spt-BH.xls]B___841"/>
      <sheetName val="[Spt-BH.xls][Spt-BH.xls]B___842"/>
      <sheetName val="[Spt-BH.xls][Spt-BH.xls]B___823"/>
      <sheetName val="[Spt-BH.xls][Spt-BH.xls]_Sp_301"/>
      <sheetName val="[Spt-BH.xls][Spt-BH_xls]B___722"/>
      <sheetName val="[Spt-BH.xls][Spt-BH_xls]B___723"/>
      <sheetName val="[Spt-BH.xls][Spt-BH_xls]B___724"/>
      <sheetName val="[Spt-BH.xls][Spt-BH_xls]B___725"/>
      <sheetName val="[Spt-BH.xls][Spt-BH_xls]_Sp_232"/>
      <sheetName val="[Spt-BH.xls][Spt-BH_xls]B___726"/>
      <sheetName val="[Spt-BH.xls][Spt-BH_xls]B___727"/>
      <sheetName val="[Spt-BH.xls][Spt-BH_xls]B___728"/>
      <sheetName val="[Spt-BH.xls][Spt-BH_xls]_Sp_233"/>
      <sheetName val="[Spt-BH.xls][Spt-BH_xls]B___729"/>
      <sheetName val="[Spt-BH.xls][Spt-BH_xls]B___730"/>
      <sheetName val="[Spt-BH.xls][Spt-BH_xls]B___731"/>
      <sheetName val="[Spt-BH.xls][Spt-BH_xls]B___732"/>
      <sheetName val="[Spt-BH.xls][Spt-BH_xls]_Sp_234"/>
      <sheetName val="[Spt-BH.xls][Spt-BH.xls]B___844"/>
      <sheetName val="[Spt-BH.xls][Spt-BH.xls]B___845"/>
      <sheetName val="[Spt-BH.xls][Spt-BH.xls]_Sp_304"/>
      <sheetName val="[Spt-BH.xls][Spt-BH.xls]B___846"/>
      <sheetName val="[Spt-BH.xls][Spt-BH.xls]B___847"/>
      <sheetName val="[Spt-BH.xls]B____x005f_x0004_______70"/>
      <sheetName val="[Spt-BH.xls]B___x005f_x0000__x005f_x0004_67"/>
      <sheetName val="[Spt-BH.xls][Spt-BH.xls]B___848"/>
      <sheetName val="[Spt-BH.xls][Spt-BH.xls]B___849"/>
      <sheetName val="[Spt-BH.xls][Spt-BH.xls]B___843"/>
      <sheetName val="[Spt-BH.xls][Spt-BH.xls]_Sp_303"/>
      <sheetName val="[Spt-BH.xls][Spt-BH_xls]B___767"/>
      <sheetName val="[Spt-BH.xls][Spt-BH_xls]B___768"/>
      <sheetName val="[Spt-BH.xls][Spt-BH_xls]B___769"/>
      <sheetName val="[Spt-BH.xls][Spt-BH_xls]B___770"/>
      <sheetName val="[Spt-BH.xls][Spt-BH_xls]_Sp_247"/>
      <sheetName val="[Spt-BH.xls][Spt-BH_xls]B___771"/>
      <sheetName val="[Spt-BH.xls][Spt-BH_xls]B___772"/>
      <sheetName val="[Spt-BH.xls][Spt-BH_xls]B___773"/>
      <sheetName val="[Spt-BH.xls][Spt-BH_xls]_Sp_248"/>
      <sheetName val="[Spt-BH.xls][Spt-BH_xls]B___774"/>
      <sheetName val="[Spt-BH.xls][Spt-BH_xls]B___775"/>
      <sheetName val="[Spt-BH.xls][Spt-BH_xls]B___776"/>
      <sheetName val="[Spt-BH.xls][Spt-BH_xls]B___777"/>
      <sheetName val="[Spt-BH.xls][Spt-BH_xls]_Sp_249"/>
      <sheetName val="[Spt-BH.xls][Spt-BH.xls]_Sp_298"/>
      <sheetName val="[Spt-BH.xls][Spt-BH.xls]B___830"/>
      <sheetName val="[Spt-BH.xls][Spt-BH.xls]B___831"/>
      <sheetName val="[Spt-BH.xls][Spt-BH.xls]B___832"/>
      <sheetName val="[Spt-BH.xls][Spt-BH.xls]B___833"/>
      <sheetName val="[Spt-BH.xls]B____x005f_x0004_______68"/>
      <sheetName val="[Spt-BH.xls]B___x005f_x0000__x005f_x0004_65"/>
      <sheetName val="[Spt-BH.xls][Spt-BH.xls]B___834"/>
      <sheetName val="[Spt-BH.xls][Spt-BH.xls]B___835"/>
      <sheetName val="[Spt-BH.xls][Spt-BH.xls]_Sp_299"/>
      <sheetName val="[Spt-BH.xls][Spt-BH_xls]B___737"/>
      <sheetName val="[Spt-BH.xls][Spt-BH_xls]B___738"/>
      <sheetName val="[Spt-BH.xls][Spt-BH_xls]B___739"/>
      <sheetName val="[Spt-BH.xls][Spt-BH_xls]B___740"/>
      <sheetName val="[Spt-BH.xls][Spt-BH_xls]_Sp_237"/>
      <sheetName val="[Spt-BH.xls][Spt-BH_xls]B___741"/>
      <sheetName val="[Spt-BH.xls][Spt-BH_xls]B___742"/>
      <sheetName val="[Spt-BH.xls][Spt-BH_xls]B___743"/>
      <sheetName val="[Spt-BH.xls][Spt-BH_xls]_Sp_238"/>
      <sheetName val="[Spt-BH.xls][Spt-BH_xls]B___744"/>
      <sheetName val="[Spt-BH.xls][Spt-BH_xls]B___745"/>
      <sheetName val="[Spt-BH.xls][Spt-BH_xls]B___746"/>
      <sheetName val="[Spt-BH.xls][Spt-BH_xls]B___747"/>
      <sheetName val="[Spt-BH.xls][Spt-BH_xls]_Sp_239"/>
      <sheetName val="[Spt-BH.xls][Spt-BH_xls]B___748"/>
      <sheetName val="[Spt-BH.xls][Spt-BH_xls]B___749"/>
      <sheetName val="[Spt-BH.xls][Spt-BH_xls]_Sp_240"/>
      <sheetName val="[Spt-BH.xls][Spt-BH_xls]B___750"/>
      <sheetName val="[Spt-BH.xls][Spt-BH_xls]B___751"/>
      <sheetName val="[Spt-BH.xls][Spt-BH_xls]_Sp_241"/>
      <sheetName val="[Spt-BH.xls][Spt-BH_xls]B___733"/>
      <sheetName val="[Spt-BH.xls][Spt-BH_xls]B___734"/>
      <sheetName val="[Spt-BH.xls][Spt-BH_xls]_Sp_235"/>
      <sheetName val="[Spt-BH.xls][Spt-BH_xls]B___735"/>
      <sheetName val="[Spt-BH.xls][Spt-BH_xls]B___736"/>
      <sheetName val="[Spt-BH.xls][Spt-BH_xls]_Sp_236"/>
      <sheetName val="[Spt-BH.xls]B____x005f_x0004_______69"/>
      <sheetName val="[Spt-BH.xls]B___x005f_x0000__x005f_x0004_66"/>
      <sheetName val="[Spt-BH.xls][Spt-BH.xls]B___836"/>
      <sheetName val="[Spt-BH.xls][Spt-BH_xls]B___752"/>
      <sheetName val="[Spt-BH.xls][Spt-BH_xls]B___753"/>
      <sheetName val="[Spt-BH.xls][Spt-BH_xls]B___754"/>
      <sheetName val="[Spt-BH.xls][Spt-BH_xls]B___755"/>
      <sheetName val="[Spt-BH.xls][Spt-BH_xls]_Sp_242"/>
      <sheetName val="[Spt-BH.xls][Spt-BH_xls]B___756"/>
      <sheetName val="[Spt-BH.xls][Spt-BH_xls]B___757"/>
      <sheetName val="[Spt-BH.xls][Spt-BH_xls]B___758"/>
      <sheetName val="[Spt-BH.xls][Spt-BH_xls]_Sp_243"/>
      <sheetName val="[Spt-BH.xls][Spt-BH_xls]B___759"/>
      <sheetName val="[Spt-BH.xls][Spt-BH_xls]B___760"/>
      <sheetName val="[Spt-BH.xls][Spt-BH_xls]B___761"/>
      <sheetName val="[Spt-BH.xls][Spt-BH_xls]B___762"/>
      <sheetName val="[Spt-BH.xls][Spt-BH_xls]_Sp_244"/>
      <sheetName val="[Spt-BH.xls][Spt-BH_xls]B___763"/>
      <sheetName val="[Spt-BH.xls][Spt-BH_xls]B___764"/>
      <sheetName val="[Spt-BH.xls][Spt-BH_xls]_Sp_245"/>
      <sheetName val="[Spt-BH.xls][Spt-BH_xls]B___765"/>
      <sheetName val="[Spt-BH.xls][Spt-BH_xls]B___766"/>
      <sheetName val="[Spt-BH.xls][Spt-BH_xls]_Sp_246"/>
      <sheetName val="[Spt-BH.xls][Spt-BH.xls]_Sp_296"/>
      <sheetName val="[Spt-BH.xls][Spt-BH.xls]B___824"/>
      <sheetName val="[Spt-BH.xls][Spt-BH.xls]B___825"/>
      <sheetName val="[Spt-BH.xls][Spt-BH.xls]B___826"/>
      <sheetName val="[Spt-BH.xls][Spt-BH.xls]B___827"/>
      <sheetName val="[Spt-BH.xls][Spt-BH.xls]B___828"/>
      <sheetName val="[Spt-BH.xls][Spt-BH.xls]B___829"/>
      <sheetName val="[Spt-BH.xls][Spt-BH.xls]_Sp_297"/>
      <sheetName val="foot-slab_reinft"/>
      <sheetName val="[Spt-BH_xls][Spt-BH_xls]B@[?_x0"/>
      <sheetName val="[Spt-BH.xls][Spt-BH.xls]_Sp_306"/>
      <sheetName val="[Spt-BH.xls][Spt-BH.xls]_Sp_305"/>
      <sheetName val="[Spt-BH.xls][Spt-BH.xls]_Sp_307"/>
      <sheetName val="[Spt-BH.xls][Spt-BH.xls]_Sp_314"/>
      <sheetName val="[Spt-BH.xls][Spt-BH_xls]B___778"/>
      <sheetName val="[Spt-BH.xls][Spt-BH_xls]B___779"/>
      <sheetName val="[Spt-BH.xls][Spt-BH_xls]_Sp_250"/>
      <sheetName val="[Spt-BH.xls][Spt-BH_xls]B___780"/>
      <sheetName val="[Spt-BH.xls][Spt-BH_xls]B___781"/>
      <sheetName val="[Spt-BH.xls][Spt-BH_xls]_Sp_251"/>
      <sheetName val="[Spt-BH.xls][Spt-BH.xls]B___852"/>
      <sheetName val="[Spt-BH.xls][Spt-BH.xls]B___853"/>
      <sheetName val="[Spt-BH.xls][Spt-BH.xls]B___854"/>
      <sheetName val="[Spt-BH.xls][Spt-BH.xls]B___855"/>
      <sheetName val="[Spt-BH.xls]B____x005f_x0004_______71"/>
      <sheetName val="[Spt-BH.xls][Spt-BH.xls]B___850"/>
      <sheetName val="[Spt-BH.xls]B___x005f_x0000__x005f_x0004_68"/>
      <sheetName val="[Spt-BH.xls][Spt-BH.xls]B___856"/>
      <sheetName val="[Spt-BH.xls][Spt-BH.xls]B___857"/>
      <sheetName val="[Spt-BH.xls][Spt-BH.xls]B___851"/>
      <sheetName val="[Spt-BH.xls][Spt-BH_xls]B___782"/>
      <sheetName val="[Spt-BH.xls][Spt-BH_xls]B___783"/>
      <sheetName val="[Spt-BH.xls][Spt-BH_xls]B___784"/>
      <sheetName val="[Spt-BH.xls][Spt-BH_xls]B___785"/>
      <sheetName val="[Spt-BH.xls][Spt-BH_xls]_Sp_252"/>
      <sheetName val="[Spt-BH.xls][Spt-BH_xls]B___786"/>
      <sheetName val="[Spt-BH.xls][Spt-BH_xls]B___787"/>
      <sheetName val="[Spt-BH.xls][Spt-BH_xls]B___788"/>
      <sheetName val="[Spt-BH.xls][Spt-BH_xls]_Sp_253"/>
      <sheetName val="[Spt-BH.xls][Spt-BH_xls]B___789"/>
      <sheetName val="[Spt-BH.xls][Spt-BH_xls]B___790"/>
      <sheetName val="[Spt-BH.xls][Spt-BH_xls]B___791"/>
      <sheetName val="[Spt-BH.xls][Spt-BH_xls]B___792"/>
      <sheetName val="[Spt-BH.xls][Spt-BH_xls]_Sp_254"/>
      <sheetName val="[Spt-BH.xls][Spt-BH_xls]B___793"/>
      <sheetName val="[Spt-BH.xls][Spt-BH_xls]B___794"/>
      <sheetName val="[Spt-BH.xls][Spt-BH_xls]_Sp_255"/>
      <sheetName val="[Spt-BH.xls][Spt-BH_xls]B___795"/>
      <sheetName val="[Spt-BH.xls][Spt-BH_xls]B___796"/>
      <sheetName val="[Spt-BH.xls][Spt-BH_xls]_Sp_256"/>
      <sheetName val="[Spt-BH.xls][Spt-BH.xls]B___858"/>
      <sheetName val="[Spt-BH.xls][Spt-BH.xls]B___859"/>
      <sheetName val="[Spt-BH.xls][Spt-BH.xls]_Sp_309"/>
      <sheetName val="[Spt-BH.xls][Spt-BH.xls]B___860"/>
      <sheetName val="[Spt-BH.xls][Spt-BH.xls]B___861"/>
      <sheetName val="[Spt-BH.xls][Spt-BH.xls]B___862"/>
      <sheetName val="[Spt-BH.xls][Spt-BH.xls]_Sp_308"/>
      <sheetName val="[Spt-BH.xls][Spt-BH.xls]B___863"/>
      <sheetName val="[Spt-BH.xls][Spt-BH.xls]B___871"/>
      <sheetName val="[Spt-BH.xls][Spt-BH.xls]B___872"/>
      <sheetName val="[Spt-BH.xls][Spt-BH.xls]_Sp_313"/>
      <sheetName val="[Spt-BH.xls][Spt-BH.xls]B___873"/>
      <sheetName val="[Spt-BH.xls][Spt-BH.xls]B___874"/>
      <sheetName val="[Spt-BH.xls]B____x005f_x0004_______72"/>
      <sheetName val="[Spt-BH.xls][Spt-BH.xls]B___864"/>
      <sheetName val="[Spt-BH.xls][Spt-BH.xls]B___865"/>
      <sheetName val="[Spt-BH.xls][Spt-BH.xls]_Sp_311"/>
      <sheetName val="[Spt-BH.xls][Spt-BH.xls]B___866"/>
      <sheetName val="[Spt-BH.xls][Spt-BH.xls]B___867"/>
      <sheetName val="[Spt-BH.xls][Spt-BH.xls]B___868"/>
      <sheetName val="[Spt-BH.xls][Spt-BH.xls]B___869"/>
      <sheetName val="[Spt-BH.xls]B___x005f_x0000__x005f_x0004_69"/>
      <sheetName val="[Spt-BH.xls][Spt-BH.xls]B___875"/>
      <sheetName val="[Spt-BH.xls][Spt-BH.xls]B___876"/>
      <sheetName val="[Spt-BH.xls][Spt-BH.xls]B___870"/>
      <sheetName val="[Spt-BH.xls][Spt-BH.xls]_Sp_312"/>
      <sheetName val="[Spt-BH.xls][Spt-BH_xls]B___797"/>
      <sheetName val="[Spt-BH.xls][Spt-BH_xls]B___798"/>
      <sheetName val="[Spt-BH.xls][Spt-BH_xls]B___799"/>
      <sheetName val="[Spt-BH.xls][Spt-BH_xls]B___800"/>
      <sheetName val="[Spt-BH.xls][Spt-BH_xls]_Sp_257"/>
      <sheetName val="[Spt-BH.xls][Spt-BH_xls]B___801"/>
      <sheetName val="[Spt-BH.xls][Spt-BH_xls]B___802"/>
      <sheetName val="[Spt-BH.xls][Spt-BH_xls]B___803"/>
      <sheetName val="[Spt-BH.xls][Spt-BH_xls]_Sp_258"/>
      <sheetName val="[Spt-BH.xls][Spt-BH_xls]B___804"/>
      <sheetName val="[Spt-BH.xls][Spt-BH_xls]B___805"/>
      <sheetName val="[Spt-BH.xls][Spt-BH_xls]B___806"/>
      <sheetName val="[Spt-BH.xls][Spt-BH_xls]B___807"/>
      <sheetName val="[Spt-BH.xls][Spt-BH_xls]_Sp_259"/>
      <sheetName val="[Spt-BH.xls][Spt-BH.xls]_Sp_310"/>
      <sheetName val="[Spt-BH.xls][Spt-BH_xls]B___808"/>
      <sheetName val="[Spt-BH.xls][Spt-BH_xls]B___809"/>
      <sheetName val="[Spt-BH.xls][Spt-BH_xls]_Sp_260"/>
      <sheetName val="[Spt-BH.xls][Spt-BH_xls]B___810"/>
      <sheetName val="[Spt-BH.xls][Spt-BH_xls]B___811"/>
      <sheetName val="[Spt-BH.xls][Spt-BH_xls]_Sp_261"/>
      <sheetName val="[Spt-BH.xls][Spt-BH.xls]B___904"/>
      <sheetName val="[Spt-BH.xls][Spt-BH.xls]B___905"/>
      <sheetName val="[Spt-BH.xls][Spt-BH.xls]_Sp_327"/>
      <sheetName val="[Spt-BH.xls][Spt-BH.xls]B___906"/>
      <sheetName val="[Spt-BH.xls][Spt-BH.xls]B___907"/>
      <sheetName val="[Spt-BH.xls]B____x005f_x0004_______73"/>
      <sheetName val="[Spt-BH.xls]B___x005f_x0000__x005f_x0004_70"/>
      <sheetName val="[Spt-BH.xls][Spt-BH.xls]B___908"/>
      <sheetName val="[Spt-BH.xls][Spt-BH.xls]B___877"/>
      <sheetName val="[Spt-BH.xls][Spt-BH.xls]B___878"/>
      <sheetName val="[Spt-BH.xls][Spt-BH.xls]_Sp_325"/>
      <sheetName val="[Spt-BH.xls][Spt-BH.xls]B___879"/>
      <sheetName val="[Spt-BH.xls][Spt-BH.xls]B___880"/>
      <sheetName val="[Spt-BH.xls][Spt-BH.xls]B___909"/>
      <sheetName val="[Spt-BH.xls][Spt-BH.xls]_Sp_326"/>
      <sheetName val="[Spt-BH.xls][Spt-BH.xls]B___885"/>
      <sheetName val="[Spt-BH.xls][Spt-BH.xls]B___886"/>
      <sheetName val="[Spt-BH.xls][Spt-BH.xls]_Sp_324"/>
      <sheetName val="[Spt-BH.xls][Spt-BH.xls]B___887"/>
      <sheetName val="[Spt-BH.xls][Spt-BH.xls]B___888"/>
      <sheetName val="[Spt-BH.xls]B____x005f_x0004_______75"/>
      <sheetName val="[Spt-BH.xls][Spt-BH.xls]_Sp_316"/>
      <sheetName val="[Spt-BH.xls][Spt-BH.xls]B___881"/>
      <sheetName val="[Spt-BH.xls][Spt-BH.xls]B___882"/>
      <sheetName val="[Spt-BH.xls][Spt-BH.xls]B___883"/>
      <sheetName val="[Spt-BH.xls][Spt-BH.xls]_Sp_315"/>
      <sheetName val="[Spt-BH.xls]B___x005f_x0000__x005f_x0004_72"/>
      <sheetName val="[Spt-BH.xls][Spt-BH.xls]B___889"/>
      <sheetName val="[Spt-BH.xls][Spt-BH.xls]B___890"/>
      <sheetName val="[Spt-BH.xls][Spt-BH.xls]B___884"/>
      <sheetName val="[Spt-BH.xls]B____x005f_x0004_______74"/>
      <sheetName val="[Spt-BH.xls]B___x005f_x0000__x005f_x0004_71"/>
      <sheetName val="[Spt-BH.xls][Spt-BH.xls]_Sp_317"/>
      <sheetName val="[Spt-BH.xls][Spt-BH_xls]B___812"/>
      <sheetName val="[Spt-BH.xls][Spt-BH_xls]B___813"/>
      <sheetName val="[Spt-BH.xls][Spt-BH_xls]B___814"/>
      <sheetName val="[Spt-BH.xls][Spt-BH_xls]B___815"/>
      <sheetName val="[Spt-BH.xls][Spt-BH_xls]B___816"/>
      <sheetName val="[Spt-BH.xls][Spt-BH_xls]B___817"/>
      <sheetName val="[Spt-BH.xls][Spt-BH_xls]B___818"/>
      <sheetName val="[Spt-BH.xls][Spt-BH_xls]_Sp_262"/>
      <sheetName val="[Spt-BH.xls][Spt-BH.xls]_Sp_321"/>
      <sheetName val="[Spt-BH.xls][Spt-BH.xls]B___892"/>
      <sheetName val="[Spt-BH.xls][Spt-BH.xls]B___893"/>
      <sheetName val="[Spt-BH.xls][Spt-BH.xls]_Sp_320"/>
      <sheetName val="[Spt-BH.xls][Spt-BH.xls]B___894"/>
      <sheetName val="[Spt-BH.xls][Spt-BH.xls]B___895"/>
      <sheetName val="[Spt-BH.xls]B____x005f_x0004_______76"/>
      <sheetName val="[Spt-BH.xls][Spt-BH.xls]_Sp_318"/>
      <sheetName val="[Spt-BH.xls]B___x005f_x0000__x005f_x0004_73"/>
      <sheetName val="[Spt-BH.xls][Spt-BH.xls]B___896"/>
      <sheetName val="[Spt-BH.xls][Spt-BH.xls]B___897"/>
      <sheetName val="[Spt-BH.xls][Spt-BH.xls]B___891"/>
      <sheetName val="[Spt-BH.xls][Spt-BH.xls]_Sp_319"/>
      <sheetName val="[Spt-BH.xls][Spt-BH_xls]B___819"/>
      <sheetName val="[Spt-BH.xls][Spt-BH_xls]B___820"/>
      <sheetName val="[Spt-BH.xls][Spt-BH_xls]B___821"/>
      <sheetName val="[Spt-BH.xls][Spt-BH_xls]B___822"/>
      <sheetName val="[Spt-BH.xls][Spt-BH_xls]_Sp_263"/>
      <sheetName val="[Spt-BH.xls][Spt-BH_xls]B___823"/>
      <sheetName val="[Spt-BH.xls][Spt-BH_xls]B___824"/>
      <sheetName val="[Spt-BH.xls][Spt-BH_xls]B___825"/>
      <sheetName val="[Spt-BH.xls][Spt-BH_xls]_Sp_264"/>
      <sheetName val="[Spt-BH.xls][Spt-BH_xls]B___826"/>
      <sheetName val="[Spt-BH.xls][Spt-BH_xls]B___827"/>
      <sheetName val="[Spt-BH.xls][Spt-BH_xls]B___828"/>
      <sheetName val="[Spt-BH.xls][Spt-BH_xls]B___829"/>
      <sheetName val="[Spt-BH.xls][Spt-BH_xls]_Sp_265"/>
      <sheetName val="[Spt-BH.xls][Spt-BH_xls]B___830"/>
      <sheetName val="[Spt-BH.xls][Spt-BH_xls]B___831"/>
      <sheetName val="[Spt-BH.xls][Spt-BH_xls]_Sp_266"/>
      <sheetName val="[Spt-BH.xls][Spt-BH_xls]B___832"/>
      <sheetName val="[Spt-BH.xls][Spt-BH_xls]B___833"/>
      <sheetName val="[Spt-BH.xls][Spt-BH_xls]_Sp_267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322"/>
      <sheetName val="[Spt-BH.xls][Spt-BH.xls]B___902"/>
      <sheetName val="[Spt-BH.xls][Spt-BH.xls]B___903"/>
      <sheetName val="[Spt-BH.xls][Spt-BH.xls]_Sp_323"/>
      <sheetName val="[Spt-BH.xls][Spt-BH.xls]B___914"/>
      <sheetName val="[Spt-BH.xls][Spt-BH.xls]B___915"/>
      <sheetName val="[Spt-BH.xls][Spt-BH.xls]_Sp_330"/>
      <sheetName val="[Spt-BH.xls][Spt-BH.xls]B___916"/>
      <sheetName val="[Spt-BH.xls][Spt-BH.xls]B___917"/>
      <sheetName val="[Spt-BH.xls][Spt-BH.xls]_Sp_328"/>
      <sheetName val="[Spt-BH.xls][Spt-BH.xls]B___910"/>
      <sheetName val="[Spt-BH.xls][Spt-BH.xls]B___911"/>
      <sheetName val="[Spt-BH.xls][Spt-BH.xls]_Sp_329"/>
      <sheetName val="[Spt-BH.xls][Spt-BH.xls]B___912"/>
      <sheetName val="[Spt-BH.xls][Spt-BH.xls]B___913"/>
      <sheetName val="[Spt-BH.xls][Spt-BH.xls]B___918"/>
      <sheetName val="[Spt-BH.xls][Spt-BH.xls]B___919"/>
      <sheetName val="[Spt-BH.xls][Spt-BH.xls]_Sp_331"/>
      <sheetName val="[Spt-BH.xls][Spt-BH.xls]B___920"/>
      <sheetName val="[Spt-BH.xls][Spt-BH.xls]B___921"/>
      <sheetName val="[Spt-BH.xls][Spt-BH.xls]_Sp_333"/>
      <sheetName val="[Spt-BH.xls][Spt-BH.xls]_Sp_332"/>
      <sheetName val="[Spt-BH.xls][Spt-BH.xls]_Sp_334"/>
      <sheetName val="[Spt-BH.xls][Spt-BH.xls]B___922"/>
      <sheetName val="[Spt-BH.xls][Spt-BH.xls]B___923"/>
      <sheetName val="[Spt-BH.xls][Spt-BH.xls]_Sp_335"/>
      <sheetName val="[Spt-BH.xls][Spt-BH.xls]B___924"/>
      <sheetName val="[Spt-BH.xls][Spt-BH.xls]B___925"/>
      <sheetName val="[Spt-BH.xls]B____x005f_x0004_______77"/>
      <sheetName val="[Spt-BH.xls][Spt-BH.xls]_Sp_352"/>
      <sheetName val="[Spt-BH.xls][Spt-BH.xls]B___984"/>
      <sheetName val="[Spt-BH.xls][Spt-BH.xls]B___985"/>
      <sheetName val="[Spt-BH.xls][Spt-BH.xls]_Sp_354"/>
      <sheetName val="[Spt-BH.xls][Spt-BH.xls]B___986"/>
      <sheetName val="[Spt-BH.xls][Spt-BH.xls]B___987"/>
      <sheetName val="[Spt-BH.xls][Spt-BH.xls]B___988"/>
      <sheetName val="[Spt-BH.xls][Spt-BH.xls]B___989"/>
      <sheetName val="[Spt-BH.xls][Spt-BH.xls]_Sp_353"/>
      <sheetName val="[Spt-BH.xls][Spt-BH.xls]B___991"/>
      <sheetName val="[Spt-BH.xls][Spt-BH.xls]B___992"/>
      <sheetName val="[Spt-BH.xls][Spt-BH.xls]_Sp_356"/>
      <sheetName val="[Spt-BH.xls][Spt-BH.xls]B___993"/>
      <sheetName val="[Spt-BH.xls][Spt-BH.xls]B___994"/>
      <sheetName val="[Spt-BH.xls]B____x005f_x0004_______81"/>
      <sheetName val="[Spt-BH.xls]B___x005f_x0000__x005f_x0004_78"/>
      <sheetName val="[Spt-BH.xls][Spt-BH.xls]B___995"/>
      <sheetName val="[Spt-BH.xls][Spt-BH.xls]B___996"/>
      <sheetName val="[Spt-BH.xls][Spt-BH.xls]B___990"/>
      <sheetName val="[Spt-BH.xls][Spt-BH.xls]_Sp_355"/>
      <sheetName val="[Spt-BH.xls][Spt-BH_xls]B___913"/>
      <sheetName val="[Spt-BH.xls][Spt-BH_xls]B___914"/>
      <sheetName val="[Spt-BH.xls][Spt-BH_xls]B___915"/>
      <sheetName val="[Spt-BH.xls][Spt-BH_xls]B___916"/>
      <sheetName val="[Spt-BH.xls][Spt-BH_xls]_Sp_295"/>
      <sheetName val="[Spt-BH.xls][Spt-BH_xls]B___917"/>
      <sheetName val="[Spt-BH.xls][Spt-BH_xls]B___918"/>
      <sheetName val="[Spt-BH.xls][Spt-BH_xls]B___919"/>
      <sheetName val="[Spt-BH.xls][Spt-BH_xls]_Sp_296"/>
      <sheetName val="[Spt-BH.xls][Spt-BH_xls]B___920"/>
      <sheetName val="[Spt-BH.xls][Spt-BH_xls]B___921"/>
      <sheetName val="[Spt-BH.xls][Spt-BH_xls]B___922"/>
      <sheetName val="[Spt-BH.xls][Spt-BH_xls]B___923"/>
      <sheetName val="[Spt-BH.xls][Spt-BH_xls]_Sp_297"/>
      <sheetName val="[Spt-BH.xls][Spt-BH_xls]B___924"/>
      <sheetName val="[Spt-BH.xls][Spt-BH_xls]B___925"/>
      <sheetName val="[Spt-BH.xls][Spt-BH_xls]_Sp_298"/>
      <sheetName val="[Spt-BH.xls][Spt-BH_xls]B___926"/>
      <sheetName val="[Spt-BH.xls][Spt-BH_xls]B___927"/>
      <sheetName val="[Spt-BH.xls][Spt-BH_xls]_Sp_299"/>
      <sheetName val="[Spt-BH.xls][Spt-BH.xls]_Sp_336"/>
      <sheetName val="[Spt-BH.xls][Spt-BH.xls]B___926"/>
      <sheetName val="[Spt-BH.xls][Spt-BH.xls]B___927"/>
      <sheetName val="[Spt-BH.xls][Spt-BH.xls]B___928"/>
      <sheetName val="[Spt-BH.xls][Spt-BH.xls]B___929"/>
      <sheetName val="[Spt-BH.xls][Spt-BH.xls]B___930"/>
      <sheetName val="[Spt-BH.xls][Spt-BH.xls]B___931"/>
      <sheetName val="[Spt-BH.xls][Spt-BH.xls]_Sp_337"/>
      <sheetName val="[Spt-BH.xls]B____x005f_x0004_______78"/>
      <sheetName val="[Spt-BH.xls]B___x005f_x0000__x005f_x0004_74"/>
      <sheetName val="[Spt-BH.xls][Spt-BH.xls]B___932"/>
      <sheetName val="[Spt-BH.xls][Spt-BH_xls]B___834"/>
      <sheetName val="[Spt-BH.xls][Spt-BH_xls]B___835"/>
      <sheetName val="[Spt-BH.xls][Spt-BH_xls]B___836"/>
      <sheetName val="[Spt-BH.xls][Spt-BH_xls]B___837"/>
      <sheetName val="[Spt-BH.xls][Spt-BH_xls]_Sp_268"/>
      <sheetName val="[Spt-BH.xls][Spt-BH_xls]B___838"/>
      <sheetName val="[Spt-BH.xls][Spt-BH_xls]B___839"/>
      <sheetName val="[Spt-BH.xls][Spt-BH_xls]B___840"/>
      <sheetName val="[Spt-BH.xls][Spt-BH_xls]_Sp_269"/>
      <sheetName val="[Spt-BH.xls][Spt-BH_xls]B___841"/>
      <sheetName val="[Spt-BH.xls][Spt-BH_xls]B___842"/>
      <sheetName val="[Spt-BH.xls][Spt-BH_xls]B___843"/>
      <sheetName val="[Spt-BH.xls][Spt-BH_xls]B___844"/>
      <sheetName val="[Spt-BH.xls][Spt-BH_xls]_Sp_270"/>
      <sheetName val="[Spt-BH.xls][Spt-BH_xls]B___845"/>
      <sheetName val="[Spt-BH.xls][Spt-BH_xls]B___846"/>
      <sheetName val="[Spt-BH.xls][Spt-BH_xls]_Sp_271"/>
      <sheetName val="[Spt-BH.xls][Spt-BH_xls]B___847"/>
      <sheetName val="[Spt-BH.xls][Spt-BH_xls]B___848"/>
      <sheetName val="[Spt-BH.xls][Spt-BH_xls]_Sp_272"/>
      <sheetName val="ESSF-059 R7"/>
      <sheetName val="[Spt-BH.xls]B@["/>
      <sheetName val="_Spt-BH.xls__Spt-BH.xls_B@_@__$"/>
      <sheetName val="_Spt-BH.xls_B@_"/>
      <sheetName val="_Spt-BH.xls_B@___x0004_@_____$__"/>
      <sheetName val="_Spt-BH.xls_B@_@__$"/>
      <sheetName val="_Spt-BH.xls_B@__@_____$__"/>
      <sheetName val="_Spt-BH.xls_B@___x0004_@___$_"/>
      <sheetName val="JMR abstract"/>
      <sheetName val="DM tANK Allow"/>
      <sheetName val="CGL"/>
      <sheetName val="BTB"/>
      <sheetName val="cf"/>
      <sheetName val="orders"/>
      <sheetName val="Vind - BtB"/>
      <sheetName val="R2"/>
      <sheetName val="MG"/>
      <sheetName val="LANGUAGE"/>
      <sheetName val="B@__x0000__x0"/>
      <sheetName val="_Spt-BH.xls__Spt-BH.xls_B@__x00"/>
      <sheetName val="_Spt-BH.xls__Spt-BH.xls_B@___x0"/>
      <sheetName val="_Spt-BH.xls_B@__x0000__x0004_@_"/>
      <sheetName val="_Spt-BH.xls_B@___x0004_@_____$_"/>
      <sheetName val="beam-reinft-machine rm"/>
      <sheetName val="Schedule(4)"/>
      <sheetName val="1010"/>
      <sheetName val="1020"/>
      <sheetName val="1090"/>
      <sheetName val="Camp Power Cost"/>
      <sheetName val="Camp_Power_Cost"/>
      <sheetName val="Rate analysis civil"/>
      <sheetName val="material and Labour rate"/>
      <sheetName val="Sheet3 (2)"/>
      <sheetName val="Wing Wise Status"/>
      <sheetName val="PPA Summary"/>
      <sheetName val="B@___x005f_x0004_@_"/>
      <sheetName val="B@__x005f_x005f_x00"/>
      <sheetName val="B@___x005f_x005f_x0"/>
      <sheetName val="_Spt-BH.xls_B@__@___$_"/>
      <sheetName val="Detail In Door Stad"/>
      <sheetName val="B@[_x005f_x0000__x005f_x0004_@_"/>
      <sheetName val="13. Steel - Ratio"/>
      <sheetName val="Bill No 2 to 8 (Rev)"/>
      <sheetName val="COP"/>
      <sheetName val="INDIGINEOUS ITEMS "/>
      <sheetName val="intr stool brkup"/>
      <sheetName val="_Spt-BH_xls__Spt-BH_xls_B@_@"/>
      <sheetName val="B@[_x0000__x0004_@_x0000__x0000"/>
      <sheetName val="Lowside"/>
      <sheetName val="Sales"/>
      <sheetName val="master"/>
      <sheetName val="TB"/>
      <sheetName val="Day work"/>
      <sheetName val="CLAY"/>
      <sheetName val="SàQa_x0005_@???²"/>
      <sheetName val="Parameter"/>
      <sheetName val="CashFlow"/>
      <sheetName val="A01-A02-L&amp;T"/>
      <sheetName val="01"/>
      <sheetName val="TMT STEEL"/>
      <sheetName val="Extra Item"/>
      <sheetName val="SEW4"/>
      <sheetName val="Cost_Any."/>
      <sheetName val="acevsSp (ABC)"/>
      <sheetName val="Calculation Sheet"/>
      <sheetName val="SàQa_x0005_@_x0000_"/>
      <sheetName val="Data_sheet"/>
      <sheetName val="beam-reinft-machine_rm"/>
      <sheetName val="Vind_-_BtB"/>
      <sheetName val="Data_sheet1"/>
      <sheetName val="beam-reinft-machine_rm1"/>
      <sheetName val="Vind_-_BtB1"/>
      <sheetName val="2_BHK1"/>
      <sheetName val="BALANCE-IOTL_1"/>
      <sheetName val="SP&amp;ST_제출가1"/>
      <sheetName val="Basic_Rates1"/>
      <sheetName val="activit-graph__1"/>
      <sheetName val="kppl_pl1"/>
      <sheetName val="det_est"/>
      <sheetName val="CASHFLOWS"/>
      <sheetName val="선수금"/>
      <sheetName val="입찰내역 발주처 양식"/>
      <sheetName val="detail'02"/>
      <sheetName val="SC Cost FEB 03"/>
      <sheetName val="Internet"/>
      <sheetName val="Meas.-Hotel Part"/>
      <sheetName val="B@___x0004_@_"/>
      <sheetName val="B@__x00"/>
      <sheetName val="B@___x0"/>
      <sheetName val="B@__x005F"/>
      <sheetName val="[Spt-BH.xls][Spt-BH.xls]_Sp_338"/>
      <sheetName val="[Spt-BH.xls][Spt-BH.xls]B___938"/>
      <sheetName val="[Spt-BH.xls][Spt-BH.xls]B___939"/>
      <sheetName val="[Spt-BH.xls][Spt-BH.xls]B___940"/>
      <sheetName val="[Spt-BH.xls][Spt-BH.xls]B___941"/>
      <sheetName val="[Spt-BH.xls][Spt-BH.xls]B___942"/>
      <sheetName val="[Spt-BH.xls][Spt-BH.xls]B___943"/>
      <sheetName val="[Spt-BH.xls][Spt-BH.xls]B___933"/>
      <sheetName val="[Spt-BH.xls][Spt-BH.xls]B___934"/>
      <sheetName val="[Spt-BH.xls][Spt-BH.xls]B___935"/>
      <sheetName val="[Spt-BH.xls][Spt-BH.xls]B___936"/>
      <sheetName val="[Spt-BH.xls][Spt-BH.xls]B___937"/>
      <sheetName val="[Spt-BH.xls][Spt-BH.xls]B___951"/>
      <sheetName val="[Spt-BH.xls][Spt-BH.xls]B___952"/>
      <sheetName val="[Spt-BH.xls][Spt-BH.xls]_Sp_342"/>
      <sheetName val="[Spt-BH.xls][Spt-BH.xls]B___953"/>
      <sheetName val="[Spt-BH.xls][Spt-BH.xls]B___954"/>
      <sheetName val="[Spt-BH.xls][Spt-BH.xls]B___944"/>
      <sheetName val="[Spt-BH.xls][Spt-BH.xls]B___945"/>
      <sheetName val="[Spt-BH.xls][Spt-BH.xls]_Sp_340"/>
      <sheetName val="[Spt-BH.xls][Spt-BH.xls]B___946"/>
      <sheetName val="[Spt-BH.xls][Spt-BH.xls]B___947"/>
      <sheetName val="[Spt-BH.xls][Spt-BH.xls]B___948"/>
      <sheetName val="[Spt-BH.xls][Spt-BH.xls]B___949"/>
      <sheetName val="[Spt-BH.xls][Spt-BH.xls]B___955"/>
      <sheetName val="[Spt-BH.xls][Spt-BH.xls]B___956"/>
      <sheetName val="[Spt-BH.xls][Spt-BH.xls]B___950"/>
      <sheetName val="[Spt-BH.xls][Spt-BH.xls]_Sp_341"/>
      <sheetName val="[Spt-BH.xls][Spt-BH_xls]_Sp_273"/>
      <sheetName val="[Spt-BH.xls][Spt-BH_xls]B___849"/>
      <sheetName val="[Spt-BH.xls][Spt-BH_xls]B___850"/>
      <sheetName val="[Spt-BH.xls][Spt-BH_xls]B___851"/>
      <sheetName val="[Spt-BH.xls][Spt-BH_xls]B___852"/>
      <sheetName val="[Spt-BH.xls][Spt-BH_xls]_Sp_274"/>
      <sheetName val="[Spt-BH.xls][Spt-BH.xls]_Sp_339"/>
      <sheetName val="[Spt-BH.xls][Spt-BH_xls]B___853"/>
      <sheetName val="[Spt-BH.xls][Spt-BH_xls]B___854"/>
      <sheetName val="[Spt-BH.xls][Spt-BH_xls]_Sp_275"/>
      <sheetName val="[Spt-BH.xls][Spt-BH_xls]B___855"/>
      <sheetName val="[Spt-BH.xls][Spt-BH_xls]B___856"/>
      <sheetName val="[Spt-BH.xls][Spt-BH_xls]_Sp_276"/>
      <sheetName val="[Spt-BH.xls][Spt-BH.xls]B___958"/>
      <sheetName val="[Spt-BH.xls][Spt-BH.xls]B___959"/>
      <sheetName val="[Spt-BH.xls][Spt-BH.xls]_Sp_344"/>
      <sheetName val="[Spt-BH.xls][Spt-BH.xls]B___960"/>
      <sheetName val="[Spt-BH.xls][Spt-BH.xls]B___961"/>
      <sheetName val="[Spt-BH.xls][Spt-BH.xls]B___962"/>
      <sheetName val="[Spt-BH.xls][Spt-BH.xls]B___963"/>
      <sheetName val="[Spt-BH.xls][Spt-BH.xls]B___957"/>
      <sheetName val="[Spt-BH.xls][Spt-BH.xls]_Sp_343"/>
      <sheetName val="[Spt-BH.xls][Spt-BH_xls]B___857"/>
      <sheetName val="[Spt-BH.xls][Spt-BH_xls]B___858"/>
      <sheetName val="[Spt-BH.xls][Spt-BH_xls]B___859"/>
      <sheetName val="[Spt-BH.xls][Spt-BH_xls]B___860"/>
      <sheetName val="[Spt-BH.xls][Spt-BH_xls]_Sp_277"/>
      <sheetName val="[Spt-BH.xls][Spt-BH_xls]B___861"/>
      <sheetName val="[Spt-BH.xls][Spt-BH_xls]B___862"/>
      <sheetName val="[Spt-BH.xls][Spt-BH_xls]B___863"/>
      <sheetName val="[Spt-BH.xls][Spt-BH_xls]_Sp_278"/>
      <sheetName val="[Spt-BH.xls][Spt-BH_xls]B___864"/>
      <sheetName val="[Spt-BH.xls][Spt-BH_xls]B___865"/>
      <sheetName val="[Spt-BH.xls][Spt-BH_xls]B___866"/>
      <sheetName val="[Spt-BH.xls][Spt-BH_xls]B___867"/>
      <sheetName val="[Spt-BH.xls][Spt-BH_xls]_Sp_279"/>
      <sheetName val="[Spt-BH.xls][Spt-BH_xls]B___868"/>
      <sheetName val="[Spt-BH.xls][Spt-BH_xls]B___869"/>
      <sheetName val="[Spt-BH.xls][Spt-BH_xls]_Sp_280"/>
      <sheetName val="[Spt-BH.xls][Spt-BH_xls]B___870"/>
      <sheetName val="[Spt-BH.xls][Spt-BH_xls]B___871"/>
      <sheetName val="[Spt-BH.xls][Spt-BH_xls]_Sp_281"/>
      <sheetName val="[Spt-BH.xls][Spt-BH.xls]_Sp_345"/>
      <sheetName val="[Spt-BH.xls][Spt-BH.xls]B___964"/>
      <sheetName val="[Spt-BH.xls][Spt-BH.xls]B___965"/>
      <sheetName val="[Spt-BH.xls][Spt-BH.xls]_Sp_347"/>
      <sheetName val="[Spt-BH.xls][Spt-BH.xls]B___966"/>
      <sheetName val="[Spt-BH.xls][Spt-BH.xls]B___967"/>
      <sheetName val="[Spt-BH.xls][Spt-BH.xls]B___971"/>
      <sheetName val="[Spt-BH.xls][Spt-BH.xls]B___972"/>
      <sheetName val="[Spt-BH.xls][Spt-BH.xls]_Sp_349"/>
      <sheetName val="[Spt-BH.xls][Spt-BH.xls]B___973"/>
      <sheetName val="[Spt-BH.xls][Spt-BH.xls]B___974"/>
      <sheetName val="[Spt-BH.xls][Spt-BH.xls]B___968"/>
      <sheetName val="[Spt-BH.xls][Spt-BH.xls]B___969"/>
      <sheetName val="[Spt-BH.xls][Spt-BH.xls]B___975"/>
      <sheetName val="[Spt-BH.xls][Spt-BH.xls]B___976"/>
      <sheetName val="[Spt-BH.xls][Spt-BH.xls]B___970"/>
      <sheetName val="[Spt-BH.xls][Spt-BH.xls]_Sp_348"/>
      <sheetName val="[Spt-BH.xls][Spt-BH_xls]B___872"/>
      <sheetName val="[Spt-BH.xls][Spt-BH_xls]B___873"/>
      <sheetName val="[Spt-BH.xls][Spt-BH_xls]B___874"/>
      <sheetName val="[Spt-BH.xls][Spt-BH_xls]B___875"/>
      <sheetName val="[Spt-BH.xls][Spt-BH_xls]_Sp_282"/>
      <sheetName val="[Spt-BH.xls][Spt-BH_xls]B___876"/>
      <sheetName val="[Spt-BH.xls][Spt-BH_xls]B___877"/>
      <sheetName val="[Spt-BH.xls][Spt-BH_xls]B___878"/>
      <sheetName val="[Spt-BH.xls][Spt-BH_xls]_Sp_283"/>
      <sheetName val="[Spt-BH.xls][Spt-BH_xls]B___879"/>
      <sheetName val="[Spt-BH.xls][Spt-BH_xls]B___880"/>
      <sheetName val="[Spt-BH.xls][Spt-BH_xls]B___881"/>
      <sheetName val="[Spt-BH.xls][Spt-BH_xls]B___882"/>
      <sheetName val="[Spt-BH.xls][Spt-BH_xls]_Sp_284"/>
      <sheetName val="[Spt-BH.xls][Spt-BH.xls]_Sp_346"/>
      <sheetName val="[Spt-BH.xls][Spt-BH_xls]B___883"/>
      <sheetName val="[Spt-BH.xls][Spt-BH_xls]B___884"/>
      <sheetName val="[Spt-BH.xls][Spt-BH_xls]_Sp_285"/>
      <sheetName val="[Spt-BH.xls][Spt-BH_xls]B___885"/>
      <sheetName val="[Spt-BH.xls][Spt-BH_xls]B___886"/>
      <sheetName val="[Spt-BH.xls][Spt-BH_xls]_Sp_286"/>
      <sheetName val="[Spt-BH.xls][Spt-BH.xls]B___978"/>
      <sheetName val="[Spt-BH.xls][Spt-BH.xls]B___979"/>
      <sheetName val="[Spt-BH.xls][Spt-BH.xls]B___980"/>
      <sheetName val="[Spt-BH.xls][Spt-BH.xls]B___981"/>
      <sheetName val="[Spt-BH.xls]B____x005f_x0004_______80"/>
      <sheetName val="[Spt-BH.xls]B___x005f_x0000__x005f_x0004_77"/>
      <sheetName val="[Spt-BH.xls][Spt-BH.xls]B___982"/>
      <sheetName val="[Spt-BH.xls][Spt-BH.xls]B___983"/>
      <sheetName val="[Spt-BH.xls][Spt-BH.xls]B___977"/>
      <sheetName val="[Spt-BH.xls][Spt-BH.xls]_Sp_350"/>
      <sheetName val="[Spt-BH.xls][Spt-BH_xls]B___887"/>
      <sheetName val="[Spt-BH.xls][Spt-BH_xls]B___888"/>
      <sheetName val="[Spt-BH.xls][Spt-BH_xls]B___889"/>
      <sheetName val="[Spt-BH.xls][Spt-BH_xls]B___890"/>
      <sheetName val="[Spt-BH.xls][Spt-BH_xls]_Sp_287"/>
      <sheetName val="[Spt-BH.xls][Spt-BH_xls]B___891"/>
      <sheetName val="[Spt-BH.xls][Spt-BH_xls]B___892"/>
      <sheetName val="[Spt-BH.xls][Spt-BH_xls]B___893"/>
      <sheetName val="[Spt-BH.xls][Spt-BH_xls]_Sp_288"/>
      <sheetName val="[Spt-BH.xls][Spt-BH_xls]B___894"/>
      <sheetName val="[Spt-BH.xls][Spt-BH_xls]B___895"/>
      <sheetName val="[Spt-BH.xls][Spt-BH_xls]B___896"/>
      <sheetName val="[Spt-BH.xls][Spt-BH_xls]B___897"/>
      <sheetName val="[Spt-BH.xls][Spt-BH_xls]_Sp_289"/>
      <sheetName val="[Spt-BH.xls][Spt-BH_xls]B___898"/>
      <sheetName val="[Spt-BH.xls][Spt-BH_xls]B___899"/>
      <sheetName val="[Spt-BH.xls][Spt-BH_xls]_Sp_290"/>
      <sheetName val="[Spt-BH.xls][Spt-BH_xls]B___900"/>
      <sheetName val="[Spt-BH.xls][Spt-BH_xls]B___901"/>
      <sheetName val="[Spt-BH.xls][Spt-BH_xls]_Sp_291"/>
      <sheetName val="[Spt-BH.xls]B____x005f_x0004_______79"/>
      <sheetName val="[Spt-BH.xls]B___x005f_x0000__x005f_x0004_76"/>
      <sheetName val="[Spt-BH.xls]B___x005f_x0000__x005f_x0004_75"/>
      <sheetName val="[Spt-BH.xls][Spt-BH_xls]B___902"/>
      <sheetName val="[Spt-BH.xls][Spt-BH_xls]B___903"/>
      <sheetName val="[Spt-BH.xls][Spt-BH_xls]B___904"/>
      <sheetName val="[Spt-BH.xls][Spt-BH_xls]B___905"/>
      <sheetName val="[Spt-BH.xls][Spt-BH_xls]B___906"/>
      <sheetName val="[Spt-BH.xls][Spt-BH_xls]B___907"/>
      <sheetName val="[Spt-BH.xls][Spt-BH_xls]B___908"/>
      <sheetName val="[Spt-BH.xls][Spt-BH_xls]_Sp_292"/>
      <sheetName val="[Spt-BH.xls][Spt-BH_xls]B___909"/>
      <sheetName val="[Spt-BH.xls][Spt-BH_xls]B___910"/>
      <sheetName val="[Spt-BH.xls][Spt-BH_xls]_Sp_293"/>
      <sheetName val="[Spt-BH.xls][Spt-BH_xls]B___911"/>
      <sheetName val="[Spt-BH.xls][Spt-BH_xls]B___912"/>
      <sheetName val="[Spt-BH.xls][Spt-BH_xls]_Sp_294"/>
      <sheetName val="[Spt-BH.xls][Spt-BH.xls]_Sp_351"/>
      <sheetName val="[Spt-BH.xls][Spt-BH.xls]_Sp_357"/>
      <sheetName val="[Spt-BH.xls][Spt-BH.xls]B___997"/>
      <sheetName val="[Spt-BH.xls][Spt-BH.xls]B___998"/>
      <sheetName val="[Spt-BH.xls][Spt-BH.xls]_Sp_361"/>
      <sheetName val="[Spt-BH.xls][Spt-BH.xls]B___999"/>
      <sheetName val="[Spt-BH.xls][Spt-BH.xls]B__1000"/>
      <sheetName val="[Spt-BH.xls][Spt-BH.xls]B__1001"/>
      <sheetName val="[Spt-BH.xls][Spt-BH.xls]B__1002"/>
      <sheetName val="[Spt-BH.xls][Spt-BH.xls]_Sp_358"/>
      <sheetName val="[Spt-BH.xls][Spt-BH.xls]_Sp_359"/>
      <sheetName val="[Spt-BH.xls][Spt-BH.xls]B__1004"/>
      <sheetName val="[Spt-BH.xls][Spt-BH.xls]B__1005"/>
      <sheetName val="[Spt-BH.xls][Spt-BH.xls]B__1006"/>
      <sheetName val="[Spt-BH.xls][Spt-BH.xls]B__1007"/>
      <sheetName val="[Spt-BH.xls][Spt-BH.xls]B__1008"/>
      <sheetName val="[Spt-BH.xls][Spt-BH.xls]B__1009"/>
      <sheetName val="[Spt-BH.xls][Spt-BH.xls]_Sp_360"/>
      <sheetName val="[Spt-BH.xls][Spt-BH.xls]B__1011"/>
      <sheetName val="[Spt-BH.xls][Spt-BH.xls]B__1012"/>
      <sheetName val="[Spt-BH.xls][Spt-BH.xls]_Sp_369"/>
      <sheetName val="[Spt-BH.xls][Spt-BH.xls]B__1013"/>
      <sheetName val="[Spt-BH.xls][Spt-BH.xls]B__1014"/>
      <sheetName val="[Spt-BH.xls]B____x005f_x0004_______83"/>
      <sheetName val="[Spt-BH.xls]B___x005f_x0000__x005f_x0004_80"/>
      <sheetName val="[Spt-BH.xls][Spt-BH.xls]B__1015"/>
      <sheetName val="[Spt-BH.xls][Spt-BH.xls]B__1016"/>
      <sheetName val="[Spt-BH.xls][Spt-BH.xls]B__1010"/>
      <sheetName val="[Spt-BH.xls][Spt-BH.xls]_Sp_362"/>
      <sheetName val="[Spt-BH.xls][Spt-BH_xls]B___943"/>
      <sheetName val="[Spt-BH.xls][Spt-BH_xls]B___944"/>
      <sheetName val="[Spt-BH.xls][Spt-BH_xls]B___945"/>
      <sheetName val="[Spt-BH.xls][Spt-BH_xls]B___946"/>
      <sheetName val="[Spt-BH.xls][Spt-BH_xls]_Sp_305"/>
      <sheetName val="[Spt-BH.xls][Spt-BH_xls]B___947"/>
      <sheetName val="[Spt-BH.xls][Spt-BH_xls]B___948"/>
      <sheetName val="[Spt-BH.xls][Spt-BH_xls]B___949"/>
      <sheetName val="[Spt-BH.xls][Spt-BH_xls]_Sp_306"/>
      <sheetName val="[Spt-BH.xls][Spt-BH_xls]B___950"/>
      <sheetName val="[Spt-BH.xls][Spt-BH_xls]B___951"/>
      <sheetName val="[Spt-BH.xls][Spt-BH_xls]B___952"/>
      <sheetName val="[Spt-BH.xls][Spt-BH_xls]B___953"/>
      <sheetName val="[Spt-BH.xls][Spt-BH_xls]_Sp_307"/>
      <sheetName val="[Spt-BH.xls][Spt-BH_xls]B___954"/>
      <sheetName val="[Spt-BH.xls][Spt-BH_xls]B___955"/>
      <sheetName val="[Spt-BH.xls][Spt-BH_xls]_Sp_308"/>
      <sheetName val="[Spt-BH.xls][Spt-BH_xls]B___956"/>
      <sheetName val="[Spt-BH.xls][Spt-BH_xls]B___957"/>
      <sheetName val="[Spt-BH.xls][Spt-BH_xls]_Sp_309"/>
      <sheetName val="[Spt-BH.xls]B____x005f_x0004_______82"/>
      <sheetName val="[Spt-BH.xls]B___x005f_x0000__x005f_x0004_79"/>
      <sheetName val="[Spt-BH.xls][Spt-BH.xls]B__1003"/>
      <sheetName val="[Spt-BH.xls][Spt-BH_xls]B___928"/>
      <sheetName val="[Spt-BH.xls][Spt-BH_xls]B___929"/>
      <sheetName val="[Spt-BH.xls][Spt-BH_xls]B___930"/>
      <sheetName val="[Spt-BH.xls][Spt-BH_xls]B___931"/>
      <sheetName val="[Spt-BH.xls][Spt-BH_xls]_Sp_300"/>
      <sheetName val="[Spt-BH.xls][Spt-BH_xls]B___932"/>
      <sheetName val="[Spt-BH.xls][Spt-BH_xls]B___933"/>
      <sheetName val="[Spt-BH.xls][Spt-BH_xls]B___934"/>
      <sheetName val="[Spt-BH.xls][Spt-BH_xls]_Sp_301"/>
      <sheetName val="[Spt-BH.xls][Spt-BH_xls]B___935"/>
      <sheetName val="[Spt-BH.xls][Spt-BH_xls]B___936"/>
      <sheetName val="[Spt-BH.xls][Spt-BH_xls]B___937"/>
      <sheetName val="[Spt-BH.xls][Spt-BH_xls]B___938"/>
      <sheetName val="[Spt-BH.xls][Spt-BH_xls]_Sp_302"/>
      <sheetName val="[Spt-BH.xls][Spt-BH_xls]B___939"/>
      <sheetName val="[Spt-BH.xls][Spt-BH_xls]B___940"/>
      <sheetName val="[Spt-BH.xls][Spt-BH_xls]_Sp_303"/>
      <sheetName val="[Spt-BH.xls][Spt-BH_xls]B___941"/>
      <sheetName val="[Spt-BH.xls][Spt-BH_xls]B___942"/>
      <sheetName val="[Spt-BH.xls][Spt-BH_xls]_Sp_304"/>
      <sheetName val="[Spt-BH.xls][Spt-BH.xls]B__1034"/>
      <sheetName val="[Spt-BH.xls][Spt-BH.xls]B__1035"/>
      <sheetName val="[Spt-BH.xls][Spt-BH.xls]_Sp_374"/>
      <sheetName val="[Spt-BH.xls][Spt-BH.xls]B__1036"/>
      <sheetName val="[Spt-BH.xls][Spt-BH.xls]B__1037"/>
      <sheetName val="[Spt-BH.xls][Spt-BH.xls]B__1038"/>
      <sheetName val="[Spt-BH.xls][Spt-BH.xls]B__1039"/>
      <sheetName val="[Spt-BH.xls][Spt-BH.xls]_Sp_370"/>
      <sheetName val="[Spt-BH.xls][Spt-BH.xls]B__1052"/>
      <sheetName val="[Spt-BH.xls][Spt-BH.xls]B__1053"/>
      <sheetName val="[Spt-BH.xls][Spt-BH.xls]B__1054"/>
      <sheetName val="[Spt-BH.xls][Spt-BH.xls]B__1055"/>
      <sheetName val="[Spt-BH.xls]B____x005f_x0004_______86"/>
      <sheetName val="[Spt-BH.xls]B___x005f_x0000__x005f_x0004_83"/>
      <sheetName val="[Spt-BH.xls][Spt-BH.xls]B__1056"/>
      <sheetName val="[Spt-BH.xls][Spt-BH.xls]B__1057"/>
      <sheetName val="[Spt-BH.xls][Spt-BH.xls]B__1040"/>
      <sheetName val="[Spt-BH.xls][Spt-BH.xls]_Sp_375"/>
      <sheetName val="[Spt-BH.xls][Spt-BH_xls]B___988"/>
      <sheetName val="[Spt-BH.xls][Spt-BH_xls]B___989"/>
      <sheetName val="[Spt-BH.xls][Spt-BH_xls]B___990"/>
      <sheetName val="[Spt-BH.xls][Spt-BH_xls]B___991"/>
      <sheetName val="[Spt-BH.xls][Spt-BH_xls]_Sp_320"/>
      <sheetName val="[Spt-BH.xls][Spt-BH_xls]B___992"/>
      <sheetName val="[Spt-BH.xls][Spt-BH_xls]B___993"/>
      <sheetName val="[Spt-BH.xls][Spt-BH_xls]B___994"/>
      <sheetName val="[Spt-BH.xls][Spt-BH_xls]_Sp_321"/>
      <sheetName val="[Spt-BH.xls][Spt-BH_xls]B___995"/>
      <sheetName val="[Spt-BH.xls][Spt-BH_xls]B___996"/>
      <sheetName val="[Spt-BH.xls][Spt-BH_xls]B___997"/>
      <sheetName val="[Spt-BH.xls][Spt-BH_xls]B___998"/>
      <sheetName val="[Spt-BH.xls][Spt-BH_xls]_Sp_322"/>
      <sheetName val="[Spt-BH.xls][Spt-BH_xls]B___999"/>
      <sheetName val="[Spt-BH.xls][Spt-BH_xls]B__1000"/>
      <sheetName val="[Spt-BH.xls][Spt-BH_xls]_Sp_323"/>
      <sheetName val="[Spt-BH.xls][Spt-BH_xls]B__1001"/>
      <sheetName val="[Spt-BH.xls][Spt-BH_xls]B__1002"/>
      <sheetName val="[Spt-BH.xls][Spt-BH_xls]_Sp_324"/>
      <sheetName val="[Spt-BH.xls][Spt-BH.xls]_Sp_363"/>
      <sheetName val="[Spt-BH.xls][Spt-BH.xls]B__1018"/>
      <sheetName val="[Spt-BH.xls][Spt-BH.xls]B__1019"/>
      <sheetName val="[Spt-BH.xls][Spt-BH.xls]B__1020"/>
      <sheetName val="[Spt-BH.xls][Spt-BH.xls]B__1021"/>
      <sheetName val="[Spt-BH.xls][Spt-BH.xls]B__1022"/>
      <sheetName val="[Spt-BH.xls][Spt-BH.xls]B__1023"/>
      <sheetName val="[Spt-BH.xls][Spt-BH.xls]_Sp_364"/>
      <sheetName val="[Spt-BH.xls]B____x005f_x0004_______85"/>
      <sheetName val="[Spt-BH.xls]B___x005f_x0000__x005f_x0004_82"/>
      <sheetName val="[Spt-BH.xls][Spt-BH.xls]B__1024"/>
      <sheetName val="[Spt-BH.xls][Spt-BH_xls]B___973"/>
      <sheetName val="[Spt-BH.xls][Spt-BH_xls]B___974"/>
      <sheetName val="[Spt-BH.xls][Spt-BH_xls]B___975"/>
      <sheetName val="[Spt-BH.xls][Spt-BH_xls]B___976"/>
      <sheetName val="[Spt-BH.xls][Spt-BH_xls]_Sp_315"/>
      <sheetName val="[Spt-BH.xls][Spt-BH_xls]B___977"/>
      <sheetName val="[Spt-BH.xls][Spt-BH_xls]B___978"/>
      <sheetName val="[Spt-BH.xls][Spt-BH_xls]B___979"/>
      <sheetName val="[Spt-BH.xls][Spt-BH_xls]_Sp_316"/>
      <sheetName val="[Spt-BH.xls][Spt-BH_xls]B___980"/>
      <sheetName val="[Spt-BH.xls][Spt-BH_xls]B___981"/>
      <sheetName val="[Spt-BH.xls][Spt-BH_xls]B___982"/>
      <sheetName val="[Spt-BH.xls][Spt-BH_xls]B___983"/>
      <sheetName val="[Spt-BH.xls][Spt-BH_xls]_Sp_317"/>
      <sheetName val="[Spt-BH.xls][Spt-BH_xls]B___984"/>
      <sheetName val="[Spt-BH.xls][Spt-BH_xls]B___985"/>
      <sheetName val="[Spt-BH.xls][Spt-BH_xls]_Sp_318"/>
      <sheetName val="[Spt-BH.xls][Spt-BH_xls]B___986"/>
      <sheetName val="[Spt-BH.xls][Spt-BH_xls]B___987"/>
      <sheetName val="[Spt-BH.xls][Spt-BH_xls]_Sp_319"/>
      <sheetName val="[Spt-BH.xls]B____x005f_x0004_______84"/>
      <sheetName val="[Spt-BH.xls]B___x005f_x0000__x005f_x0004_81"/>
      <sheetName val="[Spt-BH.xls][Spt-BH.xls]B__1017"/>
      <sheetName val="[Spt-BH.xls][Spt-BH_xls]B___958"/>
      <sheetName val="[Spt-BH.xls][Spt-BH_xls]B___959"/>
      <sheetName val="[Spt-BH.xls][Spt-BH_xls]B___960"/>
      <sheetName val="[Spt-BH.xls][Spt-BH_xls]B___961"/>
      <sheetName val="[Spt-BH.xls][Spt-BH_xls]_Sp_310"/>
      <sheetName val="[Spt-BH.xls][Spt-BH_xls]B___962"/>
      <sheetName val="[Spt-BH.xls][Spt-BH_xls]B___963"/>
      <sheetName val="[Spt-BH.xls][Spt-BH_xls]B___964"/>
      <sheetName val="[Spt-BH.xls][Spt-BH_xls]_Sp_311"/>
      <sheetName val="[Spt-BH.xls][Spt-BH_xls]B___965"/>
      <sheetName val="[Spt-BH.xls][Spt-BH_xls]B___966"/>
      <sheetName val="[Spt-BH.xls][Spt-BH_xls]B___967"/>
      <sheetName val="[Spt-BH.xls][Spt-BH_xls]B___968"/>
      <sheetName val="[Spt-BH.xls][Spt-BH_xls]_Sp_312"/>
      <sheetName val="[Spt-BH.xls][Spt-BH_xls]B___969"/>
      <sheetName val="[Spt-BH.xls][Spt-BH_xls]B___970"/>
      <sheetName val="[Spt-BH.xls][Spt-BH_xls]_Sp_313"/>
      <sheetName val="[Spt-BH.xls][Spt-BH_xls]B___971"/>
      <sheetName val="[Spt-BH.xls][Spt-BH_xls]B___972"/>
      <sheetName val="[Spt-BH.xls][Spt-BH_xls]_Sp_314"/>
      <sheetName val="[Spt-BH.xls][Spt-BH.xls]_Sp_366"/>
      <sheetName val="[Spt-BH.xls][Spt-BH.xls]B__1025"/>
      <sheetName val="[Spt-BH.xls][Spt-BH.xls]B__1026"/>
      <sheetName val="[Spt-BH.xls][Spt-BH.xls]_Sp_365"/>
      <sheetName val="[Spt-BH.xls][Spt-BH.xls]B__1028"/>
      <sheetName val="[Spt-BH.xls][Spt-BH.xls]B__1029"/>
      <sheetName val="[Spt-BH.xls][Spt-BH.xls]_Sp_368"/>
      <sheetName val="[Spt-BH.xls][Spt-BH.xls]B__1030"/>
      <sheetName val="[Spt-BH.xls][Spt-BH.xls]B__1031"/>
      <sheetName val="[Spt-BH.xls][Spt-BH.xls]B__1032"/>
      <sheetName val="[Spt-BH.xls][Spt-BH.xls]B__1033"/>
      <sheetName val="[Spt-BH.xls][Spt-BH.xls]B__1027"/>
      <sheetName val="[Spt-BH.xls][Spt-BH.xls]_Sp_367"/>
      <sheetName val="[Spt-BH.xls][Spt-BH.xls]_Sp_371"/>
      <sheetName val="[Spt-BH.xls][Spt-BH.xls]B__1041"/>
      <sheetName val="[Spt-BH.xls][Spt-BH.xls]_Sp_372"/>
      <sheetName val="[Spt-BH.xls][Spt-BH.xls]B__1042"/>
      <sheetName val="[Spt-BH.xls][Spt-BH.xls]B__1043"/>
      <sheetName val="[Spt-BH.xls]B____x005f_x0004_______87"/>
      <sheetName val="[Spt-BH.xls]B___x005f_x0000__x005f_x0004_84"/>
      <sheetName val="[Spt-BH.xls][Spt-BH.xls]B__1044"/>
      <sheetName val="[Spt-BH.xls][Spt-BH.xls]B__1045"/>
      <sheetName val="[Spt-BH.xls][Spt-BH.xls]B__1046"/>
      <sheetName val="[Spt-BH.xls][Spt-BH.xls]B__1047"/>
      <sheetName val="[Spt-BH.xls][Spt-BH.xls]B__1048"/>
      <sheetName val="[Spt-BH.xls][Spt-BH.xls]B__1049"/>
      <sheetName val="[Spt-BH.xls][Spt-BH.xls]B__1050"/>
      <sheetName val="[Spt-BH.xls][Spt-BH.xls]B__1051"/>
      <sheetName val="[Spt-BH.xls][Spt-BH.xls]_Sp_373"/>
      <sheetName val="[Spt-BH.xls][Spt-BH.xls]B__1495"/>
      <sheetName val="[Spt-BH.xls][Spt-BH.xls]B__1496"/>
      <sheetName val="[Spt-BH.xls][Spt-BH.xls]_Sp_504"/>
      <sheetName val="[Spt-BH.xls][Spt-BH.xls]B__1497"/>
      <sheetName val="[Spt-BH.xls][Spt-BH_xls]B__1408"/>
      <sheetName val="[Spt-BH.xls][Spt-BH_xls]B__1409"/>
      <sheetName val="[Spt-BH.xls][Spt-BH_xls]B__1410"/>
      <sheetName val="[Spt-BH.xls][Spt-BH_xls]B__1411"/>
      <sheetName val="[Spt-BH.xls][Spt-BH_xls]_Sp_460"/>
      <sheetName val="[Spt-BH.xls][Spt-BH_xls]B__1412"/>
      <sheetName val="[Spt-BH.xls][Spt-BH_xls]B__1413"/>
      <sheetName val="[Spt-BH.xls][Spt-BH_xls]B__1414"/>
      <sheetName val="[Spt-BH.xls][Spt-BH_xls]_Sp_461"/>
      <sheetName val="[Spt-BH.xls][Spt-BH_xls]B__1415"/>
      <sheetName val="[Spt-BH.xls][Spt-BH_xls]B__1416"/>
      <sheetName val="[Spt-BH.xls][Spt-BH_xls]B__1417"/>
      <sheetName val="[Spt-BH.xls][Spt-BH_xls]B__1418"/>
      <sheetName val="[Spt-BH.xls][Spt-BH_xls]_Sp_462"/>
      <sheetName val="[Spt-BH.xls][Spt-BH_xls]B__1419"/>
      <sheetName val="[Spt-BH.xls][Spt-BH_xls]B__1420"/>
      <sheetName val="[Spt-BH.xls][Spt-BH_xls]_Sp_463"/>
      <sheetName val="[Spt-BH.xls][Spt-BH_xls]B__1421"/>
      <sheetName val="[Spt-BH.xls][Spt-BH_xls]B__1422"/>
      <sheetName val="[Spt-BH.xls][Spt-BH_xls]_Sp_464"/>
      <sheetName val="[Spt-BH.xls][Spt-BH.xls]_Sp_489"/>
      <sheetName val="_Spt-BH.xls_B@__x005f_x0000__x005f_x0004_@_"/>
      <sheetName val="COMPLEXALL"/>
      <sheetName val="[Spt-BH.xls][Spt-BH.xls]B__1058"/>
      <sheetName val="[Spt-BH.xls][Spt-BH.xls]B__1059"/>
      <sheetName val="[Spt-BH.xls][Spt-BH.xls]B__1060"/>
      <sheetName val="[Spt-BH.xls][Spt-BH.xls]B__1061"/>
      <sheetName val="[Spt-BH.xls][Spt-BH.xls]B__1062"/>
      <sheetName val="[Spt-BH.xls][Spt-BH.xls]B__1063"/>
      <sheetName val="[Spt-BH.xls][Spt-BH.xls]B__1064"/>
      <sheetName val="[Spt-BH.xls][Spt-BH.xls]B__1076"/>
      <sheetName val="[Spt-BH.xls][Spt-BH.xls]B__1077"/>
      <sheetName val="[Spt-BH.xls][Spt-BH.xls]B__1078"/>
      <sheetName val="[Spt-BH.xls][Spt-BH.xls]B__1079"/>
      <sheetName val="[Spt-BH.xls][Spt-BH.xls]B__1080"/>
      <sheetName val="[Spt-BH.xls][Spt-BH.xls]B__1065"/>
      <sheetName val="[Spt-BH.xls][Spt-BH.xls]B__1066"/>
      <sheetName val="[Spt-BH.xls][Spt-BH.xls]B__1067"/>
      <sheetName val="[Spt-BH.xls][Spt-BH.xls]B__1068"/>
      <sheetName val="[Spt-BH.xls][Spt-BH.xls]B__1069"/>
      <sheetName val="[Spt-BH.xls][Spt-BH.xls]B__1070"/>
      <sheetName val="[Spt-BH.xls][Spt-BH.xls]B__1071"/>
      <sheetName val="[Spt-BH.xls][Spt-BH.xls]B__1072"/>
      <sheetName val="[Spt-BH.xls][Spt-BH.xls]B__1073"/>
      <sheetName val="[Spt-BH.xls][Spt-BH.xls]B__1074"/>
      <sheetName val="[Spt-BH.xls][Spt-BH.xls]B__1075"/>
      <sheetName val="[Spt-BH.xls][Spt-BH.xls]B__1082"/>
      <sheetName val="[Spt-BH.xls][Spt-BH.xls]B__1083"/>
      <sheetName val="[Spt-BH.xls][Spt-BH.xls]B__1084"/>
      <sheetName val="[Spt-BH.xls][Spt-BH.xls]B__1085"/>
      <sheetName val="[Spt-BH.xls][Spt-BH.xls]B__1086"/>
      <sheetName val="[Spt-BH.xls][Spt-BH.xls]B__1081"/>
      <sheetName val="[Spt-BH.xls][Spt-BH.xls]B__1098"/>
      <sheetName val="[Spt-BH.xls][Spt-BH.xls]B__1099"/>
      <sheetName val="[Spt-BH.xls][Spt-BH.xls]B__1100"/>
      <sheetName val="[Spt-BH.xls][Spt-BH.xls]B__1101"/>
      <sheetName val="[Spt-BH.xls][Spt-BH.xls]B__1102"/>
      <sheetName val="[Spt-BH.xls][Spt-BH.xls]B__1087"/>
      <sheetName val="[Spt-BH.xls][Spt-BH.xls]B__1088"/>
      <sheetName val="[Spt-BH.xls][Spt-BH.xls]B__1089"/>
      <sheetName val="[Spt-BH.xls][Spt-BH.xls]B__1090"/>
      <sheetName val="[Spt-BH.xls][Spt-BH.xls]B__1091"/>
      <sheetName val="[Spt-BH.xls][Spt-BH.xls]B__1092"/>
      <sheetName val="[Spt-BH.xls][Spt-BH.xls]B__1114"/>
      <sheetName val="[Spt-BH.xls][Spt-BH.xls]B__1115"/>
      <sheetName val="[Spt-BH.xls][Spt-BH.xls]B__1116"/>
      <sheetName val="[Spt-BH.xls][Spt-BH.xls]B__1117"/>
      <sheetName val="[Spt-BH.xls][Spt-BH.xls]B__1118"/>
      <sheetName val="[Spt-BH.xls][Spt-BH.xls]B__1103"/>
      <sheetName val="[Spt-BH.xls][Spt-BH.xls]B__1093"/>
      <sheetName val="[Spt-BH.xls][Spt-BH.xls]B__1094"/>
      <sheetName val="[Spt-BH.xls][Spt-BH.xls]B__1095"/>
      <sheetName val="[Spt-BH.xls][Spt-BH.xls]B__1096"/>
      <sheetName val="[Spt-BH.xls][Spt-BH.xls]B__1097"/>
      <sheetName val="[Spt-BH.xls][Spt-BH.xls]B__1104"/>
      <sheetName val="[Spt-BH.xls][Spt-BH.xls]B__1105"/>
      <sheetName val="[Spt-BH.xls][Spt-BH.xls]B__1106"/>
      <sheetName val="[Spt-BH.xls][Spt-BH.xls]B__1107"/>
      <sheetName val="[Spt-BH.xls][Spt-BH.xls]B__1108"/>
      <sheetName val="[Spt-BH.xls][Spt-BH.xls]B__1109"/>
      <sheetName val="[Spt-BH.xls][Spt-BH.xls]B__1110"/>
      <sheetName val="[Spt-BH.xls][Spt-BH.xls]B__1111"/>
      <sheetName val="[Spt-BH.xls][Spt-BH.xls]B__1112"/>
      <sheetName val="[Spt-BH.xls][Spt-BH.xls]B__1113"/>
      <sheetName val="[Spt-BH.xls][Spt-BH.xls]B__1119"/>
      <sheetName val="[Spt-BH.xls][Spt-BH.xls]B__1120"/>
      <sheetName val="[Spt-BH.xls][Spt-BH.xls]B__1121"/>
      <sheetName val="[Spt-BH.xls][Spt-BH.xls]B__1122"/>
      <sheetName val="[Spt-BH.xls][Spt-BH.xls]B__1123"/>
      <sheetName val="[Spt-BH.xls][Spt-BH.xls]B__1124"/>
      <sheetName val="[Spt-BH.xls][Spt-BH.xls]B__1125"/>
      <sheetName val="[Spt-BH.xls][Spt-BH.xls]B__1126"/>
      <sheetName val="[Spt-BH.xls][Spt-BH.xls]B__1127"/>
      <sheetName val="[Spt-BH.xls][Spt-BH.xls]B__1128"/>
      <sheetName val="[Spt-BH.xls][Spt-BH.xls]B__1129"/>
      <sheetName val="[Spt-BH.xls][Spt-BH.xls]B__1130"/>
      <sheetName val="[Spt-BH.xls][Spt-BH.xls]B__1131"/>
      <sheetName val="[Spt-BH.xls][Spt-BH.xls]B__1132"/>
      <sheetName val="[Spt-BH.xls][Spt-BH.xls]B__1133"/>
      <sheetName val="[Spt-BH.xls][Spt-BH.xls]B__1134"/>
      <sheetName val="[Spt-BH.xls][Spt-BH.xls]B__1135"/>
      <sheetName val="[Spt-BH.xls][Spt-BH.xls]B__1136"/>
      <sheetName val="[Spt-BH.xls][Spt-BH.xls]B__1137"/>
      <sheetName val="[Spt-BH.xls][Spt-BH.xls]B__1138"/>
      <sheetName val="[Spt-BH.xls][Spt-BH.xls]B__1139"/>
      <sheetName val="[Spt-BH.xls][Spt-BH.xls]B__1140"/>
      <sheetName val="[Spt-BH.xls][Spt-BH.xls]B__1141"/>
      <sheetName val="[Spt-BH.xls][Spt-BH.xls]B__1142"/>
      <sheetName val="[Spt-BH.xls][Spt-BH.xls]B__1143"/>
      <sheetName val="[Spt-BH.xls][Spt-BH.xls]B__1144"/>
      <sheetName val="[Spt-BH.xls][Spt-BH.xls]B__1145"/>
      <sheetName val="[Spt-BH.xls][Spt-BH.xls]B__1146"/>
      <sheetName val="[Spt-BH.xls][Spt-BH.xls]B__1147"/>
      <sheetName val="[Spt-BH.xls][Spt-BH.xls]B__1148"/>
      <sheetName val="[Spt-BH.xls][Spt-BH.xls]B__1149"/>
      <sheetName val="[Spt-BH.xls][Spt-BH.xls]B__1150"/>
      <sheetName val="[Spt-BH.xls][Spt-BH.xls]B__1151"/>
      <sheetName val="[Spt-BH.xls][Spt-BH.xls]B__1152"/>
      <sheetName val="[Spt-BH.xls][Spt-BH.xls]B__1153"/>
      <sheetName val="[Spt-BH.xls][Spt-BH.xls]B__1154"/>
      <sheetName val="[Spt-BH.xls][Spt-BH.xls]B__1155"/>
      <sheetName val="[Spt-BH.xls][Spt-BH.xls]B__1175"/>
      <sheetName val="[Spt-BH.xls][Spt-BH.xls]B__1176"/>
      <sheetName val="[Spt-BH.xls][Spt-BH.xls]B__1177"/>
      <sheetName val="[Spt-BH.xls][Spt-BH.xls]B__1178"/>
      <sheetName val="[Spt-BH.xls]B___x005f_x0000__x005f_x0004_85"/>
      <sheetName val="[Spt-BH.xls][Spt-BH.xls]B__1179"/>
      <sheetName val="[Spt-BH.xls][Spt-BH.xls]B__1180"/>
      <sheetName val="[Spt-BH.xls][Spt-BH.xls]B__1168"/>
      <sheetName val="[Spt-BH.xls][Spt-BH.xls]B__1169"/>
      <sheetName val="[Spt-BH.xls][Spt-BH.xls]B__1170"/>
      <sheetName val="[Spt-BH.xls][Spt-BH.xls]B__1171"/>
      <sheetName val="[Spt-BH.xls][Spt-BH.xls]B__1172"/>
      <sheetName val="[Spt-BH.xls][Spt-BH.xls]B__1173"/>
      <sheetName val="[Spt-BH.xls][Spt-BH.xls]B__1174"/>
      <sheetName val="[Spt-BH.xls][Spt-BH.xls]B__1156"/>
      <sheetName val="[Spt-BH.xls][Spt-BH.xls]B__1157"/>
      <sheetName val="[Spt-BH.xls][Spt-BH.xls]B__1158"/>
      <sheetName val="[Spt-BH.xls][Spt-BH.xls]B__1159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[Spt-BH.xls]B__1166"/>
      <sheetName val="[Spt-BH.xls][Spt-BH.xls]B__1167"/>
      <sheetName val="[Spt-BH.xls][Spt-BH.xls]B__1207"/>
      <sheetName val="[Spt-BH.xls][Spt-BH.xls]B__1208"/>
      <sheetName val="[Spt-BH.xls][Spt-BH.xls]B__1209"/>
      <sheetName val="[Spt-BH.xls][Spt-BH.xls]B__1210"/>
      <sheetName val="[Spt-BH.xls]B___x005f_x0000__x005f_x0004_87"/>
      <sheetName val="[Spt-BH.xls][Spt-BH.xls]B__1211"/>
      <sheetName val="[Spt-BH.xls][Spt-BH.xls]B__1212"/>
      <sheetName val="[Spt-BH.xls][Spt-BH.xls]B__1188"/>
      <sheetName val="[Spt-BH.xls][Spt-BH.xls]B__1189"/>
      <sheetName val="[Spt-BH.xls][Spt-BH.xls]B__1190"/>
      <sheetName val="[Spt-BH.xls][Spt-BH.xls]B__1191"/>
      <sheetName val="[Spt-BH.xls][Spt-BH.xls]B__1192"/>
      <sheetName val="[Spt-BH.xls][Spt-BH.xls]B__1193"/>
      <sheetName val="[Spt-BH.xls][Spt-BH.xls]B__1194"/>
      <sheetName val="[Spt-BH.xls]B___x005f_x0000__x005f_x0004_86"/>
      <sheetName val="[Spt-BH.xls][Spt-BH.xls]B__1181"/>
      <sheetName val="[Spt-BH.xls][Spt-BH.xls]B__1182"/>
      <sheetName val="[Spt-BH.xls][Spt-BH.xls]B__1183"/>
      <sheetName val="[Spt-BH.xls][Spt-BH.xls]B__1184"/>
      <sheetName val="[Spt-BH.xls][Spt-BH.xls]B__1185"/>
      <sheetName val="[Spt-BH.xls][Spt-BH.xls]B__1186"/>
      <sheetName val="[Spt-BH.xls][Spt-BH.xls]B__1187"/>
      <sheetName val="[Spt-BH.xls][Spt-BH.xls]B__1195"/>
      <sheetName val="[Spt-BH.xls][Spt-BH.xls]B__1196"/>
      <sheetName val="[Spt-BH.xls][Spt-BH.xls]B__1197"/>
      <sheetName val="[Spt-BH.xls][Spt-BH.xls]B__1198"/>
      <sheetName val="[Spt-BH.xls][Spt-BH.xls]B__1199"/>
      <sheetName val="[Spt-BH.xls][Spt-BH.xls]B__1200"/>
      <sheetName val="[Spt-BH.xls][Spt-BH.xls]B__1201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B__1218"/>
      <sheetName val="[Spt-BH.xls][Spt-BH.xls]B__1219"/>
      <sheetName val="[Spt-BH.xls][Spt-BH.xls]B__1220"/>
      <sheetName val="[Spt-BH.xls][Spt-BH.xls]B__1221"/>
      <sheetName val="[Spt-BH.xls][Spt-BH.xls]B__1222"/>
      <sheetName val="[Spt-BH.xls][Spt-BH.xls]B__1213"/>
      <sheetName val="[Spt-BH.xls][Spt-BH.xls]B__1214"/>
      <sheetName val="[Spt-BH.xls][Spt-BH.xls]B__1215"/>
      <sheetName val="[Spt-BH.xls][Spt-BH.xls]B__1216"/>
      <sheetName val="[Spt-BH.xls][Spt-BH.xls]B__1217"/>
      <sheetName val="[Spt-BH.xls][Spt-BH.xls]B__1223"/>
      <sheetName val="[Spt-BH.xls][Spt-BH.xls]B__1224"/>
      <sheetName val="[Spt-BH.xls][Spt-BH.xls]B__1225"/>
      <sheetName val="[Spt-BH.xls][Spt-BH.xls]B__1226"/>
      <sheetName val="[Spt-BH.xls][Spt-BH.xls]B__1227"/>
      <sheetName val="[Spt-BH.xls][Spt-BH.xls]B__1228"/>
      <sheetName val="[Spt-BH.xls][Spt-BH.xls]B__1241"/>
      <sheetName val="[Spt-BH.xls][Spt-BH.xls]B__1242"/>
      <sheetName val="[Spt-BH.xls][Spt-BH.xls]B__1243"/>
      <sheetName val="[Spt-BH.xls][Spt-BH.xls]B__1244"/>
      <sheetName val="[Spt-BH.xls][Spt-BH.xls]B__1245"/>
      <sheetName val="[Spt-BH.xls][Spt-BH.xls]B__1246"/>
      <sheetName val="[Spt-BH.xls][Spt-BH.xls]B__1229"/>
      <sheetName val="[Spt-BH.xls][Spt-BH.xls]B__1230"/>
      <sheetName val="[Spt-BH.xls][Spt-BH.xls]B__1231"/>
      <sheetName val="[Spt-BH.xls][Spt-BH.xls]B__1232"/>
      <sheetName val="[Spt-BH.xls][Spt-BH.xls]B__1233"/>
      <sheetName val="[Spt-BH.xls][Spt-BH.xls]B__1234"/>
      <sheetName val="[Spt-BH.xls][Spt-BH.xls]B__1235"/>
      <sheetName val="[Spt-BH.xls][Spt-BH.xls]B__1236"/>
      <sheetName val="[Spt-BH.xls][Spt-BH.xls]B__1237"/>
      <sheetName val="[Spt-BH.xls][Spt-BH.xls]B__1238"/>
      <sheetName val="[Spt-BH.xls][Spt-BH.xls]B__1239"/>
      <sheetName val="[Spt-BH.xls][Spt-BH.xls]B__1240"/>
      <sheetName val="[Spt-BH.xls][Spt-BH.xls]B__1247"/>
      <sheetName val="[Spt-BH.xls][Spt-BH.xls]B__1248"/>
      <sheetName val="[Spt-BH.xls][Spt-BH.xls]B__1249"/>
      <sheetName val="[Spt-BH.xls][Spt-BH.xls]B__1250"/>
      <sheetName val="[Spt-BH.xls][Spt-BH.xls]B__1251"/>
      <sheetName val="[Spt-BH.xls][Spt-BH.xls]B__1252"/>
      <sheetName val="[Spt-BH.xls][Spt-BH.xls]B__1253"/>
      <sheetName val="[Spt-BH.xls][Spt-BH.xls]B__1254"/>
      <sheetName val="[Spt-BH.xls][Spt-BH.xls]B__1255"/>
      <sheetName val="[Spt-BH.xls][Spt-BH.xls]B__1256"/>
      <sheetName val="[Spt-BH.xls][Spt-BH.xls]B__1257"/>
      <sheetName val="[Spt-BH.xls][Spt-BH.xls]B__1258"/>
      <sheetName val="[Spt-BH.xls][Spt-BH.xls]B__1272"/>
      <sheetName val="[Spt-BH.xls][Spt-BH.xls]B__1273"/>
      <sheetName val="[Spt-BH.xls][Spt-BH.xls]B__1274"/>
      <sheetName val="[Spt-BH.xls][Spt-BH.xls]B__1275"/>
      <sheetName val="[Spt-BH.xls]B____x005f_x0004_______89"/>
      <sheetName val="[Spt-BH.xls]B___x005f_x0000__x005f_x0004_89"/>
      <sheetName val="[Spt-BH.xls][Spt-BH.xls]B__1276"/>
      <sheetName val="[Spt-BH.xls][Spt-BH.xls]B__1277"/>
      <sheetName val="[Spt-BH.xls][Spt-BH.xls]B__1265"/>
      <sheetName val="[Spt-BH.xls][Spt-BH.xls]B__1266"/>
      <sheetName val="[Spt-BH.xls][Spt-BH.xls]B__1267"/>
      <sheetName val="[Spt-BH.xls][Spt-BH.xls]B__1268"/>
      <sheetName val="[Spt-BH.xls][Spt-BH.xls]B__1269"/>
      <sheetName val="[Spt-BH.xls][Spt-BH.xls]B__1270"/>
      <sheetName val="[Spt-BH.xls]B____x005f_x0004_______88"/>
      <sheetName val="[Spt-BH.xls]B___x005f_x0000__x005f_x0004_88"/>
      <sheetName val="[Spt-BH.xls][Spt-BH.xls]B__1271"/>
      <sheetName val="[Spt-BH.xls][Spt-BH.xls]B__1259"/>
      <sheetName val="[Spt-BH.xls][Spt-BH.xls]B__1260"/>
      <sheetName val="[Spt-BH.xls][Spt-BH.xls]B__1261"/>
      <sheetName val="[Spt-BH.xls][Spt-BH.xls]B__1262"/>
      <sheetName val="[Spt-BH.xls][Spt-BH.xls]B__1263"/>
      <sheetName val="[Spt-BH.xls][Spt-BH.xls]B__1264"/>
      <sheetName val="[Spt-BH.xls][Spt-BH.xls]B__1278"/>
      <sheetName val="[Spt-BH.xls][Spt-BH.xls]B__1279"/>
      <sheetName val="[Spt-BH.xls][Spt-BH.xls]B__1280"/>
      <sheetName val="[Spt-BH.xls][Spt-BH.xls]B__1281"/>
      <sheetName val="[Spt-BH.xls][Spt-BH.xls]B__1282"/>
      <sheetName val="[Spt-BH.xls][Spt-BH.xls]B__1283"/>
      <sheetName val="[Spt-BH.xls][Spt-BH.xls]B__1284"/>
      <sheetName val="[Spt-BH.xls][Spt-BH.xls]B__1285"/>
      <sheetName val="[Spt-BH.xls][Spt-BH.xls]B__1286"/>
      <sheetName val="[Spt-BH.xls][Spt-BH.xls]B__1287"/>
      <sheetName val="[Spt-BH.xls][Spt-BH.xls]B__1308"/>
      <sheetName val="[Spt-BH.xls][Spt-BH.xls]B__1309"/>
      <sheetName val="[Spt-BH.xls][Spt-BH.xls]B__1310"/>
      <sheetName val="[Spt-BH.xls][Spt-BH.xls]B__1311"/>
      <sheetName val="[Spt-BH.xls]B____x005f_x0004_______91"/>
      <sheetName val="[Spt-BH.xls]B___x005f_x0000__x005f_x0004_91"/>
      <sheetName val="[Spt-BH.xls][Spt-BH.xls]B__1312"/>
      <sheetName val="[Spt-BH.xls][Spt-BH.xls]B__1313"/>
      <sheetName val="[Spt-BH.xls][Spt-BH.xls]B__1295"/>
      <sheetName val="[Spt-BH.xls][Spt-BH.xls]B__1296"/>
      <sheetName val="[Spt-BH.xls][Spt-BH.xls]B__1297"/>
      <sheetName val="[Spt-BH.xls][Spt-BH.xls]B__1298"/>
      <sheetName val="[Spt-BH.xls][Spt-BH.xls]B__1299"/>
      <sheetName val="[Spt-BH.xls][Spt-BH.xls]B__1300"/>
      <sheetName val="[Spt-BH.xls][Spt-BH.xls]B__1301"/>
      <sheetName val="[Spt-BH.xls]B____x005f_x0004_______90"/>
      <sheetName val="[Spt-BH.xls]B___x005f_x0000__x005f_x0004_90"/>
      <sheetName val="[Spt-BH.xls][Spt-BH.xls]B__1288"/>
      <sheetName val="[Spt-BH.xls][Spt-BH.xls]B__1289"/>
      <sheetName val="[Spt-BH.xls][Spt-BH.xls]B__1290"/>
      <sheetName val="[Spt-BH.xls][Spt-BH.xls]B__1291"/>
      <sheetName val="[Spt-BH.xls][Spt-BH.xls]B__1292"/>
      <sheetName val="[Spt-BH.xls][Spt-BH.xls]B__1293"/>
      <sheetName val="[Spt-BH.xls][Spt-BH.xls]B__1294"/>
      <sheetName val="[Spt-BH.xls][Spt-BH.xls]B__1302"/>
      <sheetName val="[Spt-BH.xls][Spt-BH.xls]B__1303"/>
      <sheetName val="[Spt-BH.xls][Spt-BH.xls]B__1304"/>
      <sheetName val="[Spt-BH.xls][Spt-BH.xls]B__1305"/>
      <sheetName val="[Spt-BH.xls][Spt-BH.xls]B__1306"/>
      <sheetName val="[Spt-BH.xls][Spt-BH.xls]B__1307"/>
      <sheetName val="[Spt-BH.xls][Spt-BH.xls]B__1314"/>
      <sheetName val="[Spt-BH.xls][Spt-BH.xls]B__1315"/>
      <sheetName val="[Spt-BH.xls][Spt-BH.xls]B__1316"/>
      <sheetName val="[Spt-BH.xls][Spt-BH.xls]B__1317"/>
      <sheetName val="[Spt-BH.xls][Spt-BH.xls]B__1318"/>
      <sheetName val="[Spt-BH.xls][Spt-BH.xls]B__1319"/>
      <sheetName val="[Spt-BH.xls][Spt-BH.xls]B__1320"/>
      <sheetName val="[Spt-BH.xls][Spt-BH.xls]B__1321"/>
      <sheetName val="[Spt-BH.xls][Spt-BH.xls]B__1322"/>
      <sheetName val="[Spt-BH.xls][Spt-BH.xls]B__1323"/>
      <sheetName val="[Spt-BH.xls][Spt-BH.xls]B__1324"/>
      <sheetName val="[Spt-BH.xls][Spt-BH.xls]B__1326"/>
      <sheetName val="[Spt-BH.xls][Spt-BH.xls]B__1327"/>
      <sheetName val="[Spt-BH.xls][Spt-BH.xls]B__1328"/>
      <sheetName val="[Spt-BH.xls][Spt-BH.xls]B__1329"/>
      <sheetName val="[Spt-BH.xls]B____x005f_x0004_______92"/>
      <sheetName val="[Spt-BH.xls]B___x005f_x0000__x005f_x0004_92"/>
      <sheetName val="[Spt-BH.xls][Spt-BH.xls]B__1330"/>
      <sheetName val="[Spt-BH.xls][Spt-BH.xls]B__1331"/>
      <sheetName val="[Spt-BH.xls][Spt-BH.xls]B__1325"/>
      <sheetName val="[Spt-BH.xls][Spt-BH.xls]B__1332"/>
      <sheetName val="[Spt-BH.xls][Spt-BH.xls]B__1333"/>
      <sheetName val="[Spt-BH.xls][Spt-BH.xls]B__1334"/>
      <sheetName val="[Spt-BH.xls][Spt-BH.xls]B__1335"/>
      <sheetName val="[Spt-BH.xls][Spt-BH.xls]B__1336"/>
      <sheetName val="[Spt-BH.xls][Spt-BH.xls]B__1337"/>
      <sheetName val="[Spt-BH.xls][Spt-BH.xls]B__1343"/>
      <sheetName val="[Spt-BH.xls][Spt-BH.xls]B__1344"/>
      <sheetName val="[Spt-BH.xls][Spt-BH.xls]B__1345"/>
      <sheetName val="[Spt-BH.xls][Spt-BH.xls]B__1346"/>
      <sheetName val="[Spt-BH.xls][Spt-BH.xls]B__1347"/>
      <sheetName val="[Spt-BH.xls][Spt-BH.xls]B__1338"/>
      <sheetName val="[Spt-BH.xls][Spt-BH.xls]B__1339"/>
      <sheetName val="[Spt-BH.xls][Spt-BH.xls]B__1340"/>
      <sheetName val="[Spt-BH.xls][Spt-BH.xls]B__1341"/>
      <sheetName val="[Spt-BH.xls][Spt-BH.xls]B__1342"/>
      <sheetName val="[Spt-BH.xls][Spt-BH.xls]B__1348"/>
      <sheetName val="[Spt-BH.xls][Spt-BH.xls]B__1349"/>
      <sheetName val="[Spt-BH.xls][Spt-BH.xls]B__1350"/>
      <sheetName val="[Spt-BH.xls][Spt-BH.xls]B__1351"/>
      <sheetName val="[Spt-BH.xls][Spt-BH.xls]B__1352"/>
      <sheetName val="[Spt-BH.xls][Spt-BH.xls]B__1353"/>
      <sheetName val="[Spt-BH.xls][Spt-BH.xls]B__1354"/>
      <sheetName val="[Spt-BH.xls][Spt-BH.xls]B__1355"/>
      <sheetName val="[Spt-BH.xls][Spt-BH.xls]B__1356"/>
      <sheetName val="[Spt-BH.xls][Spt-BH.xls]B__1357"/>
      <sheetName val="[Spt-BH.xls][Spt-BH.xls]B__1358"/>
      <sheetName val="[Spt-BH.xls][Spt-BH.xls]B__1373"/>
      <sheetName val="[Spt-BH.xls][Spt-BH.xls]B__1374"/>
      <sheetName val="[Spt-BH.xls][Spt-BH.xls]B__1375"/>
      <sheetName val="[Spt-BH.xls][Spt-BH.xls]B__1376"/>
      <sheetName val="[Spt-BH.xls][Spt-BH.xls]B__1377"/>
      <sheetName val="[Spt-BH.xls][Spt-BH.xls]B__1378"/>
      <sheetName val="[Spt-BH.xls][Spt-BH.xls]B__1364"/>
      <sheetName val="[Spt-BH.xls][Spt-BH.xls]B__1365"/>
      <sheetName val="[Spt-BH.xls][Spt-BH.xls]B__1366"/>
      <sheetName val="[Spt-BH.xls][Spt-BH.xls]B__1367"/>
      <sheetName val="[Spt-BH.xls]B____x005f_x0004_______93"/>
      <sheetName val="[Spt-BH.xls]B___x005f_x0000__x005f_x0004_93"/>
      <sheetName val="[Spt-BH.xls][Spt-BH.xls]B__1368"/>
      <sheetName val="[Spt-BH.xls][Spt-BH.xls]B__1359"/>
      <sheetName val="[Spt-BH.xls][Spt-BH.xls]B__1360"/>
      <sheetName val="[Spt-BH.xls][Spt-BH.xls]B__1361"/>
      <sheetName val="[Spt-BH.xls][Spt-BH.xls]B__1362"/>
      <sheetName val="[Spt-BH.xls][Spt-BH.xls]B__1363"/>
      <sheetName val="[Spt-BH.xls][Spt-BH.xls]B__1369"/>
      <sheetName val="[Spt-BH.xls][Spt-BH.xls]B__1370"/>
      <sheetName val="[Spt-BH.xls][Spt-BH.xls]B__1371"/>
      <sheetName val="[Spt-BH.xls][Spt-BH.xls]B__1372"/>
      <sheetName val="[Spt-BH.xls]B____x005f_x0004_______94"/>
      <sheetName val="[Spt-BH.xls]B___x005f_x0000__x005f_x0004_94"/>
      <sheetName val="[Spt-BH.xls][Spt-BH.xls]B__1379"/>
      <sheetName val="[Spt-BH.xls][Spt-BH.xls]B__1380"/>
      <sheetName val="[Spt-BH.xls][Spt-BH.xls]B__1381"/>
      <sheetName val="[Spt-BH.xls][Spt-BH.xls]B__1382"/>
      <sheetName val="[Spt-BH.xls][Spt-BH.xls]B__1383"/>
      <sheetName val="[Spt-BH.xls][Spt-BH.xls]B__1384"/>
      <sheetName val="[Spt-BH.xls][Spt-BH.xls]B__1385"/>
      <sheetName val="[Spt-BH.xls][Spt-BH.xls]B__1386"/>
      <sheetName val="[Spt-BH.xls][Spt-BH.xls]B__1387"/>
      <sheetName val="[Spt-BH.xls][Spt-BH.xls]B__1388"/>
      <sheetName val="[Spt-BH.xls]B____x005f_x0004_______95"/>
      <sheetName val="[Spt-BH.xls]B___x005f_x0000__x005f_x0004_95"/>
      <sheetName val="[Spt-BH.xls][Spt-BH.xls]B__1389"/>
      <sheetName val="[Spt-BH.xls]B____x005f_x0004_______96"/>
      <sheetName val="[Spt-BH.xls]B___x005f_x0000__x005f_x0004_96"/>
      <sheetName val="[Spt-BH.xls][Spt-BH.xls]B__1390"/>
      <sheetName val="[Spt-BH.xls][Spt-BH.xls]B__1391"/>
      <sheetName val="[Spt-BH.xls][Spt-BH.xls]B__1392"/>
      <sheetName val="[Spt-BH.xls][Spt-BH.xls]B__1393"/>
      <sheetName val="[Spt-BH.xls][Spt-BH.xls]B__1394"/>
      <sheetName val="[Spt-BH.xls][Spt-BH.xls]B__1395"/>
      <sheetName val="[Spt-BH.xls][Spt-BH.xls]B__1396"/>
      <sheetName val="[Spt-BH.xls]B____x005f_x0004_______97"/>
      <sheetName val="[Spt-BH.xls]B___x005f_x0000__x005f_x0004_97"/>
      <sheetName val="[Spt-BH.xls][Spt-BH.xls]B__1397"/>
      <sheetName val="[Spt-BH.xls][Spt-BH.xls]B__1398"/>
      <sheetName val="[Spt-BH.xls][Spt-BH.xls]B__1399"/>
      <sheetName val="[Spt-BH.xls][Spt-BH.xls]B__1400"/>
      <sheetName val="[Spt-BH.xls][Spt-BH.xls]B__1401"/>
      <sheetName val="[Spt-BH.xls][Spt-BH.xls]B__1402"/>
      <sheetName val="[Spt-BH.xls][Spt-BH.xls]B__1403"/>
      <sheetName val="[Spt-BH.xls][Spt-BH.xls]B__1404"/>
      <sheetName val="[Spt-BH.xls][Spt-BH.xls]B__1405"/>
      <sheetName val="[Spt-BH.xls][Spt-BH.xls]B__1406"/>
      <sheetName val="[Spt-BH.xls]B____x005f_x0004_______98"/>
      <sheetName val="[Spt-BH.xls]B___x005f_x0000__x005f_x0004_98"/>
      <sheetName val="[Spt-BH.xls][Spt-BH.xls]B__1407"/>
      <sheetName val="[Spt-BH.xls][Spt-BH.xls]B__1415"/>
      <sheetName val="[Spt-BH.xls][Spt-BH.xls]B__1416"/>
      <sheetName val="[Spt-BH.xls][Spt-BH.xls]B__1417"/>
      <sheetName val="[Spt-BH.xls][Spt-BH.xls]B__1418"/>
      <sheetName val="[Spt-BH.xls]B____x005f_x0004_______99"/>
      <sheetName val="[Spt-BH.xls]B___x005f_x0000__x005f_x0004_99"/>
      <sheetName val="[Spt-BH.xls][Spt-BH.xls]B__1419"/>
      <sheetName val="[Spt-BH.xls][Spt-BH.xls]B__1420"/>
      <sheetName val="[Spt-BH.xls][Spt-BH.xls]B__1408"/>
      <sheetName val="[Spt-BH.xls][Spt-BH.xls]B__1409"/>
      <sheetName val="[Spt-BH.xls][Spt-BH.xls]B__1410"/>
      <sheetName val="[Spt-BH.xls][Spt-BH.xls]B__1411"/>
      <sheetName val="[Spt-BH.xls][Spt-BH.xls]B__1412"/>
      <sheetName val="[Spt-BH.xls][Spt-BH.xls]B__1413"/>
      <sheetName val="[Spt-BH.xls][Spt-BH.xls]B__1414"/>
      <sheetName val="[Spt-BH.xls][Spt-BH.xls]B__1444"/>
      <sheetName val="[Spt-BH.xls][Spt-BH.xls]B__1445"/>
      <sheetName val="[Spt-BH.xls][Spt-BH.xls]_Sp_491"/>
      <sheetName val="[Spt-BH.xls][Spt-BH.xls]B__1446"/>
      <sheetName val="[Spt-BH.xls][Spt-BH.xls]B__1421"/>
      <sheetName val="[Spt-BH.xls][Spt-BH.xls]B__1422"/>
      <sheetName val="[Spt-BH.xls][Spt-BH.xls]B__1423"/>
      <sheetName val="[Spt-BH.xls][Spt-BH.xls]B__1424"/>
      <sheetName val="[Spt-BH.xls][Spt-BH.xls]B__1425"/>
      <sheetName val="[Spt-BH.xls][Spt-BH.xls]B__1426"/>
      <sheetName val="[Spt-BH.xls][Spt-BH.xls]_Sp_459"/>
      <sheetName val="[Spt-BH.xls][Spt-BH.xls]_Sp_461"/>
      <sheetName val="[Spt-BH.xls][Spt-BH.xls]_Sp_460"/>
      <sheetName val="[Spt-BH.xls][Spt-BH.xls]_Sp_427"/>
      <sheetName val="[Spt-BH.xls][Spt-BH.xls]_Sp_433"/>
      <sheetName val="[Spt-BH.xls]B____x005f_x0004______102"/>
      <sheetName val="[Spt-BH.xls][Spt-BH.xls]_Sp_431"/>
      <sheetName val="[Spt-BH.xls][Spt-BH.xls]_Sp_428"/>
      <sheetName val="[Spt-BH.xls][Spt-BH.xls]_Sp_432"/>
      <sheetName val="[Spt-BH.xls][Spt-BH_xls]B__1198"/>
      <sheetName val="[Spt-BH.xls][Spt-BH_xls]B__1199"/>
      <sheetName val="[Spt-BH.xls][Spt-BH_xls]B__1200"/>
      <sheetName val="[Spt-BH.xls][Spt-BH_xls]B__1201"/>
      <sheetName val="[Spt-BH.xls][Spt-BH_xls]_Sp_390"/>
      <sheetName val="[Spt-BH.xls][Spt-BH_xls]B__1202"/>
      <sheetName val="[Spt-BH.xls][Spt-BH_xls]B__1203"/>
      <sheetName val="[Spt-BH.xls][Spt-BH_xls]B__1204"/>
      <sheetName val="[Spt-BH.xls][Spt-BH_xls]_Sp_391"/>
      <sheetName val="[Spt-BH.xls][Spt-BH_xls]B__1205"/>
      <sheetName val="[Spt-BH.xls][Spt-BH_xls]B__1206"/>
      <sheetName val="[Spt-BH.xls][Spt-BH_xls]B__1207"/>
      <sheetName val="[Spt-BH.xls][Spt-BH_xls]B__1208"/>
      <sheetName val="[Spt-BH.xls][Spt-BH_xls]_Sp_392"/>
      <sheetName val="[Spt-BH.xls][Spt-BH_xls]B__1209"/>
      <sheetName val="[Spt-BH.xls][Spt-BH_xls]B__1210"/>
      <sheetName val="[Spt-BH.xls][Spt-BH_xls]_Sp_393"/>
      <sheetName val="[Spt-BH.xls][Spt-BH_xls]B__1211"/>
      <sheetName val="[Spt-BH.xls][Spt-BH_xls]B__1212"/>
      <sheetName val="[Spt-BH.xls][Spt-BH_xls]_Sp_394"/>
      <sheetName val="[Spt-BH.xls][Spt-BH.xls]_Sp_406"/>
      <sheetName val="[Spt-BH.xls][Spt-BH.xls]_Sp_404"/>
      <sheetName val="[Spt-BH.xls][Spt-BH.xls]_Sp_405"/>
      <sheetName val="[Spt-BH.xls][Spt-BH.xls]_Sp_378"/>
      <sheetName val="[Spt-BH.xls][Spt-BH.xls]_Sp_376"/>
      <sheetName val="[Spt-BH.xls][Spt-BH.xls]_Sp_377"/>
      <sheetName val="[Spt-BH.xls][Spt-BH.xls]_Sp_390"/>
      <sheetName val="[Spt-BH.xls][Spt-BH.xls]_Sp_388"/>
      <sheetName val="[Spt-BH.xls][Spt-BH.xls]_Sp_381"/>
      <sheetName val="[Spt-BH.xls][Spt-BH.xls]_Sp_382"/>
      <sheetName val="[Spt-BH.xls][Spt-BH.xls]_Sp_389"/>
      <sheetName val="[Spt-BH.xls][Spt-BH.xls]_Sp_380"/>
      <sheetName val="[Spt-BH.xls][Spt-BH.xls]_Sp_379"/>
      <sheetName val="[Spt-BH.xls][Spt-BH.xls]_Sp_383"/>
      <sheetName val="[Spt-BH.xls][Spt-BH.xls]_Sp_384"/>
      <sheetName val="[Spt-BH.xls][Spt-BH.xls]_Sp_385"/>
      <sheetName val="[Spt-BH.xls][Spt-BH.xls]_Sp_386"/>
      <sheetName val="[Spt-BH.xls][Spt-BH.xls]_Sp_387"/>
      <sheetName val="[Spt-BH.xls][Spt-BH.xls]_Sp_397"/>
      <sheetName val="[Spt-BH.xls][Spt-BH.xls]_Sp_401"/>
      <sheetName val="[Spt-BH.xls][Spt-BH.xls]_Sp_399"/>
      <sheetName val="[Spt-BH.xls][Spt-BH.xls]_Sp_398"/>
      <sheetName val="[Spt-BH.xls][Spt-BH.xls]_Sp_400"/>
      <sheetName val="[Spt-BH.xls][Spt-BH_xls]B__1033"/>
      <sheetName val="[Spt-BH.xls][Spt-BH_xls]B__1034"/>
      <sheetName val="[Spt-BH.xls][Spt-BH_xls]B__1035"/>
      <sheetName val="[Spt-BH.xls][Spt-BH_xls]B__1036"/>
      <sheetName val="[Spt-BH.xls][Spt-BH_xls]_Sp_335"/>
      <sheetName val="[Spt-BH.xls][Spt-BH_xls]B__1037"/>
      <sheetName val="[Spt-BH.xls][Spt-BH_xls]B__1038"/>
      <sheetName val="[Spt-BH.xls][Spt-BH_xls]B__1039"/>
      <sheetName val="[Spt-BH.xls][Spt-BH_xls]_Sp_336"/>
      <sheetName val="[Spt-BH.xls][Spt-BH_xls]B__1040"/>
      <sheetName val="[Spt-BH.xls][Spt-BH_xls]B__1041"/>
      <sheetName val="[Spt-BH.xls][Spt-BH_xls]B__1042"/>
      <sheetName val="[Spt-BH.xls][Spt-BH_xls]B__1043"/>
      <sheetName val="[Spt-BH.xls][Spt-BH_xls]_Sp_337"/>
      <sheetName val="[Spt-BH.xls][Spt-BH_xls]B__1044"/>
      <sheetName val="[Spt-BH.xls][Spt-BH_xls]B__1045"/>
      <sheetName val="[Spt-BH.xls][Spt-BH_xls]_Sp_338"/>
      <sheetName val="[Spt-BH.xls][Spt-BH_xls]B__1046"/>
      <sheetName val="[Spt-BH.xls][Spt-BH_xls]B__1047"/>
      <sheetName val="[Spt-BH.xls][Spt-BH_xls]_Sp_339"/>
      <sheetName val="[Spt-BH.xls][Spt-BH.xls]_Sp_391"/>
      <sheetName val="[Spt-BH.xls][Spt-BH.xls]_Sp_392"/>
      <sheetName val="[Spt-BH.xls][Spt-BH.xls]_Sp_395"/>
      <sheetName val="[Spt-BH.xls][Spt-BH.xls]_Sp_396"/>
      <sheetName val="[Spt-BH.xls][Spt-BH.xls]_Sp_393"/>
      <sheetName val="[Spt-BH.xls][Spt-BH.xls]_Sp_394"/>
      <sheetName val="[Spt-BH.xls][Spt-BH_xls]B__1018"/>
      <sheetName val="[Spt-BH.xls][Spt-BH_xls]B__1019"/>
      <sheetName val="[Spt-BH.xls][Spt-BH_xls]B__1020"/>
      <sheetName val="[Spt-BH.xls][Spt-BH_xls]B__1021"/>
      <sheetName val="[Spt-BH.xls][Spt-BH_xls]_Sp_330"/>
      <sheetName val="[Spt-BH.xls][Spt-BH_xls]B__1022"/>
      <sheetName val="[Spt-BH.xls][Spt-BH_xls]B__1023"/>
      <sheetName val="[Spt-BH.xls][Spt-BH_xls]B__1024"/>
      <sheetName val="[Spt-BH.xls][Spt-BH_xls]_Sp_331"/>
      <sheetName val="[Spt-BH.xls][Spt-BH_xls]B__1025"/>
      <sheetName val="[Spt-BH.xls][Spt-BH_xls]B__1026"/>
      <sheetName val="[Spt-BH.xls][Spt-BH_xls]B__1027"/>
      <sheetName val="[Spt-BH.xls][Spt-BH_xls]B__1028"/>
      <sheetName val="[Spt-BH.xls][Spt-BH_xls]_Sp_332"/>
      <sheetName val="[Spt-BH.xls][Spt-BH_xls]B__1029"/>
      <sheetName val="[Spt-BH.xls][Spt-BH_xls]B__1030"/>
      <sheetName val="[Spt-BH.xls][Spt-BH_xls]_Sp_333"/>
      <sheetName val="[Spt-BH.xls][Spt-BH_xls]B__1031"/>
      <sheetName val="[Spt-BH.xls][Spt-BH_xls]B__1032"/>
      <sheetName val="[Spt-BH.xls][Spt-BH_xls]_Sp_334"/>
      <sheetName val="[Spt-BH.xls][Spt-BH_xls]B__1003"/>
      <sheetName val="[Spt-BH.xls][Spt-BH_xls]B__1004"/>
      <sheetName val="[Spt-BH.xls][Spt-BH_xls]B__1005"/>
      <sheetName val="[Spt-BH.xls][Spt-BH_xls]B__1006"/>
      <sheetName val="[Spt-BH.xls][Spt-BH_xls]_Sp_325"/>
      <sheetName val="[Spt-BH.xls][Spt-BH_xls]B__1007"/>
      <sheetName val="[Spt-BH.xls][Spt-BH_xls]B__1008"/>
      <sheetName val="[Spt-BH.xls][Spt-BH_xls]B__1009"/>
      <sheetName val="[Spt-BH.xls][Spt-BH_xls]_Sp_326"/>
      <sheetName val="[Spt-BH.xls][Spt-BH_xls]B__1010"/>
      <sheetName val="[Spt-BH.xls][Spt-BH_xls]B__1011"/>
      <sheetName val="[Spt-BH.xls][Spt-BH_xls]B__1012"/>
      <sheetName val="[Spt-BH.xls][Spt-BH_xls]B__1013"/>
      <sheetName val="[Spt-BH.xls][Spt-BH_xls]_Sp_327"/>
      <sheetName val="[Spt-BH.xls][Spt-BH_xls]B__1014"/>
      <sheetName val="[Spt-BH.xls][Spt-BH_xls]B__1015"/>
      <sheetName val="[Spt-BH.xls][Spt-BH_xls]_Sp_328"/>
      <sheetName val="[Spt-BH.xls][Spt-BH_xls]B__1016"/>
      <sheetName val="[Spt-BH.xls][Spt-BH_xls]B__1017"/>
      <sheetName val="[Spt-BH.xls][Spt-BH_xls]_Sp_329"/>
      <sheetName val="[Spt-BH.xls][Spt-BH.xls]_Sp_402"/>
      <sheetName val="[Spt-BH.xls][Spt-BH.xls]_Sp_403"/>
      <sheetName val="[Spt-BH.xls][Spt-BH.xls]_Sp_408"/>
      <sheetName val="[Spt-BH.xls][Spt-BH.xls]_Sp_407"/>
      <sheetName val="[Spt-BH.xls][Spt-BH.xls]_Sp_409"/>
      <sheetName val="[Spt-BH.xls][Spt-BH.xls]_Sp_410"/>
      <sheetName val="[Spt-BH.xls][Spt-BH_xls]B__1048"/>
      <sheetName val="[Spt-BH.xls][Spt-BH_xls]B__1049"/>
      <sheetName val="[Spt-BH.xls][Spt-BH_xls]B__1050"/>
      <sheetName val="[Spt-BH.xls][Spt-BH_xls]B__1051"/>
      <sheetName val="[Spt-BH.xls][Spt-BH_xls]_Sp_340"/>
      <sheetName val="[Spt-BH.xls][Spt-BH_xls]B__1052"/>
      <sheetName val="[Spt-BH.xls][Spt-BH_xls]B__1053"/>
      <sheetName val="[Spt-BH.xls][Spt-BH_xls]B__1054"/>
      <sheetName val="[Spt-BH.xls][Spt-BH_xls]_Sp_341"/>
      <sheetName val="[Spt-BH.xls][Spt-BH_xls]B__1055"/>
      <sheetName val="[Spt-BH.xls][Spt-BH_xls]B__1056"/>
      <sheetName val="[Spt-BH.xls][Spt-BH_xls]B__1057"/>
      <sheetName val="[Spt-BH.xls][Spt-BH_xls]B__1058"/>
      <sheetName val="[Spt-BH.xls][Spt-BH_xls]_Sp_342"/>
      <sheetName val="[Spt-BH.xls][Spt-BH_xls]B__1059"/>
      <sheetName val="[Spt-BH.xls][Spt-BH_xls]B__1060"/>
      <sheetName val="[Spt-BH.xls][Spt-BH_xls]_Sp_343"/>
      <sheetName val="[Spt-BH.xls][Spt-BH_xls]B__1061"/>
      <sheetName val="[Spt-BH.xls][Spt-BH_xls]B__1062"/>
      <sheetName val="[Spt-BH.xls][Spt-BH_xls]_Sp_344"/>
      <sheetName val="[Spt-BH.xls][Spt-BH.xls]_Sp_411"/>
      <sheetName val="[Spt-BH.xls][Spt-BH.xls]_Sp_412"/>
      <sheetName val="[Spt-BH.xls][Spt-BH.xls]_Sp_421"/>
      <sheetName val="[Spt-BH.xls][Spt-BH.xls]_Sp_423"/>
      <sheetName val="[Spt-BH.xls][Spt-BH.xls]_Sp_422"/>
      <sheetName val="[Spt-BH.xls][Spt-BH.xls]_Sp_425"/>
      <sheetName val="[Spt-BH.xls]B____x005f_x0004______101"/>
      <sheetName val="[Spt-BH.xls][Spt-BH.xls]_Sp_424"/>
      <sheetName val="[Spt-BH.xls][Spt-BH_xls]B__1183"/>
      <sheetName val="[Spt-BH.xls][Spt-BH_xls]B__1184"/>
      <sheetName val="[Spt-BH.xls][Spt-BH_xls]B__1185"/>
      <sheetName val="[Spt-BH.xls][Spt-BH_xls]B__1186"/>
      <sheetName val="[Spt-BH.xls][Spt-BH_xls]_Sp_385"/>
      <sheetName val="[Spt-BH.xls][Spt-BH_xls]B__1187"/>
      <sheetName val="[Spt-BH.xls][Spt-BH_xls]B__1188"/>
      <sheetName val="[Spt-BH.xls][Spt-BH_xls]B__1189"/>
      <sheetName val="[Spt-BH.xls][Spt-BH_xls]_Sp_386"/>
      <sheetName val="[Spt-BH.xls][Spt-BH_xls]B__1190"/>
      <sheetName val="[Spt-BH.xls][Spt-BH_xls]B__1191"/>
      <sheetName val="[Spt-BH.xls][Spt-BH_xls]B__1192"/>
      <sheetName val="[Spt-BH.xls][Spt-BH_xls]B__1193"/>
      <sheetName val="[Spt-BH.xls][Spt-BH_xls]_Sp_387"/>
      <sheetName val="[Spt-BH.xls][Spt-BH_xls]B__1194"/>
      <sheetName val="[Spt-BH.xls][Spt-BH_xls]B__1195"/>
      <sheetName val="[Spt-BH.xls][Spt-BH_xls]_Sp_388"/>
      <sheetName val="[Spt-BH.xls][Spt-BH_xls]B__1196"/>
      <sheetName val="[Spt-BH.xls][Spt-BH_xls]B__1197"/>
      <sheetName val="[Spt-BH.xls][Spt-BH_xls]_Sp_389"/>
      <sheetName val="[Spt-BH.xls][Spt-BH.xls]_Sp_416"/>
      <sheetName val="[Spt-BH.xls][Spt-BH.xls]_Sp_413"/>
      <sheetName val="[Spt-BH.xls][Spt-BH.xls]_Sp_418"/>
      <sheetName val="[Spt-BH.xls][Spt-BH.xls]_Sp_417"/>
      <sheetName val="[Spt-BH.xls][Spt-BH_xls]B__1153"/>
      <sheetName val="[Spt-BH.xls][Spt-BH_xls]B__1154"/>
      <sheetName val="[Spt-BH.xls][Spt-BH_xls]B__1155"/>
      <sheetName val="[Spt-BH.xls][Spt-BH_xls]B__1156"/>
      <sheetName val="[Spt-BH.xls][Spt-BH_xls]_Sp_375"/>
      <sheetName val="[Spt-BH.xls][Spt-BH_xls]B__1157"/>
      <sheetName val="[Spt-BH.xls][Spt-BH_xls]B__1158"/>
      <sheetName val="[Spt-BH.xls][Spt-BH_xls]B__1159"/>
      <sheetName val="[Spt-BH.xls][Spt-BH_xls]_Sp_376"/>
      <sheetName val="[Spt-BH.xls][Spt-BH_xls]B__1160"/>
      <sheetName val="[Spt-BH.xls][Spt-BH_xls]B__1161"/>
      <sheetName val="[Spt-BH.xls][Spt-BH_xls]B__1162"/>
      <sheetName val="[Spt-BH.xls][Spt-BH_xls]B__1163"/>
      <sheetName val="[Spt-BH.xls][Spt-BH_xls]_Sp_377"/>
      <sheetName val="[Spt-BH.xls][Spt-BH_xls]B__1164"/>
      <sheetName val="[Spt-BH.xls][Spt-BH_xls]B__1165"/>
      <sheetName val="[Spt-BH.xls][Spt-BH_xls]_Sp_378"/>
      <sheetName val="[Spt-BH.xls][Spt-BH_xls]B__1166"/>
      <sheetName val="[Spt-BH.xls][Spt-BH_xls]B__1167"/>
      <sheetName val="[Spt-BH.xls][Spt-BH_xls]_Sp_379"/>
      <sheetName val="[Spt-BH.xls][Spt-BH_xls]B__1093"/>
      <sheetName val="[Spt-BH.xls][Spt-BH_xls]B__1094"/>
      <sheetName val="[Spt-BH.xls][Spt-BH_xls]B__1095"/>
      <sheetName val="[Spt-BH.xls][Spt-BH_xls]B__1096"/>
      <sheetName val="[Spt-BH.xls][Spt-BH_xls]_Sp_355"/>
      <sheetName val="[Spt-BH.xls][Spt-BH_xls]B__1097"/>
      <sheetName val="[Spt-BH.xls][Spt-BH_xls]B__1098"/>
      <sheetName val="[Spt-BH.xls][Spt-BH_xls]B__1099"/>
      <sheetName val="[Spt-BH.xls][Spt-BH_xls]_Sp_356"/>
      <sheetName val="[Spt-BH.xls][Spt-BH_xls]B__1100"/>
      <sheetName val="[Spt-BH.xls][Spt-BH_xls]B__1101"/>
      <sheetName val="[Spt-BH.xls][Spt-BH_xls]B__1102"/>
      <sheetName val="[Spt-BH.xls][Spt-BH_xls]B__1103"/>
      <sheetName val="[Spt-BH.xls][Spt-BH_xls]_Sp_357"/>
      <sheetName val="[Spt-BH.xls][Spt-BH_xls]B__1104"/>
      <sheetName val="[Spt-BH.xls][Spt-BH_xls]B__1105"/>
      <sheetName val="[Spt-BH.xls][Spt-BH_xls]_Sp_358"/>
      <sheetName val="[Spt-BH.xls][Spt-BH_xls]B__1106"/>
      <sheetName val="[Spt-BH.xls][Spt-BH_xls]B__1107"/>
      <sheetName val="[Spt-BH.xls][Spt-BH_xls]_Sp_359"/>
      <sheetName val="[Spt-BH.xls][Spt-BH_xls]B__1063"/>
      <sheetName val="[Spt-BH.xls][Spt-BH_xls]B__1064"/>
      <sheetName val="[Spt-BH.xls][Spt-BH_xls]B__1065"/>
      <sheetName val="[Spt-BH.xls][Spt-BH_xls]B__1066"/>
      <sheetName val="[Spt-BH.xls][Spt-BH_xls]_Sp_345"/>
      <sheetName val="[Spt-BH.xls][Spt-BH_xls]B__1067"/>
      <sheetName val="[Spt-BH.xls][Spt-BH_xls]B__1068"/>
      <sheetName val="[Spt-BH.xls][Spt-BH_xls]B__1069"/>
      <sheetName val="[Spt-BH.xls][Spt-BH_xls]_Sp_346"/>
      <sheetName val="[Spt-BH.xls][Spt-BH_xls]B__1070"/>
      <sheetName val="[Spt-BH.xls][Spt-BH_xls]B__1071"/>
      <sheetName val="[Spt-BH.xls][Spt-BH_xls]B__1072"/>
      <sheetName val="[Spt-BH.xls][Spt-BH_xls]B__1073"/>
      <sheetName val="[Spt-BH.xls][Spt-BH_xls]_Sp_347"/>
      <sheetName val="[Spt-BH.xls][Spt-BH_xls]B__1074"/>
      <sheetName val="[Spt-BH.xls][Spt-BH_xls]B__1075"/>
      <sheetName val="[Spt-BH.xls][Spt-BH_xls]_Sp_348"/>
      <sheetName val="[Spt-BH.xls][Spt-BH_xls]B__1076"/>
      <sheetName val="[Spt-BH.xls][Spt-BH_xls]B__1077"/>
      <sheetName val="[Spt-BH.xls][Spt-BH_xls]_Sp_349"/>
      <sheetName val="[Spt-BH.xls][Spt-BH_xls]B__1078"/>
      <sheetName val="[Spt-BH.xls][Spt-BH_xls]B__1079"/>
      <sheetName val="[Spt-BH.xls][Spt-BH_xls]B__1080"/>
      <sheetName val="[Spt-BH.xls][Spt-BH_xls]B__1081"/>
      <sheetName val="[Spt-BH.xls][Spt-BH_xls]_Sp_350"/>
      <sheetName val="[Spt-BH.xls][Spt-BH_xls]B__1082"/>
      <sheetName val="[Spt-BH.xls][Spt-BH_xls]B__1083"/>
      <sheetName val="[Spt-BH.xls][Spt-BH_xls]B__1084"/>
      <sheetName val="[Spt-BH.xls][Spt-BH_xls]_Sp_351"/>
      <sheetName val="[Spt-BH.xls][Spt-BH_xls]B__1085"/>
      <sheetName val="[Spt-BH.xls][Spt-BH_xls]B__1086"/>
      <sheetName val="[Spt-BH.xls][Spt-BH_xls]B__1087"/>
      <sheetName val="[Spt-BH.xls][Spt-BH_xls]B__1088"/>
      <sheetName val="[Spt-BH.xls][Spt-BH_xls]_Sp_352"/>
      <sheetName val="[Spt-BH.xls][Spt-BH_xls]B__1089"/>
      <sheetName val="[Spt-BH.xls][Spt-BH_xls]B__1090"/>
      <sheetName val="[Spt-BH.xls][Spt-BH_xls]_Sp_353"/>
      <sheetName val="[Spt-BH.xls][Spt-BH_xls]B__1091"/>
      <sheetName val="[Spt-BH.xls][Spt-BH_xls]B__1092"/>
      <sheetName val="[Spt-BH.xls][Spt-BH_xls]_Sp_354"/>
      <sheetName val="[Spt-BH.xls][Spt-BH_xls]B__1108"/>
      <sheetName val="[Spt-BH.xls][Spt-BH_xls]B__1109"/>
      <sheetName val="[Spt-BH.xls][Spt-BH_xls]B__1110"/>
      <sheetName val="[Spt-BH.xls][Spt-BH_xls]B__1111"/>
      <sheetName val="[Spt-BH.xls][Spt-BH_xls]_Sp_360"/>
      <sheetName val="[Spt-BH.xls][Spt-BH_xls]B__1112"/>
      <sheetName val="[Spt-BH.xls][Spt-BH_xls]B__1113"/>
      <sheetName val="[Spt-BH.xls][Spt-BH_xls]B__1114"/>
      <sheetName val="[Spt-BH.xls][Spt-BH_xls]_Sp_361"/>
      <sheetName val="[Spt-BH.xls][Spt-BH_xls]B__1115"/>
      <sheetName val="[Spt-BH.xls][Spt-BH_xls]B__1116"/>
      <sheetName val="[Spt-BH.xls][Spt-BH_xls]B__1117"/>
      <sheetName val="[Spt-BH.xls][Spt-BH_xls]B__1118"/>
      <sheetName val="[Spt-BH.xls][Spt-BH_xls]_Sp_362"/>
      <sheetName val="[Spt-BH.xls][Spt-BH_xls]B__1119"/>
      <sheetName val="[Spt-BH.xls][Spt-BH_xls]B__1120"/>
      <sheetName val="[Spt-BH.xls][Spt-BH_xls]_Sp_363"/>
      <sheetName val="[Spt-BH.xls][Spt-BH_xls]B__1121"/>
      <sheetName val="[Spt-BH.xls][Spt-BH_xls]B__1122"/>
      <sheetName val="[Spt-BH.xls][Spt-BH_xls]_Sp_364"/>
      <sheetName val="[Spt-BH.xls][Spt-BH_xls]B__1123"/>
      <sheetName val="[Spt-BH.xls][Spt-BH_xls]B__1124"/>
      <sheetName val="[Spt-BH.xls][Spt-BH_xls]B__1125"/>
      <sheetName val="[Spt-BH.xls][Spt-BH_xls]B__1126"/>
      <sheetName val="[Spt-BH.xls][Spt-BH_xls]_Sp_365"/>
      <sheetName val="[Spt-BH.xls][Spt-BH_xls]B__1127"/>
      <sheetName val="[Spt-BH.xls][Spt-BH_xls]B__1128"/>
      <sheetName val="[Spt-BH.xls][Spt-BH_xls]B__1129"/>
      <sheetName val="[Spt-BH.xls][Spt-BH_xls]_Sp_366"/>
      <sheetName val="[Spt-BH.xls][Spt-BH_xls]B__1130"/>
      <sheetName val="[Spt-BH.xls][Spt-BH_xls]B__1131"/>
      <sheetName val="[Spt-BH.xls][Spt-BH_xls]B__1132"/>
      <sheetName val="[Spt-BH.xls][Spt-BH_xls]B__1133"/>
      <sheetName val="[Spt-BH.xls][Spt-BH_xls]_Sp_367"/>
      <sheetName val="[Spt-BH.xls][Spt-BH_xls]B__1134"/>
      <sheetName val="[Spt-BH.xls][Spt-BH_xls]B__1135"/>
      <sheetName val="[Spt-BH.xls][Spt-BH_xls]_Sp_368"/>
      <sheetName val="[Spt-BH.xls][Spt-BH_xls]B__1136"/>
      <sheetName val="[Spt-BH.xls][Spt-BH_xls]B__1137"/>
      <sheetName val="[Spt-BH.xls][Spt-BH_xls]_Sp_369"/>
      <sheetName val="[Spt-BH.xls][Spt-BH_xls]B__1138"/>
      <sheetName val="[Spt-BH.xls][Spt-BH_xls]B__1139"/>
      <sheetName val="[Spt-BH.xls][Spt-BH_xls]B__1140"/>
      <sheetName val="[Spt-BH.xls][Spt-BH_xls]B__1141"/>
      <sheetName val="[Spt-BH.xls][Spt-BH_xls]_Sp_370"/>
      <sheetName val="[Spt-BH.xls][Spt-BH_xls]B__1142"/>
      <sheetName val="[Spt-BH.xls][Spt-BH_xls]B__1143"/>
      <sheetName val="[Spt-BH.xls][Spt-BH_xls]B__1144"/>
      <sheetName val="[Spt-BH.xls][Spt-BH_xls]_Sp_371"/>
      <sheetName val="[Spt-BH.xls][Spt-BH_xls]B__1145"/>
      <sheetName val="[Spt-BH.xls][Spt-BH_xls]B__1146"/>
      <sheetName val="[Spt-BH.xls][Spt-BH_xls]B__1147"/>
      <sheetName val="[Spt-BH.xls][Spt-BH_xls]B__1148"/>
      <sheetName val="[Spt-BH.xls][Spt-BH_xls]_Sp_372"/>
      <sheetName val="[Spt-BH.xls][Spt-BH_xls]B__1149"/>
      <sheetName val="[Spt-BH.xls][Spt-BH_xls]B__1150"/>
      <sheetName val="[Spt-BH.xls][Spt-BH_xls]_Sp_373"/>
      <sheetName val="[Spt-BH.xls][Spt-BH_xls]B__1151"/>
      <sheetName val="[Spt-BH.xls][Spt-BH_xls]B__1152"/>
      <sheetName val="[Spt-BH.xls][Spt-BH_xls]_Sp_374"/>
      <sheetName val="[Spt-BH.xls][Spt-BH.xls]_Sp_414"/>
      <sheetName val="[Spt-BH.xls][Spt-BH.xls]_Sp_415"/>
      <sheetName val="[Spt-BH.xls]B____x005f_x0004______100"/>
      <sheetName val="[Spt-BH.xls][Spt-BH_xls]B__1168"/>
      <sheetName val="[Spt-BH.xls][Spt-BH_xls]B__1169"/>
      <sheetName val="[Spt-BH.xls][Spt-BH_xls]B__1170"/>
      <sheetName val="[Spt-BH.xls][Spt-BH_xls]B__1171"/>
      <sheetName val="[Spt-BH.xls][Spt-BH_xls]_Sp_380"/>
      <sheetName val="[Spt-BH.xls][Spt-BH_xls]B__1172"/>
      <sheetName val="[Spt-BH.xls][Spt-BH_xls]B__1173"/>
      <sheetName val="[Spt-BH.xls][Spt-BH_xls]B__1174"/>
      <sheetName val="[Spt-BH.xls][Spt-BH_xls]_Sp_381"/>
      <sheetName val="[Spt-BH.xls][Spt-BH_xls]B__1175"/>
      <sheetName val="[Spt-BH.xls][Spt-BH_xls]B__1176"/>
      <sheetName val="[Spt-BH.xls][Spt-BH_xls]B__1177"/>
      <sheetName val="[Spt-BH.xls][Spt-BH_xls]B__1178"/>
      <sheetName val="[Spt-BH.xls][Spt-BH_xls]_Sp_382"/>
      <sheetName val="[Spt-BH.xls][Spt-BH_xls]B__1179"/>
      <sheetName val="[Spt-BH.xls][Spt-BH_xls]B__1180"/>
      <sheetName val="[Spt-BH.xls][Spt-BH_xls]_Sp_383"/>
      <sheetName val="[Spt-BH.xls][Spt-BH_xls]B__1181"/>
      <sheetName val="[Spt-BH.xls][Spt-BH_xls]B__1182"/>
      <sheetName val="[Spt-BH.xls][Spt-BH_xls]_Sp_384"/>
      <sheetName val="[Spt-BH.xls][Spt-BH.xls]_Sp_419"/>
      <sheetName val="[Spt-BH.xls][Spt-BH.xls]_Sp_420"/>
      <sheetName val="[Spt-BH.xls][Spt-BH.xls]_Sp_426"/>
      <sheetName val="[Spt-BH.xls][Spt-BH.xls]_Sp_436"/>
      <sheetName val="[Spt-BH.xls]B____x005f_x0004______103"/>
      <sheetName val="[Spt-BH.xls]B___x005f_x0000__x000_100"/>
      <sheetName val="[Spt-BH.xls][Spt-BH.xls]_Sp_434"/>
      <sheetName val="[Spt-BH.xls][Spt-BH_xls]B__1213"/>
      <sheetName val="[Spt-BH.xls][Spt-BH_xls]B__1214"/>
      <sheetName val="[Spt-BH.xls][Spt-BH_xls]B__1215"/>
      <sheetName val="[Spt-BH.xls][Spt-BH_xls]B__1216"/>
      <sheetName val="[Spt-BH.xls][Spt-BH_xls]_Sp_395"/>
      <sheetName val="[Spt-BH.xls][Spt-BH_xls]B__1217"/>
      <sheetName val="[Spt-BH.xls][Spt-BH_xls]B__1218"/>
      <sheetName val="[Spt-BH.xls][Spt-BH_xls]B__1219"/>
      <sheetName val="[Spt-BH.xls][Spt-BH_xls]_Sp_396"/>
      <sheetName val="[Spt-BH.xls][Spt-BH_xls]B__1220"/>
      <sheetName val="[Spt-BH.xls][Spt-BH_xls]B__1221"/>
      <sheetName val="[Spt-BH.xls][Spt-BH_xls]B__1222"/>
      <sheetName val="[Spt-BH.xls][Spt-BH_xls]B__1223"/>
      <sheetName val="[Spt-BH.xls][Spt-BH_xls]_Sp_397"/>
      <sheetName val="[Spt-BH.xls][Spt-BH_xls]B__1224"/>
      <sheetName val="[Spt-BH.xls][Spt-BH_xls]B__1225"/>
      <sheetName val="[Spt-BH.xls][Spt-BH_xls]_Sp_398"/>
      <sheetName val="[Spt-BH.xls][Spt-BH_xls]B__1226"/>
      <sheetName val="[Spt-BH.xls][Spt-BH_xls]B__1227"/>
      <sheetName val="[Spt-BH.xls][Spt-BH_xls]_Sp_399"/>
      <sheetName val="[Spt-BH.xls][Spt-BH.xls]_Sp_429"/>
      <sheetName val="[Spt-BH.xls][Spt-BH.xls]_Sp_430"/>
      <sheetName val="[Spt-BH.xls][Spt-BH.xls]_Sp_438"/>
      <sheetName val="[Spt-BH.xls][Spt-BH.xls]_Sp_440"/>
      <sheetName val="[Spt-BH.xls]B____x005f_x0004______104"/>
      <sheetName val="[Spt-BH.xls]B___x005f_x0000__x000_101"/>
      <sheetName val="[Spt-BH.xls][Spt-BH.xls]_Sp_437"/>
      <sheetName val="[Spt-BH.xls][Spt-BH.xls]_Sp_439"/>
      <sheetName val="[Spt-BH.xls][Spt-BH_xls]B__1228"/>
      <sheetName val="[Spt-BH.xls][Spt-BH_xls]B__1229"/>
      <sheetName val="[Spt-BH.xls][Spt-BH_xls]B__1230"/>
      <sheetName val="[Spt-BH.xls][Spt-BH_xls]B__1231"/>
      <sheetName val="[Spt-BH.xls][Spt-BH_xls]_Sp_400"/>
      <sheetName val="[Spt-BH.xls][Spt-BH_xls]B__1232"/>
      <sheetName val="[Spt-BH.xls][Spt-BH_xls]B__1233"/>
      <sheetName val="[Spt-BH.xls][Spt-BH_xls]B__1234"/>
      <sheetName val="[Spt-BH.xls][Spt-BH_xls]_Sp_401"/>
      <sheetName val="[Spt-BH.xls][Spt-BH_xls]B__1235"/>
      <sheetName val="[Spt-BH.xls][Spt-BH_xls]B__1236"/>
      <sheetName val="[Spt-BH.xls][Spt-BH_xls]B__1237"/>
      <sheetName val="[Spt-BH.xls][Spt-BH_xls]B__1238"/>
      <sheetName val="[Spt-BH.xls][Spt-BH_xls]_Sp_402"/>
      <sheetName val="[Spt-BH.xls][Spt-BH_xls]B__1239"/>
      <sheetName val="[Spt-BH.xls][Spt-BH_xls]B__1240"/>
      <sheetName val="[Spt-BH.xls][Spt-BH_xls]_Sp_403"/>
      <sheetName val="[Spt-BH.xls][Spt-BH_xls]B__1241"/>
      <sheetName val="[Spt-BH.xls][Spt-BH_xls]B__1242"/>
      <sheetName val="[Spt-BH.xls][Spt-BH_xls]_Sp_404"/>
      <sheetName val="[Spt-BH.xls][Spt-BH.xls]_Sp_435"/>
      <sheetName val="[Spt-BH.xls][Spt-BH.xls]_Sp_441"/>
      <sheetName val="[Spt-BH.xls][Spt-BH.xls]_Sp_443"/>
      <sheetName val="[Spt-BH.xls][Spt-BH.xls]_Sp_442"/>
      <sheetName val="[Spt-BH.xls][Spt-BH.xls]_Sp_445"/>
      <sheetName val="[Spt-BH.xls]B____x005f_x0004______105"/>
      <sheetName val="[Spt-BH.xls]B___x005f_x0000__x000_102"/>
      <sheetName val="[Spt-BH.xls][Spt-BH.xls]_Sp_444"/>
      <sheetName val="[Spt-BH.xls][Spt-BH_xls]B__1243"/>
      <sheetName val="[Spt-BH.xls][Spt-BH_xls]B__1244"/>
      <sheetName val="[Spt-BH.xls][Spt-BH_xls]B__1245"/>
      <sheetName val="[Spt-BH.xls][Spt-BH_xls]B__1246"/>
      <sheetName val="[Spt-BH.xls][Spt-BH_xls]_Sp_405"/>
      <sheetName val="[Spt-BH.xls][Spt-BH_xls]B__1247"/>
      <sheetName val="[Spt-BH.xls][Spt-BH_xls]B__1248"/>
      <sheetName val="[Spt-BH.xls][Spt-BH_xls]B__1249"/>
      <sheetName val="[Spt-BH.xls][Spt-BH_xls]_Sp_406"/>
      <sheetName val="[Spt-BH.xls][Spt-BH_xls]B__1250"/>
      <sheetName val="[Spt-BH.xls][Spt-BH_xls]B__1251"/>
      <sheetName val="[Spt-BH.xls][Spt-BH_xls]B__1252"/>
      <sheetName val="[Spt-BH.xls][Spt-BH_xls]B__1253"/>
      <sheetName val="[Spt-BH.xls][Spt-BH_xls]_Sp_407"/>
      <sheetName val="[Spt-BH.xls][Spt-BH_xls]B__1254"/>
      <sheetName val="[Spt-BH.xls][Spt-BH_xls]B__1255"/>
      <sheetName val="[Spt-BH.xls][Spt-BH_xls]_Sp_408"/>
      <sheetName val="[Spt-BH.xls][Spt-BH_xls]B__1256"/>
      <sheetName val="[Spt-BH.xls][Spt-BH_xls]B__1257"/>
      <sheetName val="[Spt-BH.xls][Spt-BH_xls]_Sp_409"/>
      <sheetName val="[Spt-BH.xls][Spt-BH.xls]_Sp_447"/>
      <sheetName val="[Spt-BH.xls][Spt-BH.xls]_Sp_446"/>
      <sheetName val="[Spt-BH.xls][Spt-BH.xls]_Sp_448"/>
      <sheetName val="[Spt-BH.xls][Spt-BH.xls]_Sp_450"/>
      <sheetName val="[Spt-BH.xls][Spt-BH.xls]_Sp_449"/>
      <sheetName val="[Spt-BH.xls][Spt-BH.xls]_Sp_451"/>
      <sheetName val="[Spt-BH.xls][Spt-BH.xls]_Sp_455"/>
      <sheetName val="[Spt-BH.xls][Spt-BH.xls]_Sp_452"/>
      <sheetName val="[Spt-BH.xls][Spt-BH.xls]_Sp_453"/>
      <sheetName val="[Spt-BH.xls][Spt-BH.xls]_Sp_454"/>
      <sheetName val="[Spt-BH.xls][Spt-BH.xls]_Sp_458"/>
      <sheetName val="[Spt-BH.xls][Spt-BH.xls]_Sp_456"/>
      <sheetName val="[Spt-BH.xls][Spt-BH.xls]_Sp_457"/>
      <sheetName val="[Spt-BH.xls][Spt-BH.xls]_Sp_462"/>
      <sheetName val="[Spt-BH.xls][Spt-BH.xls]_Sp_464"/>
      <sheetName val="[Spt-BH.xls][Spt-BH.xls]_Sp_463"/>
      <sheetName val="[Spt-BH.xls][Spt-BH.xls]_Sp_466"/>
      <sheetName val="[Spt-BH.xls]B____x005f_x0004______106"/>
      <sheetName val="[Spt-BH.xls]B___x005f_x0000__x000_103"/>
      <sheetName val="[Spt-BH.xls][Spt-BH.xls]_Sp_465"/>
      <sheetName val="[Spt-BH.xls][Spt-BH_xls]B__1258"/>
      <sheetName val="[Spt-BH.xls][Spt-BH_xls]B__1259"/>
      <sheetName val="[Spt-BH.xls][Spt-BH_xls]B__1260"/>
      <sheetName val="[Spt-BH.xls][Spt-BH_xls]B__1261"/>
      <sheetName val="[Spt-BH.xls][Spt-BH_xls]_Sp_410"/>
      <sheetName val="[Spt-BH.xls][Spt-BH_xls]B__1262"/>
      <sheetName val="[Spt-BH.xls][Spt-BH_xls]B__1263"/>
      <sheetName val="[Spt-BH.xls][Spt-BH_xls]B__1264"/>
      <sheetName val="[Spt-BH.xls][Spt-BH_xls]_Sp_411"/>
      <sheetName val="[Spt-BH.xls][Spt-BH_xls]B__1265"/>
      <sheetName val="[Spt-BH.xls][Spt-BH_xls]B__1266"/>
      <sheetName val="[Spt-BH.xls][Spt-BH_xls]B__1267"/>
      <sheetName val="[Spt-BH.xls][Spt-BH_xls]B__1268"/>
      <sheetName val="[Spt-BH.xls][Spt-BH_xls]_Sp_412"/>
      <sheetName val="[Spt-BH.xls][Spt-BH_xls]B__1269"/>
      <sheetName val="[Spt-BH.xls][Spt-BH_xls]B__1270"/>
      <sheetName val="[Spt-BH.xls][Spt-BH_xls]_Sp_413"/>
      <sheetName val="[Spt-BH.xls][Spt-BH_xls]B__1271"/>
      <sheetName val="[Spt-BH.xls][Spt-BH_xls]B__1272"/>
      <sheetName val="[Spt-BH.xls][Spt-BH_xls]_Sp_414"/>
      <sheetName val="[Spt-BH.xls][Spt-BH.xls]_Sp_468"/>
      <sheetName val="[Spt-BH.xls][Spt-BH.xls]_Sp_467"/>
      <sheetName val="[Spt-BH.xls][Spt-BH.xls]_Sp_482"/>
      <sheetName val="[Spt-BH.xls][Spt-BH.xls]_Sp_474"/>
      <sheetName val="[Spt-BH.xls]B____x005f_x0004______107"/>
      <sheetName val="[Spt-BH.xls]B___x005f_x0000__x000_104"/>
      <sheetName val="[Spt-BH.xls][Spt-BH.xls]_Sp_472"/>
      <sheetName val="[Spt-BH.xls][Spt-BH.xls]_Sp_473"/>
      <sheetName val="[Spt-BH.xls][Spt-BH_xls]B__1273"/>
      <sheetName val="[Spt-BH.xls][Spt-BH_xls]B__1274"/>
      <sheetName val="[Spt-BH.xls][Spt-BH_xls]B__1275"/>
      <sheetName val="[Spt-BH.xls][Spt-BH_xls]B__1276"/>
      <sheetName val="[Spt-BH.xls][Spt-BH_xls]_Sp_415"/>
      <sheetName val="[Spt-BH.xls][Spt-BH_xls]B__1277"/>
      <sheetName val="[Spt-BH.xls][Spt-BH_xls]B__1278"/>
      <sheetName val="[Spt-BH.xls][Spt-BH_xls]B__1279"/>
      <sheetName val="[Spt-BH.xls][Spt-BH_xls]_Sp_416"/>
      <sheetName val="[Spt-BH.xls][Spt-BH_xls]B__1280"/>
      <sheetName val="[Spt-BH.xls][Spt-BH_xls]B__1281"/>
      <sheetName val="[Spt-BH.xls][Spt-BH_xls]B__1282"/>
      <sheetName val="[Spt-BH.xls][Spt-BH_xls]B__1283"/>
      <sheetName val="[Spt-BH.xls][Spt-BH_xls]_Sp_417"/>
      <sheetName val="[Spt-BH.xls][Spt-BH.xls]_Sp_469"/>
      <sheetName val="[Spt-BH.xls][Spt-BH_xls]B__1284"/>
      <sheetName val="[Spt-BH.xls][Spt-BH_xls]B__1285"/>
      <sheetName val="[Spt-BH.xls][Spt-BH_xls]_Sp_418"/>
      <sheetName val="[Spt-BH.xls][Spt-BH_xls]B__1286"/>
      <sheetName val="[Spt-BH.xls][Spt-BH_xls]B__1287"/>
      <sheetName val="[Spt-BH.xls][Spt-BH_xls]_Sp_419"/>
      <sheetName val="[Spt-BH.xls][Spt-BH.xls]_Sp_470"/>
      <sheetName val="[Spt-BH.xls][Spt-BH.xls]_Sp_471"/>
      <sheetName val="[Spt-BH.xls][Spt-BH.xls]_Sp_475"/>
      <sheetName val="[Spt-BH.xls]B____x005f_x0004______108"/>
      <sheetName val="[Spt-BH.xls]B___x005f_x0000__x000_105"/>
      <sheetName val="[Spt-BH.xls][Spt-BH.xls]_Sp_478"/>
      <sheetName val="[Spt-BH.xls][Spt-BH.xls]_Sp_476"/>
      <sheetName val="[Spt-BH.xls][Spt-BH.xls]_Sp_477"/>
      <sheetName val="[Spt-BH.xls][Spt-BH.xls]_Sp_479"/>
      <sheetName val="[Spt-BH.xls][Spt-BH_xls]B__1288"/>
      <sheetName val="[Spt-BH.xls][Spt-BH_xls]B__1289"/>
      <sheetName val="[Spt-BH.xls][Spt-BH_xls]B__1290"/>
      <sheetName val="[Spt-BH.xls][Spt-BH_xls]B__1291"/>
      <sheetName val="[Spt-BH.xls][Spt-BH_xls]_Sp_420"/>
      <sheetName val="[Spt-BH.xls][Spt-BH_xls]B__1292"/>
      <sheetName val="[Spt-BH.xls][Spt-BH_xls]B__1293"/>
      <sheetName val="[Spt-BH.xls][Spt-BH_xls]B__1294"/>
      <sheetName val="[Spt-BH.xls][Spt-BH_xls]_Sp_421"/>
      <sheetName val="[Spt-BH.xls][Spt-BH_xls]B__1295"/>
      <sheetName val="[Spt-BH.xls][Spt-BH_xls]B__1296"/>
      <sheetName val="[Spt-BH.xls][Spt-BH_xls]B__1297"/>
      <sheetName val="[Spt-BH.xls][Spt-BH_xls]B__1298"/>
      <sheetName val="[Spt-BH.xls][Spt-BH_xls]_Sp_422"/>
      <sheetName val="[Spt-BH.xls][Spt-BH_xls]B__1299"/>
      <sheetName val="[Spt-BH.xls][Spt-BH_xls]B__1300"/>
      <sheetName val="[Spt-BH.xls][Spt-BH_xls]_Sp_423"/>
      <sheetName val="[Spt-BH.xls][Spt-BH_xls]B__1301"/>
      <sheetName val="[Spt-BH.xls][Spt-BH_xls]B__1302"/>
      <sheetName val="[Spt-BH.xls][Spt-BH_xls]_Sp_424"/>
      <sheetName val="[Spt-BH.xls][Spt-BH.xls]_Sp_480"/>
      <sheetName val="[Spt-BH.xls][Spt-BH.xls]_Sp_481"/>
      <sheetName val="[Spt-BH.xls][Spt-BH.xls]_Sp_483"/>
      <sheetName val="[Spt-BH.xls][Spt-BH.xls]_Sp_484"/>
      <sheetName val="[Spt-BH.xls][Spt-BH.xls]B__1427"/>
      <sheetName val="[Spt-BH.xls][Spt-BH.xls]B__1428"/>
      <sheetName val="[Spt-BH.xls][Spt-BH.xls]B__1429"/>
      <sheetName val="[Spt-BH.xls][Spt-BH.xls]B__1447"/>
      <sheetName val="[Spt-BH.xls][Spt-BH.xls]B__1448"/>
      <sheetName val="[Spt-BH.xls][Spt-BH.xls]B__1449"/>
      <sheetName val="[Spt-BH.xls][Spt-BH.xls]_Sp_490"/>
      <sheetName val="[Spt-BH.xls][Spt-BH.xls]B__1451"/>
      <sheetName val="[Spt-BH.xls][Spt-BH.xls]B__1452"/>
      <sheetName val="[Spt-BH.xls][Spt-BH.xls]_Sp_493"/>
      <sheetName val="[Spt-BH.xls][Spt-BH.xls]B__1453"/>
      <sheetName val="[Spt-BH.xls][Spt-BH.xls]B__1454"/>
      <sheetName val="[Spt-BH.xls]B____x005f_x0004______111"/>
      <sheetName val="[Spt-BH.xls]B___x005f_x0000__x000_108"/>
      <sheetName val="[Spt-BH.xls][Spt-BH.xls]B__1455"/>
      <sheetName val="[Spt-BH.xls][Spt-BH.xls]B__1456"/>
      <sheetName val="[Spt-BH.xls][Spt-BH.xls]B__1450"/>
      <sheetName val="[Spt-BH.xls][Spt-BH.xls]_Sp_492"/>
      <sheetName val="[Spt-BH.xls][Spt-BH_xls]B__1333"/>
      <sheetName val="[Spt-BH.xls][Spt-BH_xls]B__1334"/>
      <sheetName val="[Spt-BH.xls][Spt-BH_xls]B__1335"/>
      <sheetName val="[Spt-BH.xls][Spt-BH_xls]B__1336"/>
      <sheetName val="[Spt-BH.xls][Spt-BH_xls]_Sp_435"/>
      <sheetName val="[Spt-BH.xls][Spt-BH_xls]B__1337"/>
      <sheetName val="[Spt-BH.xls][Spt-BH_xls]B__1338"/>
      <sheetName val="[Spt-BH.xls][Spt-BH_xls]B__1339"/>
      <sheetName val="[Spt-BH.xls][Spt-BH_xls]_Sp_436"/>
      <sheetName val="[Spt-BH.xls][Spt-BH_xls]B__1340"/>
      <sheetName val="[Spt-BH.xls][Spt-BH_xls]B__1341"/>
      <sheetName val="[Spt-BH.xls][Spt-BH_xls]B__1342"/>
      <sheetName val="[Spt-BH.xls][Spt-BH_xls]B__1343"/>
      <sheetName val="[Spt-BH.xls][Spt-BH_xls]_Sp_437"/>
      <sheetName val="[Spt-BH.xls][Spt-BH_xls]B__1344"/>
      <sheetName val="[Spt-BH.xls][Spt-BH_xls]B__1345"/>
      <sheetName val="[Spt-BH.xls][Spt-BH_xls]_Sp_438"/>
      <sheetName val="[Spt-BH.xls][Spt-BH_xls]B__1346"/>
      <sheetName val="[Spt-BH.xls][Spt-BH_xls]B__1347"/>
      <sheetName val="[Spt-BH.xls][Spt-BH_xls]_Sp_439"/>
      <sheetName val="[Spt-BH.xls][Spt-BH.xls]_Sp_485"/>
      <sheetName val="[Spt-BH.xls][Spt-BH.xls]B__1430"/>
      <sheetName val="[Spt-BH.xls][Spt-BH.xls]B__1431"/>
      <sheetName val="[Spt-BH.xls][Spt-BH.xls]B__1432"/>
      <sheetName val="[Spt-BH.xls][Spt-BH.xls]B__1433"/>
      <sheetName val="[Spt-BH.xls][Spt-BH.xls]B__1434"/>
      <sheetName val="[Spt-BH.xls][Spt-BH.xls]B__1435"/>
      <sheetName val="[Spt-BH.xls][Spt-BH.xls]_Sp_486"/>
      <sheetName val="[Spt-BH.xls]B____x005f_x0004______109"/>
      <sheetName val="[Spt-BH.xls]B___x005f_x0000__x000_106"/>
      <sheetName val="[Spt-BH.xls][Spt-BH.xls]B__1436"/>
      <sheetName val="[Spt-BH.xls][Spt-BH_xls]B__1303"/>
      <sheetName val="[Spt-BH.xls][Spt-BH_xls]B__1304"/>
      <sheetName val="[Spt-BH.xls][Spt-BH_xls]B__1305"/>
      <sheetName val="[Spt-BH.xls][Spt-BH_xls]B__1306"/>
      <sheetName val="[Spt-BH.xls][Spt-BH_xls]_Sp_425"/>
      <sheetName val="[Spt-BH.xls][Spt-BH_xls]B__1307"/>
      <sheetName val="[Spt-BH.xls][Spt-BH_xls]B__1308"/>
      <sheetName val="[Spt-BH.xls][Spt-BH_xls]B__1309"/>
      <sheetName val="[Spt-BH.xls][Spt-BH_xls]_Sp_426"/>
      <sheetName val="[Spt-BH.xls][Spt-BH_xls]B__1310"/>
      <sheetName val="[Spt-BH.xls][Spt-BH_xls]B__1311"/>
      <sheetName val="[Spt-BH.xls][Spt-BH_xls]B__1312"/>
      <sheetName val="[Spt-BH.xls][Spt-BH_xls]B__1313"/>
      <sheetName val="[Spt-BH.xls][Spt-BH_xls]_Sp_427"/>
      <sheetName val="[Spt-BH.xls][Spt-BH_xls]B__1314"/>
      <sheetName val="[Spt-BH.xls][Spt-BH_xls]B__1315"/>
      <sheetName val="[Spt-BH.xls][Spt-BH_xls]_Sp_428"/>
      <sheetName val="[Spt-BH.xls][Spt-BH_xls]B__1316"/>
      <sheetName val="[Spt-BH.xls][Spt-BH_xls]B__1317"/>
      <sheetName val="[Spt-BH.xls][Spt-BH_xls]_Sp_429"/>
      <sheetName val="[Spt-BH.xls][Spt-BH.xls]_Sp_487"/>
      <sheetName val="[Spt-BH.xls][Spt-BH.xls]B__1437"/>
      <sheetName val="[Spt-BH.xls][Spt-BH.xls]B__1438"/>
      <sheetName val="[Spt-BH.xls][Spt-BH.xls]B__1439"/>
      <sheetName val="[Spt-BH.xls][Spt-BH.xls]B__1440"/>
      <sheetName val="[Spt-BH.xls][Spt-BH.xls]B__1441"/>
      <sheetName val="[Spt-BH.xls][Spt-BH.xls]B__1442"/>
      <sheetName val="[Spt-BH.xls][Spt-BH.xls]_Sp_488"/>
      <sheetName val="[Spt-BH.xls]B____x005f_x0004______110"/>
      <sheetName val="[Spt-BH.xls]B___x005f_x0000__x000_107"/>
      <sheetName val="[Spt-BH.xls][Spt-BH.xls]B__1443"/>
      <sheetName val="[Spt-BH.xls][Spt-BH_xls]B__1318"/>
      <sheetName val="[Spt-BH.xls][Spt-BH_xls]B__1319"/>
      <sheetName val="[Spt-BH.xls][Spt-BH_xls]B__1320"/>
      <sheetName val="[Spt-BH.xls][Spt-BH_xls]B__1321"/>
      <sheetName val="[Spt-BH.xls][Spt-BH_xls]_Sp_430"/>
      <sheetName val="[Spt-BH.xls][Spt-BH_xls]B__1322"/>
      <sheetName val="[Spt-BH.xls][Spt-BH_xls]B__1323"/>
      <sheetName val="[Spt-BH.xls][Spt-BH_xls]B__1324"/>
      <sheetName val="[Spt-BH.xls][Spt-BH_xls]_Sp_431"/>
      <sheetName val="[Spt-BH.xls][Spt-BH_xls]B__1325"/>
      <sheetName val="[Spt-BH.xls][Spt-BH_xls]B__1326"/>
      <sheetName val="[Spt-BH.xls][Spt-BH_xls]B__1327"/>
      <sheetName val="[Spt-BH.xls][Spt-BH_xls]B__1328"/>
      <sheetName val="[Spt-BH.xls][Spt-BH_xls]_Sp_432"/>
      <sheetName val="[Spt-BH.xls][Spt-BH_xls]B__1329"/>
      <sheetName val="[Spt-BH.xls][Spt-BH_xls]B__1330"/>
      <sheetName val="[Spt-BH.xls][Spt-BH_xls]_Sp_433"/>
      <sheetName val="[Spt-BH.xls][Spt-BH_xls]B__1331"/>
      <sheetName val="[Spt-BH.xls][Spt-BH_xls]B__1332"/>
      <sheetName val="[Spt-BH.xls][Spt-BH_xls]_Sp_434"/>
      <sheetName val="[Spt-BH.xls][Spt-BH.xls]B__1457"/>
      <sheetName val="[Spt-BH.xls][Spt-BH.xls]B__1458"/>
      <sheetName val="[Spt-BH.xls][Spt-BH.xls]B__1459"/>
      <sheetName val="[Spt-BH.xls][Spt-BH.xls]B__1460"/>
      <sheetName val="[Spt-BH.xls][Spt-BH.xls]B__1461"/>
      <sheetName val="[Spt-BH.xls][Spt-BH.xls]B__1462"/>
      <sheetName val="[Spt-BH.xls][Spt-BH.xls]_Sp_494"/>
      <sheetName val="[Spt-BH.xls][Spt-BH.xls]_Sp_495"/>
      <sheetName val="[Spt-BH.xls][Spt-BH.xls]B__1464"/>
      <sheetName val="[Spt-BH.xls][Spt-BH.xls]B__1465"/>
      <sheetName val="[Spt-BH.xls][Spt-BH.xls]_Sp_497"/>
      <sheetName val="[Spt-BH.xls][Spt-BH.xls]B__1466"/>
      <sheetName val="[Spt-BH.xls][Spt-BH.xls]B__1467"/>
      <sheetName val="[Spt-BH.xls][Spt-BH.xls]B__1468"/>
      <sheetName val="[Spt-BH.xls][Spt-BH.xls]B__1469"/>
      <sheetName val="[Spt-BH.xls][Spt-BH.xls]_Sp_496"/>
      <sheetName val="[Spt-BH.xls][Spt-BH.xls]B__1471"/>
      <sheetName val="[Spt-BH.xls][Spt-BH.xls]B__1472"/>
      <sheetName val="[Spt-BH.xls][Spt-BH.xls]B__1473"/>
      <sheetName val="[Spt-BH.xls][Spt-BH.xls]B__1474"/>
      <sheetName val="[Spt-BH.xls]B____x005f_x0004______113"/>
      <sheetName val="[Spt-BH.xls]B___x005f_x0000__x000_110"/>
      <sheetName val="[Spt-BH.xls][Spt-BH.xls]B__1475"/>
      <sheetName val="[Spt-BH.xls][Spt-BH.xls]B__1476"/>
      <sheetName val="[Spt-BH.xls][Spt-BH.xls]B__1470"/>
      <sheetName val="[Spt-BH.xls][Spt-BH.xls]_Sp_498"/>
      <sheetName val="[Spt-BH.xls][Spt-BH_xls]B__1363"/>
      <sheetName val="[Spt-BH.xls][Spt-BH_xls]B__1364"/>
      <sheetName val="[Spt-BH.xls][Spt-BH_xls]B__1365"/>
      <sheetName val="[Spt-BH.xls][Spt-BH_xls]B__1366"/>
      <sheetName val="[Spt-BH.xls][Spt-BH_xls]_Sp_445"/>
      <sheetName val="[Spt-BH.xls][Spt-BH_xls]B__1367"/>
      <sheetName val="[Spt-BH.xls][Spt-BH_xls]B__1368"/>
      <sheetName val="[Spt-BH.xls][Spt-BH_xls]B__1369"/>
      <sheetName val="[Spt-BH.xls][Spt-BH_xls]_Sp_446"/>
      <sheetName val="[Spt-BH.xls][Spt-BH_xls]B__1370"/>
      <sheetName val="[Spt-BH.xls][Spt-BH_xls]B__1371"/>
      <sheetName val="[Spt-BH.xls][Spt-BH_xls]B__1372"/>
      <sheetName val="[Spt-BH.xls][Spt-BH_xls]B__1373"/>
      <sheetName val="[Spt-BH.xls][Spt-BH_xls]_Sp_447"/>
      <sheetName val="[Spt-BH.xls][Spt-BH_xls]B__1374"/>
      <sheetName val="[Spt-BH.xls][Spt-BH_xls]B__1375"/>
      <sheetName val="[Spt-BH.xls][Spt-BH_xls]_Sp_448"/>
      <sheetName val="[Spt-BH.xls][Spt-BH_xls]B__1376"/>
      <sheetName val="[Spt-BH.xls][Spt-BH_xls]B__1377"/>
      <sheetName val="[Spt-BH.xls][Spt-BH_xls]_Sp_449"/>
      <sheetName val="[Spt-BH.xls]B____x005f_x0004______112"/>
      <sheetName val="[Spt-BH.xls]B___x005f_x0000__x000_109"/>
      <sheetName val="[Spt-BH.xls][Spt-BH.xls]B__1463"/>
      <sheetName val="[Spt-BH.xls][Spt-BH_xls]B__1348"/>
      <sheetName val="[Spt-BH.xls][Spt-BH_xls]B__1349"/>
      <sheetName val="[Spt-BH.xls][Spt-BH_xls]B__1350"/>
      <sheetName val="[Spt-BH.xls][Spt-BH_xls]B__1351"/>
      <sheetName val="[Spt-BH.xls][Spt-BH_xls]_Sp_440"/>
      <sheetName val="[Spt-BH.xls][Spt-BH_xls]B__1352"/>
      <sheetName val="[Spt-BH.xls][Spt-BH_xls]B__1353"/>
      <sheetName val="[Spt-BH.xls][Spt-BH_xls]B__1354"/>
      <sheetName val="[Spt-BH.xls][Spt-BH_xls]_Sp_441"/>
      <sheetName val="[Spt-BH.xls][Spt-BH_xls]B__1355"/>
      <sheetName val="[Spt-BH.xls][Spt-BH_xls]B__1356"/>
      <sheetName val="[Spt-BH.xls][Spt-BH_xls]B__1357"/>
      <sheetName val="[Spt-BH.xls][Spt-BH_xls]B__1358"/>
      <sheetName val="[Spt-BH.xls][Spt-BH_xls]_Sp_442"/>
      <sheetName val="[Spt-BH.xls][Spt-BH_xls]B__1359"/>
      <sheetName val="[Spt-BH.xls][Spt-BH_xls]B__1360"/>
      <sheetName val="[Spt-BH.xls][Spt-BH_xls]_Sp_443"/>
      <sheetName val="[Spt-BH.xls][Spt-BH_xls]B__1361"/>
      <sheetName val="[Spt-BH.xls][Spt-BH_xls]B__1362"/>
      <sheetName val="[Spt-BH.xls][Spt-BH_xls]_Sp_444"/>
      <sheetName val="[Spt-BH.xls]B____x005f_x0004______114"/>
      <sheetName val="[Spt-BH.xls]B___x005f_x0000__x000_111"/>
      <sheetName val="[Spt-BH.xls][Spt-BH.xls]B__1477"/>
      <sheetName val="[Spt-BH.xls][Spt-BH.xls]B__1478"/>
      <sheetName val="[Spt-BH.xls][Spt-BH.xls]B__1479"/>
      <sheetName val="[Spt-BH.xls][Spt-BH.xls]B__1480"/>
      <sheetName val="[Spt-BH.xls][Spt-BH.xls]B__1481"/>
      <sheetName val="[Spt-BH.xls][Spt-BH.xls]_Sp_499"/>
      <sheetName val="[Spt-BH.xls][Spt-BH.xls]B__1482"/>
      <sheetName val="[Spt-BH.xls][Spt-BH.xls]_Sp_500"/>
      <sheetName val="[Spt-BH.xls][Spt-BH.xls]B__1483"/>
      <sheetName val="[Spt-BH.xls][Spt-BH_xls]B__1378"/>
      <sheetName val="[Spt-BH.xls][Spt-BH_xls]B__1379"/>
      <sheetName val="[Spt-BH.xls][Spt-BH_xls]B__1380"/>
      <sheetName val="[Spt-BH.xls][Spt-BH_xls]B__1381"/>
      <sheetName val="[Spt-BH.xls][Spt-BH_xls]_Sp_450"/>
      <sheetName val="[Spt-BH.xls][Spt-BH_xls]B__1382"/>
      <sheetName val="[Spt-BH.xls][Spt-BH_xls]B__1383"/>
      <sheetName val="[Spt-BH.xls][Spt-BH_xls]B__1384"/>
      <sheetName val="[Spt-BH.xls][Spt-BH_xls]_Sp_451"/>
      <sheetName val="[Spt-BH.xls][Spt-BH_xls]B__1385"/>
      <sheetName val="[Spt-BH.xls][Spt-BH_xls]B__1386"/>
      <sheetName val="[Spt-BH.xls][Spt-BH_xls]B__1387"/>
      <sheetName val="[Spt-BH.xls][Spt-BH_xls]B__1388"/>
      <sheetName val="[Spt-BH.xls][Spt-BH_xls]_Sp_452"/>
      <sheetName val="[Spt-BH.xls][Spt-BH_xls]B__1389"/>
      <sheetName val="[Spt-BH.xls][Spt-BH_xls]B__1390"/>
      <sheetName val="[Spt-BH.xls][Spt-BH_xls]_Sp_453"/>
      <sheetName val="[Spt-BH.xls][Spt-BH_xls]B__1391"/>
      <sheetName val="[Spt-BH.xls][Spt-BH_xls]B__1392"/>
      <sheetName val="[Spt-BH.xls][Spt-BH_xls]_Sp_454"/>
      <sheetName val="[Spt-BH.xls]B____x005f_x0004______115"/>
      <sheetName val="[Spt-BH.xls]B___x005f_x0000__x000_112"/>
      <sheetName val="[Spt-BH.xls][Spt-BH.xls]B__1484"/>
      <sheetName val="[Spt-BH.xls][Spt-BH.xls]B__1485"/>
      <sheetName val="[Spt-BH.xls][Spt-BH.xls]B__1486"/>
      <sheetName val="[Spt-BH.xls][Spt-BH.xls]B__1487"/>
      <sheetName val="[Spt-BH.xls][Spt-BH.xls]_Sp_501"/>
      <sheetName val="[Spt-BH.xls][Spt-BH.xls]B__1488"/>
      <sheetName val="[Spt-BH.xls][Spt-BH.xls]B__1489"/>
      <sheetName val="[Spt-BH.xls][Spt-BH.xls]_Sp_502"/>
      <sheetName val="[Spt-BH.xls][Spt-BH.xls]B__1490"/>
      <sheetName val="[Spt-BH.xls][Spt-BH_xls]B__1393"/>
      <sheetName val="[Spt-BH.xls][Spt-BH_xls]B__1394"/>
      <sheetName val="[Spt-BH.xls][Spt-BH_xls]B__1395"/>
      <sheetName val="[Spt-BH.xls][Spt-BH_xls]B__1396"/>
      <sheetName val="[Spt-BH.xls][Spt-BH_xls]_Sp_455"/>
      <sheetName val="[Spt-BH.xls][Spt-BH_xls]B__1397"/>
      <sheetName val="[Spt-BH.xls][Spt-BH_xls]B__1398"/>
      <sheetName val="[Spt-BH.xls][Spt-BH_xls]B__1399"/>
      <sheetName val="[Spt-BH.xls][Spt-BH_xls]_Sp_456"/>
      <sheetName val="[Spt-BH.xls][Spt-BH_xls]B__1400"/>
      <sheetName val="[Spt-BH.xls][Spt-BH_xls]B__1401"/>
      <sheetName val="[Spt-BH.xls][Spt-BH_xls]B__1402"/>
      <sheetName val="[Spt-BH.xls][Spt-BH_xls]B__1403"/>
      <sheetName val="[Spt-BH.xls][Spt-BH_xls]_Sp_457"/>
      <sheetName val="[Spt-BH.xls][Spt-BH_xls]B__1404"/>
      <sheetName val="[Spt-BH.xls][Spt-BH_xls]B__1405"/>
      <sheetName val="[Spt-BH.xls][Spt-BH_xls]_Sp_458"/>
      <sheetName val="[Spt-BH.xls][Spt-BH_xls]B__1406"/>
      <sheetName val="[Spt-BH.xls][Spt-BH_xls]B__1407"/>
      <sheetName val="[Spt-BH.xls][Spt-BH_xls]_Sp_459"/>
      <sheetName val="[Spt-BH.xls][Spt-BH.xls]_Sp_510"/>
      <sheetName val="[Spt-BH.xls][Spt-BH.xls]B__1511"/>
      <sheetName val="[Spt-BH.xls][Spt-BH.xls]B__1512"/>
      <sheetName val="[Spt-BH.xls][Spt-BH.xls]_Sp_511"/>
      <sheetName val="[Spt-BH.xls][Spt-BH.xls]B__1513"/>
      <sheetName val="[Spt-BH.xls][Spt-BH.xls]B__1514"/>
      <sheetName val="[Spt-BH.xls][Spt-BH.xls]B__1515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Door"/>
      <sheetName val="Facilites Master"/>
      <sheetName val="EQP Master"/>
      <sheetName val="INPUTS"/>
      <sheetName val="_Spt-BH.xls_B@__x005f_x0000__x0"/>
      <sheetName val="20th Office"/>
      <sheetName val="Bank Guarantee"/>
      <sheetName val="G2"/>
      <sheetName val="B2"/>
      <sheetName val="Demand"/>
      <sheetName val="Occ"/>
      <sheetName val="Introduction"/>
      <sheetName val="Old"/>
      <sheetName val="Operating Statistics"/>
      <sheetName val="Financials"/>
      <sheetName val="BP"/>
      <sheetName val="N.T-M-30 GDS"/>
      <sheetName val="PROVISIONAL SUMS"/>
      <sheetName val="JSSL BOQ"/>
      <sheetName val="N.T-M-45"/>
      <sheetName val="SILICATE"/>
      <sheetName val="PG-DIA.SEA"/>
      <sheetName val="CASH-FLOW"/>
      <sheetName val="FITZ MORT 94"/>
      <sheetName val="Fin_Sum4"/>
      <sheetName val="Fin_Sum5"/>
      <sheetName val="Material_5"/>
      <sheetName val="Labour_&amp;_Plant5"/>
      <sheetName val="pr_cal5"/>
      <sheetName val="TRF_details5"/>
      <sheetName val="Materials_Cost5"/>
      <sheetName val="Fin_Sum6"/>
      <sheetName val="Cost_of_O_&amp;_O6"/>
      <sheetName val="Material_6"/>
      <sheetName val="Labour_&amp;_Plant6"/>
      <sheetName val="pr_cal6"/>
      <sheetName val="TRF_details6"/>
      <sheetName val="Materials_Cost6"/>
      <sheetName val="factor sheet"/>
      <sheetName val="Insts"/>
      <sheetName val="_Spt-BH.xls_B@___x005f_x0004_@_____$_"/>
      <sheetName val="_Spt-BH_xls_B@_@__$"/>
      <sheetName val="_Spt-BH_xls_B@__@_____$__"/>
      <sheetName val="_Spt-BH_xls_B@__@___$_"/>
      <sheetName val="_Spt-BH.xls__Spt-BH_xls_B@_@__$"/>
      <sheetName val="_Spt-BH.xls__Spt-BH.xls_B_____9"/>
      <sheetName val="_Spt-BH.xls__Spt-BH.xls__Spt__6"/>
      <sheetName val="_Spt-BH.xls__Spt-BH.xls_B____10"/>
      <sheetName val="_Spt-BH.xls__Spt-BH.xls_B____11"/>
      <sheetName val="_Spt-BH.xls__Spt-BH.xls_B____12"/>
      <sheetName val="_Spt-BH.xls_B____x005f_x0004________2"/>
      <sheetName val="_Spt-BH.xls_B___x005f_x0000__x005f_x0004__2"/>
      <sheetName val="_Spt-BH.xls__Spt-BH.xls_B_____2"/>
      <sheetName val="_Spt-BH.xls__Spt-BH.xls__Spt__4"/>
      <sheetName val="_Spt-BH.xls__Spt-BH.xls_B_____3"/>
      <sheetName val="_Spt-BH.xls__Spt-BH.xls_B_____4"/>
      <sheetName val="_Spt-BH.xls__Spt-BH.xls_B_____5"/>
      <sheetName val="_Spt-BH.xls__Spt-BH.xls__Spt__2"/>
      <sheetName val="_Spt-BH.xls__Spt-BH.xls_B_____6"/>
      <sheetName val="_Spt-BH.xls__Spt-BH.xls__Spt__5"/>
      <sheetName val="_Spt-BH.xls__Spt-BH_xls_B_____2"/>
      <sheetName val="_Spt-BH.xls__Spt-BH_xls_B_____3"/>
      <sheetName val="_Spt-BH.xls__Spt-BH.xls__Spt__3"/>
      <sheetName val="_Spt-BH.xls__Spt-BH.xls_B_____7"/>
      <sheetName val="_Spt-BH.xls__Spt-BH.xls_B_____8"/>
      <sheetName val="_Spt-BH.xls__Spt-BH.xls_B____13"/>
      <sheetName val="_Spt-BH.xls__Spt-BH.xls_B____14"/>
      <sheetName val="starter"/>
      <sheetName val="A.O.R."/>
      <sheetName val="Income Statement"/>
      <sheetName val="RateAnalysis"/>
      <sheetName val="Boq (Main Building)"/>
      <sheetName val="Direct co_x0006__x0000__x0017__x0000__x000a__x0000__x000e__x0000__x000d__x0000__x0009__x0000_"/>
      <sheetName val="_x0000__x0009__x0000__x0008__x0000__x0011__x0000__x0009_"/>
      <sheetName val="Direct co_x0006__x0000__x0017__x0000__x000a__x0000__x000e__x0000__x000d__x0000_ _x0000_"/>
      <sheetName val="_x0000_ _x0000__x0008__x0000__x0011__x0000_ "/>
      <sheetName val="[Spt-BH.xls]B____x005f_x0004______118"/>
      <sheetName val="[Spt-BH.xls]B___x005f_x0000__x000_115"/>
      <sheetName val="[Spt-BH.xls]B____x005f_x0004______119"/>
      <sheetName val="[Spt-BH.xls]B___x005f_x0000__x000_116"/>
      <sheetName val="Current Bill MB ref"/>
      <sheetName val="[Spt-BH.xls][Spt-BH.xls]B__1516"/>
      <sheetName val="[Spt-BH.xls][Spt-BH.xls]B__1517"/>
      <sheetName val="[Spt-BH.xls][Spt-BH.xls]B__1518"/>
      <sheetName val="[Spt-BH.xls][Spt-BH.xls]B__1519"/>
      <sheetName val="[Spt-BH.xls][Spt-BH.xls]B__1520"/>
      <sheetName val="[Spt-BH.xls][Spt-BH.xls]B__1521"/>
      <sheetName val="[Spt-BH.xls][Spt-BH.xls]B__1522"/>
      <sheetName val="[Spt-BH.xls][Spt-BH.xls]B__1523"/>
      <sheetName val="[Spt-BH.xls][Spt-BH.xls]B__1524"/>
      <sheetName val="[Spt-BH.xls][Spt-BH.xls]B__1525"/>
      <sheetName val="[Spt-BH.xls][Spt-BH.xls]B__1526"/>
      <sheetName val="[Spt-BH.xls][Spt-BH.xls]B__1527"/>
      <sheetName val="[Spt-BH.xls][Spt-BH.xls]B__1528"/>
      <sheetName val="[Spt-BH.xls][Spt-BH.xls]B__1529"/>
      <sheetName val="[Spt-BH.xls][Spt-BH.xls]B__1530"/>
      <sheetName val="[Spt-BH.xls][Spt-BH.xls]B__1531"/>
      <sheetName val="[Spt-BH.xls][Spt-BH.xls]B__1537"/>
      <sheetName val="[Spt-BH.xls][Spt-BH.xls]B__1538"/>
      <sheetName val="[Spt-BH.xls][Spt-BH.xls]B__1539"/>
      <sheetName val="[Spt-BH.xls][Spt-BH.xls]B__1540"/>
      <sheetName val="[Spt-BH.xls][Spt-BH.xls]B__1541"/>
      <sheetName val="[Spt-BH.xls][Spt-BH.xls]B__1542"/>
      <sheetName val="[Spt-BH.xls][Spt-BH.xls]B__1543"/>
      <sheetName val="[Spt-BH.xls][Spt-BH.xls]B__1544"/>
      <sheetName val="[Spt-BH.xls][Spt-BH.xls]B__1545"/>
      <sheetName val="[Spt-BH.xls][Spt-BH.xls]B__1546"/>
      <sheetName val="[Spt-BH.xls][Spt-BH.xls]B__1532"/>
      <sheetName val="[Spt-BH.xls][Spt-BH.xls]B__1533"/>
      <sheetName val="[Spt-BH.xls][Spt-BH.xls]B__1534"/>
      <sheetName val="[Spt-BH.xls][Spt-BH.xls]B__1535"/>
      <sheetName val="[Spt-BH.xls][Spt-BH.xls]B__1536"/>
      <sheetName val="[Spt-BH.xls][Spt-BH.xls]B__1547"/>
      <sheetName val="[Spt-BH.xls][Spt-BH.xls]B__1548"/>
      <sheetName val="[Spt-BH.xls][Spt-BH.xls]B__1549"/>
      <sheetName val="[Spt-BH.xls][Spt-BH.xls]B__1550"/>
      <sheetName val="[Spt-BH.xls][Spt-BH.xls]B__1551"/>
      <sheetName val="[Spt-BH.xls][Spt-BH.xls]B__1562"/>
      <sheetName val="[Spt-BH.xls][Spt-BH.xls]B__1563"/>
      <sheetName val="[Spt-BH.xls][Spt-BH.xls]B__1564"/>
      <sheetName val="[Spt-BH.xls][Spt-BH.xls]B__1565"/>
      <sheetName val="[Spt-BH.xls][Spt-BH.xls]B__1566"/>
      <sheetName val="[Spt-BH.xls][Spt-BH.xls]B__1552"/>
      <sheetName val="[Spt-BH.xls][Spt-BH.xls]B__1553"/>
      <sheetName val="[Spt-BH.xls][Spt-BH.xls]B__1554"/>
      <sheetName val="[Spt-BH.xls][Spt-BH.xls]B__1555"/>
      <sheetName val="[Spt-BH.xls][Spt-BH.xls]B__1556"/>
      <sheetName val="[Spt-BH.xls][Spt-BH.xls]B__1557"/>
      <sheetName val="[Spt-BH.xls][Spt-BH.xls]B__1558"/>
      <sheetName val="[Spt-BH.xls][Spt-BH.xls]B__1559"/>
      <sheetName val="[Spt-BH.xls][Spt-BH.xls]B__1560"/>
      <sheetName val="[Spt-BH.xls][Spt-BH.xls]B__1561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7"/>
      <sheetName val="[Spt-BH.xls][Spt-BH.xls]B__1578"/>
      <sheetName val="[Spt-BH.xls][Spt-BH.xls]B__1579"/>
      <sheetName val="[Spt-BH.xls][Spt-BH.xls]B__1580"/>
      <sheetName val="[Spt-BH.xls][Spt-BH.xls]B__1581"/>
      <sheetName val="[Spt-BH.xls][Spt-BH.xls]B__1572"/>
      <sheetName val="[Spt-BH.xls][Spt-BH.xls]B__1573"/>
      <sheetName val="[Spt-BH.xls][Spt-BH.xls]B__1574"/>
      <sheetName val="[Spt-BH.xls][Spt-BH.xls]B__1575"/>
      <sheetName val="[Spt-BH.xls][Spt-BH.xls]B__1576"/>
      <sheetName val="[Spt-BH.xls][Spt-BH.xls]B__1594"/>
      <sheetName val="[Spt-BH.xls][Spt-BH.xls]B__1595"/>
      <sheetName val="[Spt-BH.xls][Spt-BH.xls]B__1596"/>
      <sheetName val="[Spt-BH.xls][Spt-BH.xls]B__1597"/>
      <sheetName val="[Spt-BH.xls][Spt-BH.xls]B__1598"/>
      <sheetName val="[Spt-BH.xls][Spt-BH.xls]B__1588"/>
      <sheetName val="[Spt-BH.xls][Spt-BH.xls]B__1589"/>
      <sheetName val="[Spt-BH.xls][Spt-BH.xls]B__1590"/>
      <sheetName val="[Spt-BH.xls][Spt-BH.xls]B__1591"/>
      <sheetName val="[Spt-BH.xls][Spt-BH.xls]B__1592"/>
      <sheetName val="[Spt-BH.xls][Spt-BH.xls]B__1593"/>
      <sheetName val="[Spt-BH.xls][Spt-BH.xls]B__1582"/>
      <sheetName val="[Spt-BH.xls][Spt-BH.xls]B__1583"/>
      <sheetName val="[Spt-BH.xls][Spt-BH.xls]B__1584"/>
      <sheetName val="[Spt-BH.xls][Spt-BH.xls]B__1585"/>
      <sheetName val="[Spt-BH.xls][Spt-BH.xls]B__1586"/>
      <sheetName val="[Spt-BH.xls][Spt-BH.xls]B__1587"/>
      <sheetName val="[Spt-BH.xls][Spt-BH.xls]B__1599"/>
      <sheetName val="[Spt-BH.xls][Spt-BH.xls]B__1600"/>
      <sheetName val="[Spt-BH.xls][Spt-BH.xls]B__1601"/>
      <sheetName val="[Spt-BH.xls][Spt-BH.xls]B__1602"/>
      <sheetName val="[Spt-BH.xls][Spt-BH.xls]B__1603"/>
      <sheetName val="[Spt-BH.xls][Spt-BH.xls]_Sp_589"/>
      <sheetName val="[Spt-BH.xls][Spt-BH.xls]B__1684"/>
      <sheetName val="[Spt-BH.xls][Spt-BH.xls]B__1685"/>
      <sheetName val="[Spt-BH.xls][Spt-BH.xls]_Sp_590"/>
      <sheetName val="[Spt-BH.xls][Spt-BH.xls]B__1686"/>
      <sheetName val="[Spt-BH.xls][Spt-BH.xls]B__1687"/>
      <sheetName val="[Spt-BH.xls][Spt-BH.xls]_Sp_585"/>
      <sheetName val="[Spt-BH.xls][Spt-BH.xls]B__1671"/>
      <sheetName val="[Spt-BH.xls][Spt-BH.xls]B__1678"/>
      <sheetName val="[Spt-BH.xls][Spt-BH.xls]B__1679"/>
      <sheetName val="[Spt-BH.xls][Spt-BH.xls]B__1680"/>
      <sheetName val="[Spt-BH.xls][Spt-BH.xls]B__1681"/>
      <sheetName val="[Spt-BH.xls]B____x005f_x0004______143"/>
      <sheetName val="[Spt-BH.xls][Spt-BH.xls]B__1672"/>
      <sheetName val="[Spt-BH.xls][Spt-BH.xls]_Sp_587"/>
      <sheetName val="[Spt-BH.xls][Spt-BH.xls]B__1673"/>
      <sheetName val="[Spt-BH.xls][Spt-BH.xls]B__1674"/>
      <sheetName val="[Spt-BH.xls][Spt-BH.xls]B__1675"/>
      <sheetName val="[Spt-BH.xls]B___x005f_x0000__x000_140"/>
      <sheetName val="[Spt-BH.xls][Spt-BH.xls]B__1682"/>
      <sheetName val="[Spt-BH.xls][Spt-BH.xls]B__1683"/>
      <sheetName val="[Spt-BH.xls][Spt-BH.xls]B__1676"/>
      <sheetName val="[Spt-BH.xls][Spt-BH.xls]B__1677"/>
      <sheetName val="[Spt-BH.xls][Spt-BH.xls]_Sp_588"/>
      <sheetName val="[Spt-BH.xls][Spt-BH_xls]B__1663"/>
      <sheetName val="[Spt-BH.xls][Spt-BH_xls]B__1664"/>
      <sheetName val="[Spt-BH.xls][Spt-BH_xls]B__1665"/>
      <sheetName val="[Spt-BH.xls][Spt-BH_xls]B__1666"/>
      <sheetName val="[Spt-BH.xls][Spt-BH_xls]_Sp_545"/>
      <sheetName val="[Spt-BH.xls][Spt-BH_xls]B__1667"/>
      <sheetName val="[Spt-BH.xls][Spt-BH_xls]B__1668"/>
      <sheetName val="[Spt-BH.xls][Spt-BH_xls]B__1669"/>
      <sheetName val="[Spt-BH.xls][Spt-BH_xls]_Sp_546"/>
      <sheetName val="[Spt-BH.xls][Spt-BH_xls]B__1670"/>
      <sheetName val="[Spt-BH.xls][Spt-BH_xls]B__1671"/>
      <sheetName val="[Spt-BH.xls][Spt-BH_xls]B__1672"/>
      <sheetName val="[Spt-BH.xls][Spt-BH_xls]B__1673"/>
      <sheetName val="[Spt-BH.xls][Spt-BH_xls]_Sp_547"/>
      <sheetName val="[Spt-BH.xls][Spt-BH.xls]_Sp_586"/>
      <sheetName val="[Spt-BH.xls][Spt-BH_xls]B__1674"/>
      <sheetName val="[Spt-BH.xls][Spt-BH_xls]B__1675"/>
      <sheetName val="[Spt-BH.xls][Spt-BH_xls]_Sp_548"/>
      <sheetName val="[Spt-BH.xls][Spt-BH_xls]B__1676"/>
      <sheetName val="[Spt-BH.xls][Spt-BH_xls]B__1677"/>
      <sheetName val="[Spt-BH.xls][Spt-BH_xls]_Sp_549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21"/>
      <sheetName val="[Spt-BH.xls]B___x005f_x0000__x000_118"/>
      <sheetName val="[Spt-BH.xls]B____x005f_x0004______120"/>
      <sheetName val="[Spt-BH.xls]B___x005f_x0000__x000_117"/>
      <sheetName val="[Spt-BH.xls]B____x005f_x0004______122"/>
      <sheetName val="[Spt-BH.xls]B___x005f_x0000__x000_119"/>
      <sheetName val="[Spt-BH.xls]B____x005f_x0004______123"/>
      <sheetName val="[Spt-BH.xls]B___x005f_x0000__x000_120"/>
      <sheetName val="[Spt-BH.xls]B____x005f_x0004______124"/>
      <sheetName val="[Spt-BH.xls]B___x005f_x0000__x000_121"/>
      <sheetName val="[Spt-BH.xls][Spt-BH.xls]B__1615"/>
      <sheetName val="[Spt-BH.xls][Spt-BH.xls]B__1616"/>
      <sheetName val="[Spt-BH.xls][Spt-BH.xls]B__1617"/>
      <sheetName val="[Spt-BH.xls][Spt-BH.xls]B__1618"/>
      <sheetName val="[Spt-BH.xls]B____x005f_x0004______125"/>
      <sheetName val="[Spt-BH.xls]B___x005f_x0000__x000_122"/>
      <sheetName val="[Spt-BH.xls][Spt-BH.xls]B__1619"/>
      <sheetName val="[Spt-BH.xls][Spt-BH.xls]B__1620"/>
      <sheetName val="[Spt-BH.xls][Spt-BH.xls]B__1604"/>
      <sheetName val="[Spt-BH.xls][Spt-BH.xls]B__1605"/>
      <sheetName val="[Spt-BH.xls][Spt-BH.xls]B__1606"/>
      <sheetName val="[Spt-BH.xls][Spt-BH.xls]B__1607"/>
      <sheetName val="[Spt-BH.xls][Spt-BH.xls]B__1608"/>
      <sheetName val="[Spt-BH.xls][Spt-BH.xls]B__1609"/>
      <sheetName val="[Spt-BH.xls][Spt-BH.xls]B__1610"/>
      <sheetName val="[Spt-BH.xls][Spt-BH.xls]B__1611"/>
      <sheetName val="[Spt-BH.xls][Spt-BH.xls]B__1612"/>
      <sheetName val="[Spt-BH.xls][Spt-BH.xls]B__1613"/>
      <sheetName val="[Spt-BH.xls][Spt-BH.xls]B__1614"/>
      <sheetName val="[Spt-BH.xls][Spt-BH.xls]_Sp_529"/>
      <sheetName val="[Spt-BH.xls][Spt-BH.xls]_Sp_533"/>
      <sheetName val="[Spt-BH.xls][Spt-BH.xls]_Sp_530"/>
      <sheetName val="[Spt-BH.xls][Spt-BH.xls]_Sp_528"/>
      <sheetName val="[Spt-BH.xls][Spt-BH.xls]_Sp_526"/>
      <sheetName val="[Spt-BH.xls][Spt-BH.xls]_Sp_522"/>
      <sheetName val="[Spt-BH.xls][Spt-BH.xls]_Sp_520"/>
      <sheetName val="[Spt-BH.xls][Spt-BH.xls]_Sp_512"/>
      <sheetName val="[Spt-BH.xls][Spt-BH.xls]_Sp_513"/>
      <sheetName val="[Spt-BH.xls][Spt-BH.xls]_Sp_521"/>
      <sheetName val="[Spt-BH.xls][Spt-BH.xls]_Sp_516"/>
      <sheetName val="[Spt-BH.xls][Spt-BH.xls]_Sp_514"/>
      <sheetName val="[Spt-BH.xls][Spt-BH.xls]_Sp_515"/>
      <sheetName val="[Spt-BH.xls][Spt-BH.xls]_Sp_518"/>
      <sheetName val="[Spt-BH.xls][Spt-BH.xls]_Sp_517"/>
      <sheetName val="[Spt-BH.xls][Spt-BH.xls]_Sp_519"/>
      <sheetName val="[Spt-BH.xls][Spt-BH.xls]_Sp_523"/>
      <sheetName val="[Spt-BH.xls][Spt-BH.xls]_Sp_527"/>
      <sheetName val="[Spt-BH.xls][Spt-BH.xls]_Sp_524"/>
      <sheetName val="[Spt-BH.xls][Spt-BH.xls]_Sp_525"/>
      <sheetName val="[Spt-BH.xls][Spt-BH.xls]_Sp_535"/>
      <sheetName val="[Spt-BH.xls]B____x005f_x0004______127"/>
      <sheetName val="[Spt-BH.xls]B___x005f_x0000__x000_124"/>
      <sheetName val="[Spt-BH.xls][Spt-BH.xls]_Sp_534"/>
      <sheetName val="[Spt-BH.xls][Spt-BH.xls]_Sp_531"/>
      <sheetName val="[Spt-BH.xls]B____x005f_x0004______126"/>
      <sheetName val="[Spt-BH.xls]B___x005f_x0000__x000_123"/>
      <sheetName val="[Spt-BH.xls][Spt-BH.xls]_Sp_532"/>
      <sheetName val="[Spt-BH.xls][Spt-BH.xls]_Sp_536"/>
      <sheetName val="[Spt-BH.xls][Spt-BH.xls]_Sp_538"/>
      <sheetName val="[Spt-BH.xls][Spt-BH.xls]_Sp_549"/>
      <sheetName val="[Spt-BH.xls]B____x005f_x0004______128"/>
      <sheetName val="[Spt-BH.xls]B___x005f_x0000__x000_125"/>
      <sheetName val="[Spt-BH.xls][Spt-BH.xls]_Sp_537"/>
      <sheetName val="[Spt-BH.xls][Spt-BH.xls]_Sp_539"/>
      <sheetName val="[Spt-BH.xls][Spt-BH.xls]_Sp_544"/>
      <sheetName val="[Spt-BH.xls][Spt-BH.xls]_Sp_542"/>
      <sheetName val="[Spt-BH.xls][Spt-BH.xls]_Sp_540"/>
      <sheetName val="[Spt-BH.xls]B____x005f_x0004______129"/>
      <sheetName val="[Spt-BH.xls]B___x005f_x0000__x000_126"/>
      <sheetName val="[Spt-BH.xls][Spt-BH.xls]_Sp_541"/>
      <sheetName val="[Spt-BH.xls][Spt-BH.xls]_Sp_543"/>
      <sheetName val="[Spt-BH.xls][Spt-BH.xls]_Sp_546"/>
      <sheetName val="[Spt-BH.xls]B____x005f_x0004______132"/>
      <sheetName val="[Spt-BH.xls]B___x005f_x0000__x000_129"/>
      <sheetName val="[Spt-BH.xls][Spt-BH.xls]_Sp_545"/>
      <sheetName val="[Spt-BH.xls][Spt-BH_xls]B__1528"/>
      <sheetName val="[Spt-BH.xls][Spt-BH_xls]B__1529"/>
      <sheetName val="[Spt-BH.xls][Spt-BH_xls]B__1530"/>
      <sheetName val="[Spt-BH.xls][Spt-BH_xls]B__1531"/>
      <sheetName val="[Spt-BH.xls][Spt-BH_xls]_Sp_500"/>
      <sheetName val="[Spt-BH.xls][Spt-BH_xls]B__1532"/>
      <sheetName val="[Spt-BH.xls][Spt-BH_xls]B__1533"/>
      <sheetName val="[Spt-BH.xls][Spt-BH_xls]B__1534"/>
      <sheetName val="[Spt-BH.xls][Spt-BH_xls]_Sp_501"/>
      <sheetName val="[Spt-BH.xls][Spt-BH_xls]B__1535"/>
      <sheetName val="[Spt-BH.xls][Spt-BH_xls]B__1536"/>
      <sheetName val="[Spt-BH.xls][Spt-BH_xls]B__1537"/>
      <sheetName val="[Spt-BH.xls][Spt-BH_xls]B__1538"/>
      <sheetName val="[Spt-BH.xls][Spt-BH_xls]_Sp_502"/>
      <sheetName val="[Spt-BH.xls][Spt-BH_xls]B__1539"/>
      <sheetName val="[Spt-BH.xls][Spt-BH_xls]B__1540"/>
      <sheetName val="[Spt-BH.xls][Spt-BH_xls]_Sp_503"/>
      <sheetName val="[Spt-BH.xls][Spt-BH_xls]B__1541"/>
      <sheetName val="[Spt-BH.xls][Spt-BH_xls]B__1542"/>
      <sheetName val="[Spt-BH.xls][Spt-BH_xls]_Sp_504"/>
      <sheetName val="[Spt-BH.xls][Spt-BH_xls]B__1513"/>
      <sheetName val="[Spt-BH.xls][Spt-BH_xls]B__1514"/>
      <sheetName val="[Spt-BH.xls][Spt-BH_xls]B__1515"/>
      <sheetName val="[Spt-BH.xls][Spt-BH_xls]B__1516"/>
      <sheetName val="[Spt-BH.xls][Spt-BH_xls]_Sp_495"/>
      <sheetName val="[Spt-BH.xls][Spt-BH_xls]B__1517"/>
      <sheetName val="[Spt-BH.xls][Spt-BH_xls]B__1518"/>
      <sheetName val="[Spt-BH.xls][Spt-BH_xls]B__1519"/>
      <sheetName val="[Spt-BH.xls][Spt-BH_xls]_Sp_496"/>
      <sheetName val="[Spt-BH.xls][Spt-BH_xls]B__1520"/>
      <sheetName val="[Spt-BH.xls][Spt-BH_xls]B__1521"/>
      <sheetName val="[Spt-BH.xls][Spt-BH_xls]B__1522"/>
      <sheetName val="[Spt-BH.xls][Spt-BH_xls]B__1523"/>
      <sheetName val="[Spt-BH.xls][Spt-BH_xls]_Sp_497"/>
      <sheetName val="[Spt-BH.xls][Spt-BH_xls]B__1524"/>
      <sheetName val="[Spt-BH.xls][Spt-BH_xls]B__1525"/>
      <sheetName val="[Spt-BH.xls][Spt-BH_xls]_Sp_498"/>
      <sheetName val="[Spt-BH.xls][Spt-BH_xls]B__1526"/>
      <sheetName val="[Spt-BH.xls][Spt-BH_xls]B__1527"/>
      <sheetName val="[Spt-BH.xls][Spt-BH_xls]_Sp_499"/>
      <sheetName val="[Spt-BH.xls][Spt-BH_xls]B__1438"/>
      <sheetName val="[Spt-BH.xls][Spt-BH_xls]B__1439"/>
      <sheetName val="[Spt-BH.xls][Spt-BH_xls]B__1440"/>
      <sheetName val="[Spt-BH.xls][Spt-BH_xls]B__1441"/>
      <sheetName val="[Spt-BH.xls][Spt-BH_xls]_Sp_470"/>
      <sheetName val="[Spt-BH.xls][Spt-BH_xls]B__1442"/>
      <sheetName val="[Spt-BH.xls][Spt-BH_xls]B__1443"/>
      <sheetName val="[Spt-BH.xls][Spt-BH_xls]B__1444"/>
      <sheetName val="[Spt-BH.xls][Spt-BH_xls]_Sp_471"/>
      <sheetName val="[Spt-BH.xls][Spt-BH_xls]B__1445"/>
      <sheetName val="[Spt-BH.xls][Spt-BH_xls]B__1446"/>
      <sheetName val="[Spt-BH.xls][Spt-BH_xls]B__1447"/>
      <sheetName val="[Spt-BH.xls][Spt-BH_xls]B__1448"/>
      <sheetName val="[Spt-BH.xls][Spt-BH_xls]_Sp_472"/>
      <sheetName val="[Spt-BH.xls][Spt-BH_xls]B__1449"/>
      <sheetName val="[Spt-BH.xls][Spt-BH_xls]B__1450"/>
      <sheetName val="[Spt-BH.xls][Spt-BH_xls]_Sp_473"/>
      <sheetName val="[Spt-BH.xls][Spt-BH_xls]B__1451"/>
      <sheetName val="[Spt-BH.xls][Spt-BH_xls]B__1452"/>
      <sheetName val="[Spt-BH.xls][Spt-BH_xls]_Sp_474"/>
      <sheetName val="[Spt-BH.xls][Spt-BH_xls]B__1453"/>
      <sheetName val="[Spt-BH.xls][Spt-BH_xls]B__1454"/>
      <sheetName val="[Spt-BH.xls][Spt-BH_xls]B__1455"/>
      <sheetName val="[Spt-BH.xls][Spt-BH_xls]B__1456"/>
      <sheetName val="[Spt-BH.xls][Spt-BH_xls]_Sp_475"/>
      <sheetName val="[Spt-BH.xls][Spt-BH_xls]B__1457"/>
      <sheetName val="[Spt-BH.xls][Spt-BH_xls]B__1458"/>
      <sheetName val="[Spt-BH.xls][Spt-BH_xls]B__1459"/>
      <sheetName val="[Spt-BH.xls][Spt-BH_xls]_Sp_476"/>
      <sheetName val="[Spt-BH.xls][Spt-BH_xls]B__1460"/>
      <sheetName val="[Spt-BH.xls][Spt-BH_xls]B__1461"/>
      <sheetName val="[Spt-BH.xls][Spt-BH_xls]B__1462"/>
      <sheetName val="[Spt-BH.xls][Spt-BH_xls]B__1463"/>
      <sheetName val="[Spt-BH.xls][Spt-BH_xls]_Sp_477"/>
      <sheetName val="[Spt-BH.xls][Spt-BH_xls]B__1464"/>
      <sheetName val="[Spt-BH.xls][Spt-BH_xls]B__1465"/>
      <sheetName val="[Spt-BH.xls][Spt-BH_xls]_Sp_478"/>
      <sheetName val="[Spt-BH.xls][Spt-BH_xls]B__1466"/>
      <sheetName val="[Spt-BH.xls][Spt-BH_xls]B__1467"/>
      <sheetName val="[Spt-BH.xls][Spt-BH_xls]_Sp_479"/>
      <sheetName val="[Spt-BH.xls][Spt-BH_xls]B__1483"/>
      <sheetName val="[Spt-BH.xls][Spt-BH_xls]B__1484"/>
      <sheetName val="[Spt-BH.xls][Spt-BH_xls]B__1485"/>
      <sheetName val="[Spt-BH.xls][Spt-BH_xls]B__1486"/>
      <sheetName val="[Spt-BH.xls][Spt-BH_xls]_Sp_485"/>
      <sheetName val="[Spt-BH.xls][Spt-BH_xls]B__1487"/>
      <sheetName val="[Spt-BH.xls][Spt-BH_xls]B__1488"/>
      <sheetName val="[Spt-BH.xls][Spt-BH_xls]B__1489"/>
      <sheetName val="[Spt-BH.xls][Spt-BH_xls]_Sp_486"/>
      <sheetName val="[Spt-BH.xls][Spt-BH_xls]B__1490"/>
      <sheetName val="[Spt-BH.xls][Spt-BH_xls]B__1491"/>
      <sheetName val="[Spt-BH.xls][Spt-BH_xls]B__1492"/>
      <sheetName val="[Spt-BH.xls][Spt-BH_xls]B__1493"/>
      <sheetName val="[Spt-BH.xls][Spt-BH_xls]_Sp_487"/>
      <sheetName val="[Spt-BH.xls][Spt-BH_xls]B__1494"/>
      <sheetName val="[Spt-BH.xls][Spt-BH_xls]B__1495"/>
      <sheetName val="[Spt-BH.xls][Spt-BH_xls]_Sp_488"/>
      <sheetName val="[Spt-BH.xls][Spt-BH_xls]B__1496"/>
      <sheetName val="[Spt-BH.xls][Spt-BH_xls]B__1497"/>
      <sheetName val="[Spt-BH.xls][Spt-BH_xls]_Sp_489"/>
      <sheetName val="[Spt-BH.xls][Spt-BH_xls]B__1468"/>
      <sheetName val="[Spt-BH.xls][Spt-BH_xls]B__1469"/>
      <sheetName val="[Spt-BH.xls][Spt-BH_xls]B__1470"/>
      <sheetName val="[Spt-BH.xls][Spt-BH_xls]B__1471"/>
      <sheetName val="[Spt-BH.xls][Spt-BH_xls]_Sp_480"/>
      <sheetName val="[Spt-BH.xls][Spt-BH_xls]B__1472"/>
      <sheetName val="[Spt-BH.xls][Spt-BH_xls]B__1473"/>
      <sheetName val="[Spt-BH.xls][Spt-BH_xls]B__1474"/>
      <sheetName val="[Spt-BH.xls][Spt-BH_xls]_Sp_481"/>
      <sheetName val="[Spt-BH.xls][Spt-BH_xls]B__1475"/>
      <sheetName val="[Spt-BH.xls][Spt-BH_xls]B__1476"/>
      <sheetName val="[Spt-BH.xls][Spt-BH_xls]B__1477"/>
      <sheetName val="[Spt-BH.xls][Spt-BH_xls]B__1478"/>
      <sheetName val="[Spt-BH.xls][Spt-BH_xls]_Sp_482"/>
      <sheetName val="[Spt-BH.xls][Spt-BH_xls]B__1479"/>
      <sheetName val="[Spt-BH.xls][Spt-BH_xls]B__1480"/>
      <sheetName val="[Spt-BH.xls][Spt-BH_xls]_Sp_483"/>
      <sheetName val="[Spt-BH.xls][Spt-BH_xls]B__1481"/>
      <sheetName val="[Spt-BH.xls][Spt-BH_xls]B__1482"/>
      <sheetName val="[Spt-BH.xls][Spt-BH_xls]_Sp_484"/>
      <sheetName val="[Spt-BH.xls][Spt-BH_xls]B__1498"/>
      <sheetName val="[Spt-BH.xls][Spt-BH_xls]B__1499"/>
      <sheetName val="[Spt-BH.xls][Spt-BH_xls]B__1500"/>
      <sheetName val="[Spt-BH.xls][Spt-BH_xls]B__1501"/>
      <sheetName val="[Spt-BH.xls][Spt-BH_xls]_Sp_490"/>
      <sheetName val="[Spt-BH.xls][Spt-BH_xls]B__1502"/>
      <sheetName val="[Spt-BH.xls][Spt-BH_xls]B__1503"/>
      <sheetName val="[Spt-BH.xls][Spt-BH_xls]B__1504"/>
      <sheetName val="[Spt-BH.xls][Spt-BH_xls]_Sp_491"/>
      <sheetName val="[Spt-BH.xls][Spt-BH_xls]B__1505"/>
      <sheetName val="[Spt-BH.xls][Spt-BH_xls]B__1506"/>
      <sheetName val="[Spt-BH.xls][Spt-BH_xls]B__1507"/>
      <sheetName val="[Spt-BH.xls][Spt-BH_xls]B__1508"/>
      <sheetName val="[Spt-BH.xls][Spt-BH_xls]_Sp_492"/>
      <sheetName val="[Spt-BH.xls][Spt-BH_xls]B__1509"/>
      <sheetName val="[Spt-BH.xls][Spt-BH_xls]B__1510"/>
      <sheetName val="[Spt-BH.xls][Spt-BH_xls]_Sp_493"/>
      <sheetName val="[Spt-BH.xls][Spt-BH_xls]B__1511"/>
      <sheetName val="[Spt-BH.xls][Spt-BH_xls]B__1512"/>
      <sheetName val="[Spt-BH.xls][Spt-BH_xls]_Sp_494"/>
      <sheetName val="[Spt-BH.xls]B____x005f_x0004______131"/>
      <sheetName val="[Spt-BH.xls]B___x005f_x0000__x000_128"/>
      <sheetName val="[Spt-BH.xls]B____x005f_x0004______130"/>
      <sheetName val="[Spt-BH.xls]B___x005f_x0000__x000_127"/>
      <sheetName val="[Spt-BH.xls][Spt-BH.xls]_Sp_547"/>
      <sheetName val="[Spt-BH.xls][Spt-BH.xls]_Sp_548"/>
      <sheetName val="[Spt-BH.xls][Spt-BH.xls]_Sp_569"/>
      <sheetName val="[Spt-BH.xls][Spt-BH.xls]_Sp_559"/>
      <sheetName val="[Spt-BH.xls][Spt-BH.xls]_Sp_560"/>
      <sheetName val="[Spt-BH.xls][Spt-BH.xls]_Sp_550"/>
      <sheetName val="[Spt-BH.xls][Spt-BH.xls]B__1625"/>
      <sheetName val="[Spt-BH.xls][Spt-BH.xls]B__1626"/>
      <sheetName val="[Spt-BH.xls][Spt-BH.xls]_Sp_571"/>
      <sheetName val="[Spt-BH.xls][Spt-BH.xls]B__1627"/>
      <sheetName val="[Spt-BH.xls][Spt-BH.xls]B__1628"/>
      <sheetName val="[Spt-BH.xls]B____x005f_x0004______137"/>
      <sheetName val="[Spt-BH.xls]B___x005f_x0000__x000_134"/>
      <sheetName val="[Spt-BH.xls][Spt-BH.xls]B__1629"/>
      <sheetName val="[Spt-BH.xls][Spt-BH.xls]B__1630"/>
      <sheetName val="[Spt-BH.xls][Spt-BH.xls]_Sp_570"/>
      <sheetName val="[Spt-BH.xls][Spt-BH_xls]B__1573"/>
      <sheetName val="[Spt-BH.xls][Spt-BH_xls]B__1574"/>
      <sheetName val="[Spt-BH.xls][Spt-BH_xls]B__1575"/>
      <sheetName val="[Spt-BH.xls][Spt-BH_xls]B__1576"/>
      <sheetName val="[Spt-BH.xls][Spt-BH_xls]_Sp_515"/>
      <sheetName val="[Spt-BH.xls][Spt-BH_xls]B__1577"/>
      <sheetName val="[Spt-BH.xls][Spt-BH_xls]B__1578"/>
      <sheetName val="[Spt-BH.xls][Spt-BH_xls]B__1579"/>
      <sheetName val="[Spt-BH.xls][Spt-BH_xls]_Sp_516"/>
      <sheetName val="[Spt-BH.xls][Spt-BH_xls]B__1580"/>
      <sheetName val="[Spt-BH.xls][Spt-BH_xls]B__1581"/>
      <sheetName val="[Spt-BH.xls][Spt-BH_xls]B__1582"/>
      <sheetName val="[Spt-BH.xls][Spt-BH_xls]B__1583"/>
      <sheetName val="[Spt-BH.xls][Spt-BH_xls]_Sp_517"/>
      <sheetName val="[Spt-BH.xls][Spt-BH_xls]B__1584"/>
      <sheetName val="[Spt-BH.xls][Spt-BH_xls]B__1585"/>
      <sheetName val="[Spt-BH.xls][Spt-BH_xls]_Sp_518"/>
      <sheetName val="[Spt-BH.xls][Spt-BH_xls]B__1586"/>
      <sheetName val="[Spt-BH.xls][Spt-BH_xls]B__1587"/>
      <sheetName val="[Spt-BH.xls][Spt-BH_xls]_Sp_519"/>
      <sheetName val="[Spt-BH.xls][Spt-BH.xls]_Sp_557"/>
      <sheetName val="[Spt-BH.xls]B____x005f_x0004______133"/>
      <sheetName val="[Spt-BH.xls]B___x005f_x0000__x000_130"/>
      <sheetName val="[Spt-BH.xls][Spt-BH.xls]_Sp_556"/>
      <sheetName val="[Spt-BH.xls][Spt-BH_xls]B__1543"/>
      <sheetName val="[Spt-BH.xls][Spt-BH_xls]B__1544"/>
      <sheetName val="[Spt-BH.xls][Spt-BH_xls]B__1545"/>
      <sheetName val="[Spt-BH.xls][Spt-BH_xls]B__1546"/>
      <sheetName val="[Spt-BH.xls][Spt-BH_xls]_Sp_505"/>
      <sheetName val="[Spt-BH.xls][Spt-BH_xls]B__1547"/>
      <sheetName val="[Spt-BH.xls][Spt-BH_xls]B__1548"/>
      <sheetName val="[Spt-BH.xls][Spt-BH_xls]B__1549"/>
      <sheetName val="[Spt-BH.xls][Spt-BH_xls]_Sp_506"/>
      <sheetName val="[Spt-BH.xls][Spt-BH_xls]B__1550"/>
      <sheetName val="[Spt-BH.xls][Spt-BH_xls]B__1551"/>
      <sheetName val="[Spt-BH.xls][Spt-BH_xls]B__1552"/>
      <sheetName val="[Spt-BH.xls][Spt-BH_xls]B__1553"/>
      <sheetName val="[Spt-BH.xls][Spt-BH_xls]_Sp_507"/>
      <sheetName val="[Spt-BH.xls][Spt-BH_xls]B__1554"/>
      <sheetName val="[Spt-BH.xls][Spt-BH_xls]B__1555"/>
      <sheetName val="[Spt-BH.xls][Spt-BH_xls]_Sp_508"/>
      <sheetName val="[Spt-BH.xls][Spt-BH_xls]B__1556"/>
      <sheetName val="[Spt-BH.xls][Spt-BH_xls]B__1557"/>
      <sheetName val="[Spt-BH.xls][Spt-BH_xls]_Sp_509"/>
      <sheetName val="[Spt-BH.xls][Spt-BH.xls]_Sp_552"/>
      <sheetName val="[Spt-BH.xls][Spt-BH.xls]_Sp_554"/>
      <sheetName val="[Spt-BH.xls]B____x005f_x0004______134"/>
      <sheetName val="[Spt-BH.xls]B___x005f_x0000__x000_131"/>
      <sheetName val="[Spt-BH.xls][Spt-BH.xls]_Sp_553"/>
      <sheetName val="[Spt-BH.xls][Spt-BH_xls]B__1558"/>
      <sheetName val="[Spt-BH.xls][Spt-BH_xls]B__1559"/>
      <sheetName val="[Spt-BH.xls][Spt-BH_xls]B__1560"/>
      <sheetName val="[Spt-BH.xls][Spt-BH_xls]B__1561"/>
      <sheetName val="[Spt-BH.xls][Spt-BH_xls]_Sp_510"/>
      <sheetName val="[Spt-BH.xls][Spt-BH_xls]B__1562"/>
      <sheetName val="[Spt-BH.xls][Spt-BH_xls]B__1563"/>
      <sheetName val="[Spt-BH.xls][Spt-BH_xls]B__1564"/>
      <sheetName val="[Spt-BH.xls][Spt-BH_xls]_Sp_511"/>
      <sheetName val="[Spt-BH.xls][Spt-BH_xls]B__1565"/>
      <sheetName val="[Spt-BH.xls][Spt-BH_xls]B__1566"/>
      <sheetName val="[Spt-BH.xls][Spt-BH_xls]B__1567"/>
      <sheetName val="[Spt-BH.xls][Spt-BH_xls]B__1568"/>
      <sheetName val="[Spt-BH.xls][Spt-BH_xls]_Sp_512"/>
      <sheetName val="[Spt-BH.xls][Spt-BH_xls]B__1569"/>
      <sheetName val="[Spt-BH.xls][Spt-BH_xls]B__1570"/>
      <sheetName val="[Spt-BH.xls][Spt-BH_xls]_Sp_513"/>
      <sheetName val="[Spt-BH.xls][Spt-BH_xls]B__1571"/>
      <sheetName val="[Spt-BH.xls][Spt-BH_xls]B__1572"/>
      <sheetName val="[Spt-BH.xls][Spt-BH_xls]_Sp_514"/>
      <sheetName val="[Spt-BH.xls][Spt-BH.xls]_Sp_555"/>
      <sheetName val="[Spt-BH.xls]B____x005f_x0004______136"/>
      <sheetName val="[Spt-BH.xls]B___x005f_x0000__x000_133"/>
      <sheetName val="[Spt-BH.xls][Spt-BH.xls]_Sp_551"/>
      <sheetName val="[Spt-BH.xls]B____x005f_x0004______135"/>
      <sheetName val="[Spt-BH.xls]B___x005f_x0000__x000_132"/>
      <sheetName val="[Spt-BH.xls][Spt-BH.xls]_Sp_558"/>
      <sheetName val="[Spt-BH.xls][Spt-BH.xls]B__1632"/>
      <sheetName val="[Spt-BH.xls][Spt-BH.xls]B__1633"/>
      <sheetName val="[Spt-BH.xls][Spt-BH.xls]_Sp_573"/>
      <sheetName val="[Spt-BH.xls][Spt-BH.xls]B__1634"/>
      <sheetName val="[Spt-BH.xls][Spt-BH.xls]B__1635"/>
      <sheetName val="[Spt-BH.xls]B____x005f_x0004______139"/>
      <sheetName val="[Spt-BH.xls]B___x005f_x0000__x000_136"/>
      <sheetName val="[Spt-BH.xls][Spt-BH.xls]B__1636"/>
      <sheetName val="[Spt-BH.xls][Spt-BH.xls]B__1637"/>
      <sheetName val="[Spt-BH.xls][Spt-BH.xls]B__1631"/>
      <sheetName val="[Spt-BH.xls][Spt-BH.xls]_Sp_572"/>
      <sheetName val="[Spt-BH.xls][Spt-BH_xls]B__1603"/>
      <sheetName val="[Spt-BH.xls][Spt-BH_xls]B__1604"/>
      <sheetName val="[Spt-BH.xls][Spt-BH_xls]B__1605"/>
      <sheetName val="[Spt-BH.xls][Spt-BH_xls]B__1606"/>
      <sheetName val="[Spt-BH.xls][Spt-BH_xls]_Sp_525"/>
      <sheetName val="[Spt-BH.xls][Spt-BH_xls]B__1607"/>
      <sheetName val="[Spt-BH.xls][Spt-BH_xls]B__1608"/>
      <sheetName val="[Spt-BH.xls][Spt-BH_xls]B__1609"/>
      <sheetName val="[Spt-BH.xls][Spt-BH_xls]_Sp_526"/>
      <sheetName val="[Spt-BH.xls][Spt-BH_xls]B__1610"/>
      <sheetName val="[Spt-BH.xls][Spt-BH_xls]B__1611"/>
      <sheetName val="[Spt-BH.xls][Spt-BH_xls]B__1612"/>
      <sheetName val="[Spt-BH.xls][Spt-BH_xls]B__1613"/>
      <sheetName val="[Spt-BH.xls][Spt-BH_xls]_Sp_527"/>
      <sheetName val="[Spt-BH.xls][Spt-BH_xls]B__1614"/>
      <sheetName val="[Spt-BH.xls][Spt-BH_xls]B__1615"/>
      <sheetName val="[Spt-BH.xls][Spt-BH_xls]_Sp_528"/>
      <sheetName val="[Spt-BH.xls][Spt-BH_xls]B__1616"/>
      <sheetName val="[Spt-BH.xls][Spt-BH_xls]B__1617"/>
      <sheetName val="[Spt-BH.xls][Spt-BH_xls]_Sp_529"/>
      <sheetName val="[Spt-BH.xls][Spt-BH.xls]_Sp_561"/>
      <sheetName val="[Spt-BH.xls][Spt-BH.xls]_Sp_562"/>
      <sheetName val="[Spt-BH.xls]B____x005f_x0004______138"/>
      <sheetName val="[Spt-BH.xls]B___x005f_x0000__x000_135"/>
      <sheetName val="[Spt-BH.xls][Spt-BH_xls]B__1588"/>
      <sheetName val="[Spt-BH.xls][Spt-BH_xls]B__1589"/>
      <sheetName val="[Spt-BH.xls][Spt-BH_xls]B__1590"/>
      <sheetName val="[Spt-BH.xls][Spt-BH_xls]B__1591"/>
      <sheetName val="[Spt-BH.xls][Spt-BH_xls]_Sp_520"/>
      <sheetName val="[Spt-BH.xls][Spt-BH_xls]B__1592"/>
      <sheetName val="[Spt-BH.xls][Spt-BH_xls]B__1593"/>
      <sheetName val="[Spt-BH.xls][Spt-BH_xls]B__1594"/>
      <sheetName val="[Spt-BH.xls][Spt-BH_xls]_Sp_521"/>
      <sheetName val="[Spt-BH.xls][Spt-BH_xls]B__1595"/>
      <sheetName val="[Spt-BH.xls][Spt-BH_xls]B__1596"/>
      <sheetName val="[Spt-BH.xls][Spt-BH_xls]B__1597"/>
      <sheetName val="[Spt-BH.xls][Spt-BH_xls]B__1598"/>
      <sheetName val="[Spt-BH.xls][Spt-BH_xls]_Sp_522"/>
      <sheetName val="[Spt-BH.xls][Spt-BH_xls]B__1599"/>
      <sheetName val="[Spt-BH.xls][Spt-BH_xls]B__1600"/>
      <sheetName val="[Spt-BH.xls][Spt-BH_xls]_Sp_523"/>
      <sheetName val="[Spt-BH.xls][Spt-BH_xls]B__1601"/>
      <sheetName val="[Spt-BH.xls][Spt-BH_xls]B__1602"/>
      <sheetName val="[Spt-BH.xls][Spt-BH_xls]_Sp_524"/>
      <sheetName val="[Spt-BH.xls][Spt-BH.xls]_Sp_563"/>
      <sheetName val="[Spt-BH.xls][Spt-BH.xls]_Sp_568"/>
      <sheetName val="[Spt-BH.xls][Spt-BH.xls]_Sp_564"/>
      <sheetName val="[Spt-BH.xls][Spt-BH.xls]_Sp_565"/>
      <sheetName val="[Spt-BH.xls][Spt-BH.xls]_Sp_567"/>
      <sheetName val="[Spt-BH.xls][Spt-BH.xls]_Sp_566"/>
      <sheetName val="[Spt-BH.xls][Spt-BH.xls]_Sp_574"/>
      <sheetName val="[Spt-BH.xls][Spt-BH.xls]B__1638"/>
      <sheetName val="[Spt-BH.xls][Spt-BH.xls]B__1639"/>
      <sheetName val="[Spt-BH.xls][Spt-BH.xls]_Sp_576"/>
      <sheetName val="[Spt-BH.xls][Spt-BH.xls]B__1640"/>
      <sheetName val="[Spt-BH.xls][Spt-BH.xls]B__1641"/>
      <sheetName val="[Spt-BH.xls][Spt-BH.xls]B__1645"/>
      <sheetName val="[Spt-BH.xls][Spt-BH.xls]B__1646"/>
      <sheetName val="[Spt-BH.xls][Spt-BH.xls]_Sp_578"/>
      <sheetName val="[Spt-BH.xls][Spt-BH.xls]B__1647"/>
      <sheetName val="[Spt-BH.xls][Spt-BH.xls]B__1648"/>
      <sheetName val="[Spt-BH.xls]B____x005f_x0004______140"/>
      <sheetName val="[Spt-BH.xls]B___x005f_x0000__x000_137"/>
      <sheetName val="[Spt-BH.xls][Spt-BH.xls]B__1649"/>
      <sheetName val="[Spt-BH.xls][Spt-BH.xls]B__1650"/>
      <sheetName val="[Spt-BH.xls][Spt-BH.xls]B__1642"/>
      <sheetName val="[Spt-BH.xls][Spt-BH.xls]B__1643"/>
      <sheetName val="[Spt-BH.xls][Spt-BH.xls]B__1644"/>
      <sheetName val="[Spt-BH.xls][Spt-BH.xls]_Sp_575"/>
      <sheetName val="[Spt-BH.xls][Spt-BH.xls]_Sp_577"/>
      <sheetName val="[Spt-BH.xls][Spt-BH_xls]B__1618"/>
      <sheetName val="[Spt-BH.xls][Spt-BH_xls]B__1619"/>
      <sheetName val="[Spt-BH.xls][Spt-BH_xls]B__1620"/>
      <sheetName val="[Spt-BH.xls][Spt-BH_xls]B__1621"/>
      <sheetName val="[Spt-BH.xls][Spt-BH_xls]_Sp_530"/>
      <sheetName val="[Spt-BH.xls][Spt-BH_xls]B__1622"/>
      <sheetName val="[Spt-BH.xls][Spt-BH_xls]B__1623"/>
      <sheetName val="[Spt-BH.xls][Spt-BH_xls]B__1624"/>
      <sheetName val="[Spt-BH.xls][Spt-BH_xls]_Sp_531"/>
      <sheetName val="[Spt-BH.xls][Spt-BH_xls]B__1625"/>
      <sheetName val="[Spt-BH.xls][Spt-BH_xls]B__1626"/>
      <sheetName val="[Spt-BH.xls][Spt-BH_xls]B__1627"/>
      <sheetName val="[Spt-BH.xls][Spt-BH_xls]B__1628"/>
      <sheetName val="[Spt-BH.xls][Spt-BH_xls]_Sp_532"/>
      <sheetName val="[Spt-BH.xls][Spt-BH_xls]B__1629"/>
      <sheetName val="[Spt-BH.xls][Spt-BH_xls]B__1630"/>
      <sheetName val="[Spt-BH.xls][Spt-BH_xls]_Sp_533"/>
      <sheetName val="[Spt-BH.xls][Spt-BH_xls]B__1631"/>
      <sheetName val="[Spt-BH.xls][Spt-BH_xls]B__1632"/>
      <sheetName val="[Spt-BH.xls][Spt-BH_xls]_Sp_534"/>
      <sheetName val="[Spt-BH.xls][Spt-BH.xls]B__1652"/>
      <sheetName val="[Spt-BH.xls][Spt-BH.xls]B__1653"/>
      <sheetName val="[Spt-BH.xls][Spt-BH.xls]_Sp_580"/>
      <sheetName val="[Spt-BH.xls][Spt-BH.xls]B__1654"/>
      <sheetName val="[Spt-BH.xls][Spt-BH.xls]B__1655"/>
      <sheetName val="[Spt-BH.xls]B____x005f_x0004______141"/>
      <sheetName val="[Spt-BH.xls]B___x005f_x0000__x000_138"/>
      <sheetName val="[Spt-BH.xls][Spt-BH.xls]B__1656"/>
      <sheetName val="[Spt-BH.xls][Spt-BH.xls]B__1657"/>
      <sheetName val="[Spt-BH.xls][Spt-BH.xls]B__1651"/>
      <sheetName val="[Spt-BH.xls][Spt-BH.xls]_Sp_579"/>
      <sheetName val="[Spt-BH.xls][Spt-BH_xls]B__1633"/>
      <sheetName val="[Spt-BH.xls][Spt-BH_xls]B__1634"/>
      <sheetName val="[Spt-BH.xls][Spt-BH_xls]B__1635"/>
      <sheetName val="[Spt-BH.xls][Spt-BH_xls]B__1636"/>
      <sheetName val="[Spt-BH.xls][Spt-BH_xls]_Sp_535"/>
      <sheetName val="[Spt-BH.xls][Spt-BH_xls]B__1637"/>
      <sheetName val="[Spt-BH.xls][Spt-BH_xls]B__1638"/>
      <sheetName val="[Spt-BH.xls][Spt-BH_xls]B__1639"/>
      <sheetName val="[Spt-BH.xls][Spt-BH_xls]_Sp_536"/>
      <sheetName val="[Spt-BH.xls][Spt-BH_xls]B__1640"/>
      <sheetName val="[Spt-BH.xls][Spt-BH_xls]B__1641"/>
      <sheetName val="[Spt-BH.xls][Spt-BH_xls]B__1642"/>
      <sheetName val="[Spt-BH.xls][Spt-BH_xls]B__1643"/>
      <sheetName val="[Spt-BH.xls][Spt-BH_xls]_Sp_537"/>
      <sheetName val="[Spt-BH.xls][Spt-BH_xls]B__1644"/>
      <sheetName val="[Spt-BH.xls][Spt-BH_xls]B__1645"/>
      <sheetName val="[Spt-BH.xls][Spt-BH_xls]_Sp_538"/>
      <sheetName val="[Spt-BH.xls][Spt-BH_xls]B__1646"/>
      <sheetName val="[Spt-BH.xls][Spt-BH_xls]B__1647"/>
      <sheetName val="[Spt-BH.xls][Spt-BH_xls]_Sp_539"/>
      <sheetName val="[Spt-BH.xls][Spt-BH.xls]B__1658"/>
      <sheetName val="[Spt-BH.xls][Spt-BH.xls]B__1659"/>
      <sheetName val="[Spt-BH.xls][Spt-BH.xls]_Sp_582"/>
      <sheetName val="[Spt-BH.xls][Spt-BH.xls]B__1660"/>
      <sheetName val="[Spt-BH.xls][Spt-BH.xls]B__1661"/>
      <sheetName val="[Spt-BH.xls][Spt-BH.xls]B__1662"/>
      <sheetName val="[Spt-BH.xls][Spt-BH.xls]B__1663"/>
      <sheetName val="[Spt-BH.xls][Spt-BH.xls]_Sp_581"/>
      <sheetName val="[Spt-BH.xls][Spt-BH.xls]B__1665"/>
      <sheetName val="[Spt-BH.xls][Spt-BH.xls]B__1666"/>
      <sheetName val="[Spt-BH.xls][Spt-BH.xls]_Sp_584"/>
      <sheetName val="[Spt-BH.xls][Spt-BH.xls]B__1667"/>
      <sheetName val="[Spt-BH.xls][Spt-BH.xls]B__1668"/>
      <sheetName val="[Spt-BH.xls]B____x005f_x0004______142"/>
      <sheetName val="[Spt-BH.xls]B___x005f_x0000__x000_139"/>
      <sheetName val="[Spt-BH.xls][Spt-BH.xls]B__1669"/>
      <sheetName val="[Spt-BH.xls][Spt-BH.xls]B__1670"/>
      <sheetName val="[Spt-BH.xls][Spt-BH.xls]B__1664"/>
      <sheetName val="[Spt-BH.xls][Spt-BH.xls]_Sp_583"/>
      <sheetName val="[Spt-BH.xls][Spt-BH_xls]B__1648"/>
      <sheetName val="[Spt-BH.xls][Spt-BH_xls]B__1649"/>
      <sheetName val="[Spt-BH.xls][Spt-BH_xls]B__1650"/>
      <sheetName val="[Spt-BH.xls][Spt-BH_xls]B__1651"/>
      <sheetName val="[Spt-BH.xls][Spt-BH_xls]_Sp_540"/>
      <sheetName val="[Spt-BH.xls][Spt-BH_xls]B__1652"/>
      <sheetName val="[Spt-BH.xls][Spt-BH_xls]B__1653"/>
      <sheetName val="[Spt-BH.xls][Spt-BH_xls]B__1654"/>
      <sheetName val="[Spt-BH.xls][Spt-BH_xls]_Sp_541"/>
      <sheetName val="[Spt-BH.xls][Spt-BH_xls]B__1655"/>
      <sheetName val="[Spt-BH.xls][Spt-BH_xls]B__1656"/>
      <sheetName val="[Spt-BH.xls][Spt-BH_xls]B__1657"/>
      <sheetName val="[Spt-BH.xls][Spt-BH_xls]B__1658"/>
      <sheetName val="[Spt-BH.xls][Spt-BH_xls]_Sp_542"/>
      <sheetName val="[Spt-BH.xls][Spt-BH_xls]B__1659"/>
      <sheetName val="[Spt-BH.xls][Spt-BH_xls]B__1660"/>
      <sheetName val="[Spt-BH.xls][Spt-BH_xls]_Sp_543"/>
      <sheetName val="[Spt-BH.xls][Spt-BH_xls]B__1661"/>
      <sheetName val="[Spt-BH.xls][Spt-BH_xls]B__1662"/>
      <sheetName val="[Spt-BH.xls][Spt-BH_xls]_Sp_544"/>
      <sheetName val="[Spt-BH.xls][Spt-BH.xls]B__1692"/>
      <sheetName val="[Spt-BH.xls][Spt-BH.xls]B__1693"/>
      <sheetName val="[Spt-BH.xls][Spt-BH.xls]_Sp_601"/>
      <sheetName val="[Spt-BH.xls][Spt-BH.xls]B__1694"/>
      <sheetName val="[Spt-BH.xls][Spt-BH.xls]B__1695"/>
      <sheetName val="[Spt-BH.xls][Spt-BH.xls]B__1696"/>
      <sheetName val="[Spt-BH.xls][Spt-BH.xls]_Sp_595"/>
      <sheetName val="[Spt-BH.xls][Spt-BH.xls]B__1697"/>
      <sheetName val="[Spt-BH.xls][Spt-BH.xls]_Sp_596"/>
      <sheetName val="[Spt-BH.xls][Spt-BH.xls]_Sp_591"/>
      <sheetName val="[Spt-BH.xls][Spt-BH.xls]_Sp_592"/>
      <sheetName val="[Spt-BH.xls][Spt-BH.xls]B__1688"/>
      <sheetName val="[Spt-BH.xls][Spt-BH.xls]B__1689"/>
      <sheetName val="[Spt-BH.xls][Spt-BH.xls]B__1690"/>
      <sheetName val="[Spt-BH.xls][Spt-BH.xls]_Sp_593"/>
      <sheetName val="[Spt-BH.xls][Spt-BH.xls]B__1691"/>
      <sheetName val="[Spt-BH.xls][Spt-BH.xls]_Sp_594"/>
      <sheetName val="[Spt-BH.xls][Spt-BH.xls]B__1698"/>
      <sheetName val="[Spt-BH.xls][Spt-BH.xls]B__1699"/>
      <sheetName val="[Spt-BH.xls][Spt-BH.xls]B__1700"/>
      <sheetName val="[Spt-BH.xls][Spt-BH.xls]B__1701"/>
      <sheetName val="[Spt-BH.xls][Spt-BH.xls]B__1702"/>
      <sheetName val="[Spt-BH.xls][Spt-BH.xls]_Sp_598"/>
      <sheetName val="[Spt-BH.xls][Spt-BH.xls]B__1703"/>
      <sheetName val="[Spt-BH.xls][Spt-BH.xls]_Sp_599"/>
      <sheetName val="[Spt-BH.xls][Spt-BH.xls]_Sp_597"/>
      <sheetName val="[Spt-BH.xls][Spt-BH.xls]_Sp_600"/>
      <sheetName val="[Spt-BH.xls][Spt-BH.xls]_Sp_602"/>
      <sheetName val="[Spt-BH.xls][Spt-BH.xls]_Sp_603"/>
      <sheetName val="[Spt-BH.xls][Spt-BH.xls]_Sp_604"/>
      <sheetName val="[Spt-BH.xls][Spt-BH.xls]B__1704"/>
      <sheetName val="[Spt-BH.xls][Spt-BH.xls]B__1705"/>
      <sheetName val="[Spt-BH.xls][Spt-BH.xls]_Sp_606"/>
      <sheetName val="[Spt-BH.xls][Spt-BH.xls]B__1706"/>
      <sheetName val="[Spt-BH.xls][Spt-BH.xls]B__1707"/>
      <sheetName val="[Spt-BH.xls][Spt-BH.xls]B__1708"/>
      <sheetName val="[Spt-BH.xls][Spt-BH.xls]B__1709"/>
      <sheetName val="[Spt-BH.xls][Spt-BH.xls]_Sp_605"/>
      <sheetName val="[Spt-BH.xls][Spt-BH.xls]B__1711"/>
      <sheetName val="[Spt-BH.xls][Spt-BH.xls]B__1712"/>
      <sheetName val="[Spt-BH.xls][Spt-BH.xls]_Sp_608"/>
      <sheetName val="[Spt-BH.xls][Spt-BH.xls]B__1713"/>
      <sheetName val="[Spt-BH.xls][Spt-BH.xls]B__1714"/>
      <sheetName val="[Spt-BH.xls]B____x005f_x0004______144"/>
      <sheetName val="[Spt-BH.xls]B___x005f_x0000__x000_141"/>
      <sheetName val="[Spt-BH.xls][Spt-BH.xls]B__1715"/>
      <sheetName val="[Spt-BH.xls][Spt-BH.xls]B__1716"/>
      <sheetName val="[Spt-BH.xls][Spt-BH.xls]B__1710"/>
      <sheetName val="[Spt-BH.xls][Spt-BH.xls]_Sp_607"/>
      <sheetName val="[Spt-BH.xls][Spt-BH_xls]B__1678"/>
      <sheetName val="[Spt-BH.xls][Spt-BH_xls]B__1679"/>
      <sheetName val="[Spt-BH.xls][Spt-BH_xls]B__1680"/>
      <sheetName val="[Spt-BH.xls][Spt-BH_xls]B__1681"/>
      <sheetName val="[Spt-BH.xls][Spt-BH_xls]_Sp_550"/>
      <sheetName val="[Spt-BH.xls][Spt-BH_xls]B__1682"/>
      <sheetName val="[Spt-BH.xls][Spt-BH_xls]B__1683"/>
      <sheetName val="[Spt-BH.xls][Spt-BH_xls]B__1684"/>
      <sheetName val="[Spt-BH.xls][Spt-BH_xls]_Sp_551"/>
      <sheetName val="[Spt-BH.xls][Spt-BH_xls]B__1685"/>
      <sheetName val="[Spt-BH.xls][Spt-BH_xls]B__1686"/>
      <sheetName val="[Spt-BH.xls][Spt-BH_xls]B__1687"/>
      <sheetName val="[Spt-BH.xls][Spt-BH_xls]B__1688"/>
      <sheetName val="[Spt-BH.xls][Spt-BH_xls]_Sp_552"/>
      <sheetName val="[Spt-BH.xls][Spt-BH_xls]B__1689"/>
      <sheetName val="[Spt-BH.xls][Spt-BH_xls]B__1690"/>
      <sheetName val="[Spt-BH.xls][Spt-BH_xls]_Sp_553"/>
      <sheetName val="[Spt-BH.xls][Spt-BH_xls]B__1691"/>
      <sheetName val="[Spt-BH.xls][Spt-BH_xls]B__1692"/>
      <sheetName val="[Spt-BH.xls][Spt-BH_xls]_Sp_554"/>
      <sheetName val="[Spt-BH.xls][Spt-BH.xls]_Sp_609"/>
      <sheetName val="[Spt-BH.xls][Spt-BH.xls]B__1717"/>
      <sheetName val="[Spt-BH.xls][Spt-BH.xls]B__1718"/>
      <sheetName val="[Spt-BH.xls][Spt-BH.xls]_S_1192"/>
      <sheetName val="[Spt-BH.xls][Spt-BH.xls]B__1719"/>
      <sheetName val="[Spt-BH.xls][Spt-BH.xls]B__1720"/>
      <sheetName val="[Spt-BH.xls][Spt-BH.xls]B__1721"/>
      <sheetName val="[Spt-BH.xls][Spt-BH.xls]B__1722"/>
      <sheetName val="[Spt-BH.xls][Spt-BH.xls]_Sp_610"/>
      <sheetName val="[Spt-BH.xls][Spt-BH.xls]_Sp_611"/>
      <sheetName val="[Spt-BH.xls][Spt-BH.xls]_Sp_763"/>
      <sheetName val="[Spt-BH.xls][Spt-BH.xls]B__2191"/>
      <sheetName val="[Spt-BH.xls][Spt-BH.xls]B__2192"/>
      <sheetName val="[Spt-BH.xls][Spt-BH.xls]_Sp_765"/>
      <sheetName val="[Spt-BH.xls][Spt-BH.xls]B__2193"/>
      <sheetName val="[Spt-BH.xls][Spt-BH.xls]B__2194"/>
      <sheetName val="[Spt-BH.xls][Spt-BH.xls]B__2198"/>
      <sheetName val="[Spt-BH.xls][Spt-BH.xls]B__2199"/>
      <sheetName val="[Spt-BH.xls][Spt-BH.xls]_Sp_774"/>
      <sheetName val="[Spt-BH.xls][Spt-BH.xls]B__2200"/>
      <sheetName val="[Spt-BH.xls][Spt-BH.xls]B__2201"/>
      <sheetName val="[Spt-BH.xls]B____x005f_x0004______178"/>
      <sheetName val="[Spt-BH.xls]B___x005f_x0000__x000_175"/>
      <sheetName val="[Spt-BH.xls][Spt-BH.xls]B__2202"/>
      <sheetName val="[Spt-BH.xls][Spt-BH.xls]B__2203"/>
      <sheetName val="[Spt-BH.xls][Spt-BH.xls]B__2195"/>
      <sheetName val="[Spt-BH.xls][Spt-BH.xls]B__2196"/>
      <sheetName val="[Spt-BH.xls][Spt-BH.xls]B__2197"/>
      <sheetName val="[Spt-BH.xls][Spt-BH.xls]_Sp_764"/>
      <sheetName val="[Spt-BH.xls][Spt-BH.xls]_Sp_766"/>
      <sheetName val="[Spt-BH.xls][Spt-BH_xls]B__2158"/>
      <sheetName val="[Spt-BH.xls][Spt-BH_xls]B__2159"/>
      <sheetName val="[Spt-BH.xls][Spt-BH_xls]B__2160"/>
      <sheetName val="[Spt-BH.xls][Spt-BH_xls]B__2161"/>
      <sheetName val="[Spt-BH.xls][Spt-BH_xls]_Sp_710"/>
      <sheetName val="[Spt-BH.xls][Spt-BH_xls]B__2162"/>
      <sheetName val="[Spt-BH.xls][Spt-BH_xls]B__2163"/>
      <sheetName val="[Spt-BH.xls][Spt-BH_xls]B__2164"/>
      <sheetName val="[Spt-BH.xls][Spt-BH_xls]_Sp_711"/>
      <sheetName val="[Spt-BH.xls][Spt-BH_xls]B__2165"/>
      <sheetName val="[Spt-BH.xls][Spt-BH_xls]B__2166"/>
      <sheetName val="[Spt-BH.xls][Spt-BH_xls]B__2167"/>
      <sheetName val="[Spt-BH.xls][Spt-BH_xls]B__2168"/>
      <sheetName val="[Spt-BH.xls][Spt-BH_xls]_Sp_712"/>
      <sheetName val="[Spt-BH.xls][Spt-BH_xls]B__2169"/>
      <sheetName val="[Spt-BH.xls][Spt-BH_xls]B__2170"/>
      <sheetName val="[Spt-BH.xls][Spt-BH_xls]_Sp_713"/>
      <sheetName val="[Spt-BH.xls][Spt-BH_xls]B__2171"/>
      <sheetName val="[Spt-BH.xls][Spt-BH_xls]B__2172"/>
      <sheetName val="[Spt-BH.xls][Spt-BH_xls]_Sp_714"/>
      <sheetName val="[Spt-BH.xls][Spt-BH.xls]B__2149"/>
      <sheetName val="[Spt-BH.xls][Spt-BH.xls]B__2150"/>
      <sheetName val="[Spt-BH.xls][Spt-BH.xls]_Sp_756"/>
      <sheetName val="[Spt-BH.xls][Spt-BH.xls]B__2151"/>
      <sheetName val="[Spt-BH.xls][Spt-BH.xls]B__2152"/>
      <sheetName val="[Spt-BH.xls][Spt-BH.xls]B__2153"/>
      <sheetName val="[Spt-BH.xls][Spt-BH.xls]_Sp_755"/>
      <sheetName val="[Spt-BH.xls][Spt-BH.xls]B__2154"/>
      <sheetName val="[Spt-BH.xls][Spt-BH.xls]B__2090"/>
      <sheetName val="[Spt-BH.xls][Spt-BH.xls]B__2091"/>
      <sheetName val="[Spt-BH.xls][Spt-BH.xls]_Sp_739"/>
      <sheetName val="[Spt-BH.xls][Spt-BH.xls]B__2092"/>
      <sheetName val="[Spt-BH.xls][Spt-BH.xls]B__2093"/>
      <sheetName val="[Spt-BH.xls][Spt-BH.xls]B__2103"/>
      <sheetName val="[Spt-BH.xls][Spt-BH.xls]B__2104"/>
      <sheetName val="[Spt-BH.xls][Spt-BH.xls]_Sp_743"/>
      <sheetName val="[Spt-BH.xls][Spt-BH.xls]B__2105"/>
      <sheetName val="[Spt-BH.xls][Spt-BH.xls]B__2106"/>
      <sheetName val="[Spt-BH.xls]B____x005f_x0004______173"/>
      <sheetName val="[Spt-BH.xls]B___x005f_x0000__x000_170"/>
      <sheetName val="[Spt-BH.xls][Spt-BH.xls]B__2107"/>
      <sheetName val="[Spt-BH.xls][Spt-BH.xls]B__2108"/>
      <sheetName val="[Spt-BH.xls][Spt-BH.xls]_Sp_735"/>
      <sheetName val="[Spt-BH.xls][Spt-BH.xls]B__2094"/>
      <sheetName val="[Spt-BH.xls][Spt-BH.xls]B__2095"/>
      <sheetName val="[Spt-BH.xls][Spt-BH.xls]B__2096"/>
      <sheetName val="[Spt-BH.xls][Spt-BH.xls]_Sp_736"/>
      <sheetName val="[Spt-BH.xls][Spt-BH.xls]_Sp_740"/>
      <sheetName val="[Spt-BH.xls][Spt-BH_xls]B__2083"/>
      <sheetName val="[Spt-BH.xls][Spt-BH_xls]B__2084"/>
      <sheetName val="[Spt-BH.xls][Spt-BH_xls]B__2085"/>
      <sheetName val="[Spt-BH.xls][Spt-BH_xls]B__2086"/>
      <sheetName val="[Spt-BH.xls][Spt-BH_xls]_Sp_685"/>
      <sheetName val="[Spt-BH.xls][Spt-BH_xls]B__2087"/>
      <sheetName val="[Spt-BH.xls][Spt-BH_xls]B__2088"/>
      <sheetName val="[Spt-BH.xls][Spt-BH_xls]B__2089"/>
      <sheetName val="[Spt-BH.xls][Spt-BH_xls]_Sp_686"/>
      <sheetName val="[Spt-BH.xls][Spt-BH_xls]B__2090"/>
      <sheetName val="[Spt-BH.xls][Spt-BH_xls]B__2091"/>
      <sheetName val="[Spt-BH.xls][Spt-BH_xls]B__2092"/>
      <sheetName val="[Spt-BH.xls][Spt-BH_xls]B__2093"/>
      <sheetName val="[Spt-BH.xls][Spt-BH_xls]_Sp_687"/>
      <sheetName val="[Spt-BH.xls][Spt-BH_xls]B__2094"/>
      <sheetName val="[Spt-BH.xls][Spt-BH_xls]B__2095"/>
      <sheetName val="[Spt-BH.xls][Spt-BH_xls]_Sp_688"/>
      <sheetName val="[Spt-BH.xls][Spt-BH_xls]B__2096"/>
      <sheetName val="[Spt-BH.xls][Spt-BH_xls]B__2097"/>
      <sheetName val="[Spt-BH.xls][Spt-BH_xls]_Sp_689"/>
      <sheetName val="[Spt-BH.xls][Spt-BH.xls]B__1753"/>
      <sheetName val="[Spt-BH.xls][Spt-BH.xls]B__1754"/>
      <sheetName val="[Spt-BH.xls][Spt-BH.xls]B__1755"/>
      <sheetName val="[Spt-BH.xls][Spt-BH.xls]B__1756"/>
      <sheetName val="[Spt-BH.xls][Spt-BH.xls]B__1757"/>
      <sheetName val="[Spt-BH.xls][Spt-BH.xls]B__1758"/>
      <sheetName val="[Spt-BH.xls][Spt-BH.xls]B__1727"/>
      <sheetName val="[Spt-BH.xls][Spt-BH.xls]B__1728"/>
      <sheetName val="[Spt-BH.xls][Spt-BH.xls]B__1729"/>
      <sheetName val="[Spt-BH.xls][Spt-BH.xls]B__1730"/>
      <sheetName val="[Spt-BH.xls]B____x005f_x0004______147"/>
      <sheetName val="[Spt-BH.xls]B___x005f_x0000__x000_144"/>
      <sheetName val="[Spt-BH.xls][Spt-BH.xls]B__1731"/>
      <sheetName val="[Spt-BH.xls][Spt-BH.xls]B__1732"/>
      <sheetName val="[Spt-BH.xls][Spt-BH_xls]B__1708"/>
      <sheetName val="[Spt-BH.xls][Spt-BH_xls]B__1709"/>
      <sheetName val="[Spt-BH.xls][Spt-BH_xls]B__1710"/>
      <sheetName val="[Spt-BH.xls][Spt-BH_xls]B__1711"/>
      <sheetName val="[Spt-BH.xls][Spt-BH_xls]_Sp_560"/>
      <sheetName val="[Spt-BH.xls][Spt-BH_xls]B__1712"/>
      <sheetName val="[Spt-BH.xls][Spt-BH_xls]B__1713"/>
      <sheetName val="[Spt-BH.xls][Spt-BH_xls]B__1714"/>
      <sheetName val="[Spt-BH.xls][Spt-BH_xls]_Sp_561"/>
      <sheetName val="[Spt-BH.xls][Spt-BH_xls]B__1715"/>
      <sheetName val="[Spt-BH.xls][Spt-BH_xls]B__1716"/>
      <sheetName val="[Spt-BH.xls][Spt-BH_xls]B__1717"/>
      <sheetName val="[Spt-BH.xls][Spt-BH_xls]B__1718"/>
      <sheetName val="[Spt-BH.xls][Spt-BH_xls]_Sp_562"/>
      <sheetName val="[Spt-BH.xls][Spt-BH_xls]B__1719"/>
      <sheetName val="[Spt-BH.xls][Spt-BH_xls]B__1720"/>
      <sheetName val="[Spt-BH.xls][Spt-BH_xls]_Sp_563"/>
      <sheetName val="[Spt-BH.xls][Spt-BH_xls]B__1721"/>
      <sheetName val="[Spt-BH.xls][Spt-BH_xls]B__1722"/>
      <sheetName val="[Spt-BH.xls][Spt-BH_xls]_Sp_564"/>
      <sheetName val="[Spt-BH.xls]B____x005f_x0004______146"/>
      <sheetName val="[Spt-BH.xls]B___x005f_x0000__x000_143"/>
      <sheetName val="[Spt-BH.xls][Spt-BH_xls]B__1693"/>
      <sheetName val="[Spt-BH.xls][Spt-BH_xls]B__1694"/>
      <sheetName val="[Spt-BH.xls][Spt-BH_xls]B__1695"/>
      <sheetName val="[Spt-BH.xls][Spt-BH_xls]B__1696"/>
      <sheetName val="[Spt-BH.xls][Spt-BH_xls]_Sp_555"/>
      <sheetName val="[Spt-BH.xls][Spt-BH_xls]B__1697"/>
      <sheetName val="[Spt-BH.xls][Spt-BH_xls]B__1698"/>
      <sheetName val="[Spt-BH.xls][Spt-BH_xls]B__1699"/>
      <sheetName val="[Spt-BH.xls][Spt-BH_xls]_Sp_556"/>
      <sheetName val="[Spt-BH.xls][Spt-BH_xls]B__1700"/>
      <sheetName val="[Spt-BH.xls][Spt-BH_xls]B__1701"/>
      <sheetName val="[Spt-BH.xls][Spt-BH_xls]B__1702"/>
      <sheetName val="[Spt-BH.xls][Spt-BH_xls]B__1703"/>
      <sheetName val="[Spt-BH.xls][Spt-BH_xls]_Sp_557"/>
      <sheetName val="[Spt-BH.xls][Spt-BH_xls]B__1704"/>
      <sheetName val="[Spt-BH.xls][Spt-BH_xls]B__1705"/>
      <sheetName val="[Spt-BH.xls][Spt-BH_xls]_Sp_558"/>
      <sheetName val="[Spt-BH.xls][Spt-BH_xls]B__1706"/>
      <sheetName val="[Spt-BH.xls][Spt-BH_xls]B__1707"/>
      <sheetName val="[Spt-BH.xls][Spt-BH_xls]_Sp_559"/>
      <sheetName val="[Spt-BH.xls]B____x005f_x0004______145"/>
      <sheetName val="[Spt-BH.xls]B___x005f_x0000__x000_142"/>
      <sheetName val="[Spt-BH.xls][Spt-BH.xls]B__1740"/>
      <sheetName val="[Spt-BH.xls][Spt-BH.xls]B__1741"/>
      <sheetName val="[Spt-BH.xls][Spt-BH.xls]B__1742"/>
      <sheetName val="[Spt-BH.xls][Spt-BH.xls]B__1743"/>
      <sheetName val="[Spt-BH.xls]B____x005f_x0004______150"/>
      <sheetName val="[Spt-BH.xls]B___x005f_x0000__x000_147"/>
      <sheetName val="[Spt-BH.xls][Spt-BH.xls]B__1744"/>
      <sheetName val="[Spt-BH.xls][Spt-BH.xls]B__1745"/>
      <sheetName val="[Spt-BH.xls][Spt-BH.xls]B__1733"/>
      <sheetName val="[Spt-BH.xls][Spt-BH_xls]B__1753"/>
      <sheetName val="[Spt-BH.xls][Spt-BH_xls]B__1754"/>
      <sheetName val="[Spt-BH.xls][Spt-BH_xls]B__1755"/>
      <sheetName val="[Spt-BH.xls][Spt-BH_xls]B__1756"/>
      <sheetName val="[Spt-BH.xls][Spt-BH_xls]_Sp_575"/>
      <sheetName val="[Spt-BH.xls][Spt-BH_xls]B__1757"/>
      <sheetName val="[Spt-BH.xls][Spt-BH_xls]B__1758"/>
      <sheetName val="[Spt-BH.xls][Spt-BH_xls]B__1759"/>
      <sheetName val="[Spt-BH.xls][Spt-BH_xls]_Sp_576"/>
      <sheetName val="[Spt-BH.xls][Spt-BH_xls]B__1760"/>
      <sheetName val="[Spt-BH.xls][Spt-BH_xls]B__1761"/>
      <sheetName val="[Spt-BH.xls][Spt-BH_xls]B__1762"/>
      <sheetName val="[Spt-BH.xls][Spt-BH_xls]B__1763"/>
      <sheetName val="[Spt-BH.xls][Spt-BH_xls]_Sp_577"/>
      <sheetName val="[Spt-BH.xls][Spt-BH_xls]B__1764"/>
      <sheetName val="[Spt-BH.xls][Spt-BH_xls]B__1765"/>
      <sheetName val="[Spt-BH.xls][Spt-BH_xls]_Sp_578"/>
      <sheetName val="[Spt-BH.xls][Spt-BH_xls]B__1766"/>
      <sheetName val="[Spt-BH.xls][Spt-BH_xls]B__1767"/>
      <sheetName val="[Spt-BH.xls][Spt-BH_xls]_Sp_579"/>
      <sheetName val="[Spt-BH.xls]B____x005f_x0004______148"/>
      <sheetName val="[Spt-BH.xls]B___x005f_x0000__x000_145"/>
      <sheetName val="[Spt-BH.xls][Spt-BH_xls]B__1723"/>
      <sheetName val="[Spt-BH.xls][Spt-BH_xls]B__1724"/>
      <sheetName val="[Spt-BH.xls][Spt-BH_xls]B__1725"/>
      <sheetName val="[Spt-BH.xls][Spt-BH_xls]B__1726"/>
      <sheetName val="[Spt-BH.xls][Spt-BH_xls]_Sp_565"/>
      <sheetName val="[Spt-BH.xls][Spt-BH_xls]B__1727"/>
      <sheetName val="[Spt-BH.xls][Spt-BH_xls]B__1728"/>
      <sheetName val="[Spt-BH.xls][Spt-BH_xls]B__1729"/>
      <sheetName val="[Spt-BH.xls][Spt-BH_xls]_Sp_566"/>
      <sheetName val="[Spt-BH.xls][Spt-BH_xls]B__1730"/>
      <sheetName val="[Spt-BH.xls][Spt-BH_xls]B__1731"/>
      <sheetName val="[Spt-BH.xls][Spt-BH_xls]B__1732"/>
      <sheetName val="[Spt-BH.xls][Spt-BH_xls]B__1733"/>
      <sheetName val="[Spt-BH.xls][Spt-BH_xls]_Sp_567"/>
      <sheetName val="[Spt-BH.xls][Spt-BH_xls]B__1734"/>
      <sheetName val="[Spt-BH.xls][Spt-BH_xls]B__1735"/>
      <sheetName val="[Spt-BH.xls][Spt-BH_xls]_Sp_568"/>
      <sheetName val="[Spt-BH.xls][Spt-BH_xls]B__1736"/>
      <sheetName val="[Spt-BH.xls][Spt-BH_xls]B__1737"/>
      <sheetName val="[Spt-BH.xls][Spt-BH_xls]_Sp_569"/>
      <sheetName val="[Spt-BH.xls][Spt-BH.xls]B__1723"/>
      <sheetName val="[Spt-BH.xls][Spt-BH.xls]B__1724"/>
      <sheetName val="[Spt-BH.xls][Spt-BH.xls]B__1725"/>
      <sheetName val="[Spt-BH.xls]B____x005f_x0004______149"/>
      <sheetName val="[Spt-BH.xls]B___x005f_x0000__x000_146"/>
      <sheetName val="[Spt-BH.xls][Spt-BH.xls]B__1726"/>
      <sheetName val="[Spt-BH.xls][Spt-BH_xls]B__1738"/>
      <sheetName val="[Spt-BH.xls][Spt-BH_xls]B__1739"/>
      <sheetName val="[Spt-BH.xls][Spt-BH_xls]B__1740"/>
      <sheetName val="[Spt-BH.xls][Spt-BH_xls]B__1741"/>
      <sheetName val="[Spt-BH.xls][Spt-BH_xls]_Sp_570"/>
      <sheetName val="[Spt-BH.xls][Spt-BH_xls]B__1742"/>
      <sheetName val="[Spt-BH.xls][Spt-BH_xls]B__1743"/>
      <sheetName val="[Spt-BH.xls][Spt-BH_xls]B__1744"/>
      <sheetName val="[Spt-BH.xls][Spt-BH_xls]_Sp_571"/>
      <sheetName val="[Spt-BH.xls][Spt-BH_xls]B__1745"/>
      <sheetName val="[Spt-BH.xls][Spt-BH_xls]B__1746"/>
      <sheetName val="[Spt-BH.xls][Spt-BH_xls]B__1747"/>
      <sheetName val="[Spt-BH.xls][Spt-BH_xls]B__1748"/>
      <sheetName val="[Spt-BH.xls][Spt-BH_xls]_Sp_572"/>
      <sheetName val="[Spt-BH.xls][Spt-BH_xls]B__1749"/>
      <sheetName val="[Spt-BH.xls][Spt-BH_xls]B__1750"/>
      <sheetName val="[Spt-BH.xls][Spt-BH_xls]_Sp_573"/>
      <sheetName val="[Spt-BH.xls][Spt-BH_xls]B__1751"/>
      <sheetName val="[Spt-BH.xls][Spt-BH_xls]B__1752"/>
      <sheetName val="[Spt-BH.xls][Spt-BH_xls]_Sp_574"/>
      <sheetName val="[Spt-BH.xls][Spt-BH.xls]B__1734"/>
      <sheetName val="[Spt-BH.xls][Spt-BH.xls]B__1735"/>
      <sheetName val="[Spt-BH.xls][Spt-BH.xls]B__1736"/>
      <sheetName val="[Spt-BH.xls][Spt-BH.xls]B__1737"/>
      <sheetName val="[Spt-BH.xls][Spt-BH.xls]B__1738"/>
      <sheetName val="[Spt-BH.xls][Spt-BH.xls]B__1739"/>
      <sheetName val="[Spt-BH.xls][Spt-BH.xls]B__1746"/>
      <sheetName val="[Spt-BH.xls][Spt-BH.xls]B__1747"/>
      <sheetName val="[Spt-BH.xls][Spt-BH.xls]B__1748"/>
      <sheetName val="[Spt-BH.xls][Spt-BH.xls]B__1749"/>
      <sheetName val="[Spt-BH.xls][Spt-BH.xls]B__1750"/>
      <sheetName val="[Spt-BH.xls][Spt-BH.xls]B__1751"/>
      <sheetName val="[Spt-BH.xls]B____x005f_x0004______151"/>
      <sheetName val="[Spt-BH.xls]B___x005f_x0000__x000_148"/>
      <sheetName val="[Spt-BH.xls][Spt-BH.xls]B__1752"/>
      <sheetName val="[Spt-BH.xls][Spt-BH_xls]B__1768"/>
      <sheetName val="[Spt-BH.xls][Spt-BH_xls]B__1769"/>
      <sheetName val="[Spt-BH.xls][Spt-BH_xls]B__1770"/>
      <sheetName val="[Spt-BH.xls][Spt-BH_xls]B__1771"/>
      <sheetName val="[Spt-BH.xls][Spt-BH_xls]_Sp_580"/>
      <sheetName val="[Spt-BH.xls][Spt-BH_xls]B__1772"/>
      <sheetName val="[Spt-BH.xls][Spt-BH_xls]B__1773"/>
      <sheetName val="[Spt-BH.xls][Spt-BH_xls]B__1774"/>
      <sheetName val="[Spt-BH.xls][Spt-BH_xls]_Sp_581"/>
      <sheetName val="[Spt-BH.xls][Spt-BH_xls]B__1775"/>
      <sheetName val="[Spt-BH.xls][Spt-BH_xls]B__1776"/>
      <sheetName val="[Spt-BH.xls][Spt-BH_xls]B__1777"/>
      <sheetName val="[Spt-BH.xls][Spt-BH_xls]B__1778"/>
      <sheetName val="[Spt-BH.xls][Spt-BH_xls]_Sp_582"/>
      <sheetName val="[Spt-BH.xls][Spt-BH_xls]B__1779"/>
      <sheetName val="[Spt-BH.xls][Spt-BH_xls]B__1780"/>
      <sheetName val="[Spt-BH.xls][Spt-BH_xls]_Sp_583"/>
      <sheetName val="[Spt-BH.xls][Spt-BH_xls]B__1781"/>
      <sheetName val="[Spt-BH.xls][Spt-BH_xls]B__1782"/>
      <sheetName val="[Spt-BH.xls][Spt-BH_xls]_Sp_584"/>
      <sheetName val="[Spt-BH.xls][Spt-BH.xls]B__1772"/>
      <sheetName val="[Spt-BH.xls][Spt-BH.xls]B__1773"/>
      <sheetName val="[Spt-BH.xls][Spt-BH.xls]_Sp_613"/>
      <sheetName val="[Spt-BH.xls][Spt-BH.xls]B__1774"/>
      <sheetName val="[Spt-BH.xls][Spt-BH.xls]B__1775"/>
      <sheetName val="[Spt-BH.xls]B____x005f_x0004______152"/>
      <sheetName val="[Spt-BH.xls]B___x005f_x0000__x000_149"/>
      <sheetName val="[Spt-BH.xls][Spt-BH.xls]B__1776"/>
      <sheetName val="[Spt-BH.xls][Spt-BH.xls]B__1777"/>
      <sheetName val="[Spt-BH.xls][Spt-BH.xls]B__1759"/>
      <sheetName val="[Spt-BH.xls][Spt-BH.xls]_Sp_612"/>
      <sheetName val="[Spt-BH.xls][Spt-BH_xls]B__1783"/>
      <sheetName val="[Spt-BH.xls][Spt-BH_xls]B__1784"/>
      <sheetName val="[Spt-BH.xls][Spt-BH_xls]B__1785"/>
      <sheetName val="[Spt-BH.xls][Spt-BH_xls]B__1786"/>
      <sheetName val="[Spt-BH.xls][Spt-BH_xls]_Sp_585"/>
      <sheetName val="[Spt-BH.xls][Spt-BH_xls]B__1787"/>
      <sheetName val="[Spt-BH.xls][Spt-BH_xls]B__1788"/>
      <sheetName val="[Spt-BH.xls][Spt-BH_xls]B__1789"/>
      <sheetName val="[Spt-BH.xls][Spt-BH_xls]_Sp_586"/>
      <sheetName val="[Spt-BH.xls][Spt-BH_xls]B__1790"/>
      <sheetName val="[Spt-BH.xls][Spt-BH_xls]B__1791"/>
      <sheetName val="[Spt-BH.xls][Spt-BH_xls]B__1792"/>
      <sheetName val="[Spt-BH.xls][Spt-BH_xls]B__1793"/>
      <sheetName val="[Spt-BH.xls][Spt-BH_xls]_Sp_587"/>
      <sheetName val="[Spt-BH.xls][Spt-BH_xls]B__1794"/>
      <sheetName val="[Spt-BH.xls][Spt-BH_xls]B__1795"/>
      <sheetName val="[Spt-BH.xls][Spt-BH_xls]_Sp_588"/>
      <sheetName val="[Spt-BH.xls][Spt-BH_xls]B__1796"/>
      <sheetName val="[Spt-BH.xls][Spt-BH_xls]B__1797"/>
      <sheetName val="[Spt-BH.xls][Spt-BH_xls]_Sp_589"/>
      <sheetName val="[Spt-BH.xls][Spt-BH.xls]B__1766"/>
      <sheetName val="[Spt-BH.xls][Spt-BH.xls]B__1767"/>
      <sheetName val="[Spt-BH.xls][Spt-BH.xls]B__1768"/>
      <sheetName val="[Spt-BH.xls][Spt-BH.xls]B__1769"/>
      <sheetName val="[Spt-BH.xls][Spt-BH.xls]B__1770"/>
      <sheetName val="[Spt-BH.xls][Spt-BH.xls]B__1771"/>
      <sheetName val="[Spt-BH.xls][Spt-BH.xls]B__1760"/>
      <sheetName val="[Spt-BH.xls][Spt-BH.xls]B__1761"/>
      <sheetName val="[Spt-BH.xls][Spt-BH.xls]B__1762"/>
      <sheetName val="[Spt-BH.xls][Spt-BH.xls]B__1763"/>
      <sheetName val="[Spt-BH.xls][Spt-BH.xls]B__1764"/>
      <sheetName val="[Spt-BH.xls][Spt-BH.xls]B__1765"/>
      <sheetName val="[Spt-BH.xls][Spt-BH.xls]_Sp_614"/>
      <sheetName val="[Spt-BH.xls][Spt-BH.xls]B__1778"/>
      <sheetName val="[Spt-BH.xls][Spt-BH.xls]B__1779"/>
      <sheetName val="[Spt-BH.xls][Spt-BH.xls]_Sp_616"/>
      <sheetName val="[Spt-BH.xls][Spt-BH.xls]B__1780"/>
      <sheetName val="[Spt-BH.xls][Spt-BH.xls]B__1781"/>
      <sheetName val="[Spt-BH.xls][Spt-BH.xls]B__1782"/>
      <sheetName val="[Spt-BH.xls][Spt-BH.xls]B__1783"/>
      <sheetName val="[Spt-BH.xls][Spt-BH.xls]_Sp_615"/>
      <sheetName val="[Spt-BH.xls][Spt-BH.xls]_Sp_617"/>
      <sheetName val="[Spt-BH.xls][Spt-BH.xls]B__1784"/>
      <sheetName val="[Spt-BH.xls][Spt-BH.xls]B__1785"/>
      <sheetName val="[Spt-BH.xls][Spt-BH.xls]_Sp_619"/>
      <sheetName val="[Spt-BH.xls][Spt-BH.xls]B__1786"/>
      <sheetName val="[Spt-BH.xls][Spt-BH.xls]B__1787"/>
      <sheetName val="[Spt-BH.xls][Spt-BH.xls]B__1788"/>
      <sheetName val="[Spt-BH.xls][Spt-BH.xls]B__1789"/>
      <sheetName val="[Spt-BH.xls][Spt-BH.xls]_Sp_618"/>
      <sheetName val="[Spt-BH.xls][Spt-BH.xls]B__1867"/>
      <sheetName val="[Spt-BH.xls][Spt-BH.xls]B__1874"/>
      <sheetName val="[Spt-BH.xls][Spt-BH.xls]B__1875"/>
      <sheetName val="[Spt-BH.xls][Spt-BH.xls]_Sp_662"/>
      <sheetName val="[Spt-BH.xls][Spt-BH.xls]B__1876"/>
      <sheetName val="[Spt-BH.xls][Spt-BH.xls]B__1877"/>
      <sheetName val="[Spt-BH.xls]B____x005f_x0004______159"/>
      <sheetName val="[Spt-BH.xls][Spt-BH.xls]_Sp_658"/>
      <sheetName val="[Spt-BH.xls][Spt-BH.xls]B__1868"/>
      <sheetName val="[Spt-BH.xls][Spt-BH.xls]_Sp_660"/>
      <sheetName val="[Spt-BH.xls][Spt-BH.xls]B__1869"/>
      <sheetName val="[Spt-BH.xls][Spt-BH.xls]B__1870"/>
      <sheetName val="[Spt-BH.xls][Spt-BH.xls]B__1871"/>
      <sheetName val="[Spt-BH.xls]B___x005f_x0000__x000_156"/>
      <sheetName val="[Spt-BH.xls][Spt-BH.xls]B__1878"/>
      <sheetName val="[Spt-BH.xls][Spt-BH.xls]B__1879"/>
      <sheetName val="[Spt-BH.xls][Spt-BH.xls]B__1872"/>
      <sheetName val="[Spt-BH.xls][Spt-BH.xls]B__1873"/>
      <sheetName val="[Spt-BH.xls][Spt-BH.xls]_Sp_661"/>
      <sheetName val="[Spt-BH.xls][Spt-BH_xls]B__1858"/>
      <sheetName val="[Spt-BH.xls][Spt-BH_xls]B__1859"/>
      <sheetName val="[Spt-BH.xls][Spt-BH_xls]B__1860"/>
      <sheetName val="[Spt-BH.xls][Spt-BH_xls]B__1861"/>
      <sheetName val="[Spt-BH.xls][Spt-BH_xls]_Sp_610"/>
      <sheetName val="[Spt-BH.xls][Spt-BH_xls]B__1862"/>
      <sheetName val="[Spt-BH.xls][Spt-BH_xls]B__1863"/>
      <sheetName val="[Spt-BH.xls][Spt-BH_xls]B__1864"/>
      <sheetName val="[Spt-BH.xls][Spt-BH_xls]_Sp_611"/>
      <sheetName val="[Spt-BH.xls][Spt-BH_xls]B__1865"/>
      <sheetName val="[Spt-BH.xls][Spt-BH_xls]B__1866"/>
      <sheetName val="[Spt-BH.xls][Spt-BH_xls]B__1867"/>
      <sheetName val="[Spt-BH.xls][Spt-BH_xls]B__1868"/>
      <sheetName val="[Spt-BH.xls][Spt-BH_xls]_Sp_612"/>
      <sheetName val="[Spt-BH.xls][Spt-BH.xls]_Sp_659"/>
      <sheetName val="[Spt-BH.xls][Spt-BH_xls]B__1869"/>
      <sheetName val="[Spt-BH.xls][Spt-BH_xls]B__1870"/>
      <sheetName val="[Spt-BH.xls][Spt-BH_xls]_Sp_613"/>
      <sheetName val="[Spt-BH.xls][Spt-BH_xls]B__1871"/>
      <sheetName val="[Spt-BH.xls][Spt-BH_xls]B__1872"/>
      <sheetName val="[Spt-BH.xls][Spt-BH_xls]_Sp_614"/>
      <sheetName val="[Spt-BH.xls][Spt-BH.xls]_Sp_620"/>
      <sheetName val="[Spt-BH.xls][Spt-BH.xls]_Sp_627"/>
      <sheetName val="[Spt-BH.xls][Spt-BH.xls]_Sp_622"/>
      <sheetName val="[Spt-BH.xls][Spt-BH.xls]_Sp_623"/>
      <sheetName val="[Spt-BH.xls][Spt-BH.xls]_Sp_621"/>
      <sheetName val="[Spt-BH.xls][Spt-BH.xls]_Sp_629"/>
      <sheetName val="[Spt-BH.xls][Spt-BH.xls]B__1790"/>
      <sheetName val="[Spt-BH.xls][Spt-BH.xls]B__1791"/>
      <sheetName val="[Spt-BH.xls][Spt-BH.xls]_Sp_628"/>
      <sheetName val="[Spt-BH.xls][Spt-BH.xls]_Sp_624"/>
      <sheetName val="[Spt-BH.xls][Spt-BH.xls]_Sp_625"/>
      <sheetName val="[Spt-BH.xls][Spt-BH.xls]_Sp_626"/>
      <sheetName val="[Spt-BH.xls][Spt-BH.xls]_Sp_630"/>
      <sheetName val="[Spt-BH.xls][Spt-BH.xls]B__1792"/>
      <sheetName val="[Spt-BH.xls][Spt-BH.xls]B__1793"/>
      <sheetName val="[Spt-BH.xls][Spt-BH.xls]_Sp_632"/>
      <sheetName val="[Spt-BH.xls][Spt-BH.xls]B__1794"/>
      <sheetName val="[Spt-BH.xls][Spt-BH.xls]B__1795"/>
      <sheetName val="[Spt-BH.xls][Spt-BH.xls]_Sp_631"/>
      <sheetName val="[Spt-BH.xls][Spt-BH.xls]_Sp_633"/>
      <sheetName val="[Spt-BH.xls][Spt-BH.xls]B__1803"/>
      <sheetName val="[Spt-BH.xls][Spt-BH.xls]B__1810"/>
      <sheetName val="[Spt-BH.xls][Spt-BH.xls]B__1811"/>
      <sheetName val="[Spt-BH.xls][Spt-BH.xls]_Sp_640"/>
      <sheetName val="[Spt-BH.xls][Spt-BH.xls]B__1812"/>
      <sheetName val="[Spt-BH.xls][Spt-BH.xls]B__1813"/>
      <sheetName val="[Spt-BH.xls]B____x005f_x0004______154"/>
      <sheetName val="[Spt-BH.xls][Spt-BH.xls]_Sp_636"/>
      <sheetName val="[Spt-BH.xls][Spt-BH.xls]B__1804"/>
      <sheetName val="[Spt-BH.xls][Spt-BH.xls]_Sp_638"/>
      <sheetName val="[Spt-BH.xls][Spt-BH.xls]B__1805"/>
      <sheetName val="[Spt-BH.xls][Spt-BH.xls]B__1806"/>
      <sheetName val="[Spt-BH.xls][Spt-BH.xls]B__1807"/>
      <sheetName val="[Spt-BH.xls]B___x005f_x0000__x000_151"/>
      <sheetName val="[Spt-BH.xls][Spt-BH.xls]B__1814"/>
      <sheetName val="[Spt-BH.xls][Spt-BH.xls]B__1815"/>
      <sheetName val="[Spt-BH.xls][Spt-BH.xls]B__1808"/>
      <sheetName val="[Spt-BH.xls][Spt-BH.xls]B__1809"/>
      <sheetName val="[Spt-BH.xls][Spt-BH.xls]_Sp_639"/>
      <sheetName val="[Spt-BH.xls][Spt-BH_xls]B__1798"/>
      <sheetName val="[Spt-BH.xls][Spt-BH_xls]B__1799"/>
      <sheetName val="[Spt-BH.xls][Spt-BH_xls]B__1800"/>
      <sheetName val="[Spt-BH.xls][Spt-BH_xls]B__1801"/>
      <sheetName val="[Spt-BH.xls][Spt-BH_xls]_Sp_590"/>
      <sheetName val="[Spt-BH.xls][Spt-BH_xls]B__1802"/>
      <sheetName val="[Spt-BH.xls][Spt-BH_xls]B__1803"/>
      <sheetName val="[Spt-BH.xls][Spt-BH_xls]B__1804"/>
      <sheetName val="[Spt-BH.xls][Spt-BH_xls]_Sp_591"/>
      <sheetName val="[Spt-BH.xls][Spt-BH_xls]B__1805"/>
      <sheetName val="[Spt-BH.xls][Spt-BH_xls]B__1806"/>
      <sheetName val="[Spt-BH.xls][Spt-BH_xls]B__1807"/>
      <sheetName val="[Spt-BH.xls][Spt-BH_xls]B__1808"/>
      <sheetName val="[Spt-BH.xls][Spt-BH_xls]_Sp_592"/>
      <sheetName val="[Spt-BH.xls][Spt-BH.xls]_Sp_637"/>
      <sheetName val="[Spt-BH.xls][Spt-BH_xls]B__1809"/>
      <sheetName val="[Spt-BH.xls][Spt-BH_xls]B__1810"/>
      <sheetName val="[Spt-BH.xls][Spt-BH_xls]_Sp_593"/>
      <sheetName val="[Spt-BH.xls][Spt-BH_xls]B__1811"/>
      <sheetName val="[Spt-BH.xls][Spt-BH_xls]B__1812"/>
      <sheetName val="[Spt-BH.xls][Spt-BH_xls]_Sp_594"/>
      <sheetName val="[Spt-BH.xls][Spt-BH.xls]B__1796"/>
      <sheetName val="[Spt-BH.xls]B____x005f_x0004______153"/>
      <sheetName val="[Spt-BH.xls][Spt-BH.xls]_Sp_634"/>
      <sheetName val="[Spt-BH.xls][Spt-BH.xls]B__1797"/>
      <sheetName val="[Spt-BH.xls][Spt-BH.xls]B__1798"/>
      <sheetName val="[Spt-BH.xls][Spt-BH.xls]B__1799"/>
      <sheetName val="[Spt-BH.xls][Spt-BH.xls]B__1800"/>
      <sheetName val="[Spt-BH.xls]B___x005f_x0000__x000_150"/>
      <sheetName val="[Spt-BH.xls][Spt-BH.xls]B__1801"/>
      <sheetName val="[Spt-BH.xls][Spt-BH.xls]B__1802"/>
      <sheetName val="[Spt-BH.xls][Spt-BH.xls]_Sp_635"/>
      <sheetName val="[Spt-BH.xls][Spt-BH.xls]B__1817"/>
      <sheetName val="[Spt-BH.xls][Spt-BH.xls]B__1818"/>
      <sheetName val="[Spt-BH.xls][Spt-BH.xls]_Sp_642"/>
      <sheetName val="[Spt-BH.xls][Spt-BH.xls]B__1819"/>
      <sheetName val="[Spt-BH.xls][Spt-BH.xls]B__1820"/>
      <sheetName val="[Spt-BH.xls]B____x005f_x0004______155"/>
      <sheetName val="[Spt-BH.xls]B___x005f_x0000__x000_152"/>
      <sheetName val="[Spt-BH.xls][Spt-BH.xls]B__1821"/>
      <sheetName val="[Spt-BH.xls][Spt-BH.xls]B__1822"/>
      <sheetName val="[Spt-BH.xls][Spt-BH.xls]B__1816"/>
      <sheetName val="[Spt-BH.xls][Spt-BH.xls]_Sp_641"/>
      <sheetName val="[Spt-BH.xls][Spt-BH_xls]B__1813"/>
      <sheetName val="[Spt-BH.xls][Spt-BH_xls]B__1814"/>
      <sheetName val="[Spt-BH.xls][Spt-BH_xls]B__1815"/>
      <sheetName val="[Spt-BH.xls][Spt-BH_xls]B__1816"/>
      <sheetName val="[Spt-BH.xls][Spt-BH_xls]_Sp_595"/>
      <sheetName val="[Spt-BH.xls][Spt-BH_xls]B__1817"/>
      <sheetName val="[Spt-BH.xls][Spt-BH_xls]B__1818"/>
      <sheetName val="[Spt-BH.xls][Spt-BH_xls]B__1819"/>
      <sheetName val="[Spt-BH.xls][Spt-BH_xls]_Sp_596"/>
      <sheetName val="[Spt-BH.xls][Spt-BH_xls]B__1820"/>
      <sheetName val="[Spt-BH.xls][Spt-BH_xls]B__1821"/>
      <sheetName val="[Spt-BH.xls][Spt-BH_xls]B__1822"/>
      <sheetName val="[Spt-BH.xls][Spt-BH_xls]B__1823"/>
      <sheetName val="[Spt-BH.xls][Spt-BH_xls]_Sp_597"/>
      <sheetName val="[Spt-BH.xls][Spt-BH_xls]B__1824"/>
      <sheetName val="[Spt-BH.xls][Spt-BH_xls]B__1825"/>
      <sheetName val="[Spt-BH.xls][Spt-BH_xls]_Sp_598"/>
      <sheetName val="[Spt-BH.xls][Spt-BH_xls]B__1826"/>
      <sheetName val="[Spt-BH.xls][Spt-BH_xls]B__1827"/>
      <sheetName val="[Spt-BH.xls][Spt-BH_xls]_Sp_599"/>
      <sheetName val="[Spt-BH.xls][Spt-BH.xls]B__1824"/>
      <sheetName val="[Spt-BH.xls][Spt-BH.xls]B__1825"/>
      <sheetName val="[Spt-BH.xls][Spt-BH.xls]_Sp_643"/>
      <sheetName val="[Spt-BH.xls][Spt-BH.xls]B__1826"/>
      <sheetName val="[Spt-BH.xls][Spt-BH.xls]B__1827"/>
      <sheetName val="[Spt-BH.xls]B____x005f_x0004______156"/>
      <sheetName val="[Spt-BH.xls]B___x005f_x0000__x000_153"/>
      <sheetName val="[Spt-BH.xls][Spt-BH.xls]B__1828"/>
      <sheetName val="[Spt-BH.xls][Spt-BH.xls]B__1829"/>
      <sheetName val="[Spt-BH.xls][Spt-BH.xls]B__1823"/>
      <sheetName val="[Spt-BH.xls][Spt-BH.xls]B__1830"/>
      <sheetName val="[Spt-BH.xls][Spt-BH.xls]B__1831"/>
      <sheetName val="[Spt-BH.xls][Spt-BH.xls]_Sp_648"/>
      <sheetName val="[Spt-BH.xls][Spt-BH.xls]B__1832"/>
      <sheetName val="[Spt-BH.xls][Spt-BH.xls]B__1833"/>
      <sheetName val="[Spt-BH.xls][Spt-BH.xls]B__1842"/>
      <sheetName val="[Spt-BH.xls][Spt-BH.xls]B__1843"/>
      <sheetName val="[Spt-BH.xls][Spt-BH.xls]_Sp_652"/>
      <sheetName val="[Spt-BH.xls][Spt-BH.xls]B__1844"/>
      <sheetName val="[Spt-BH.xls][Spt-BH.xls]B__1845"/>
      <sheetName val="[Spt-BH.xls]B____x005f_x0004______157"/>
      <sheetName val="[Spt-BH.xls][Spt-BH.xls]B__1835"/>
      <sheetName val="[Spt-BH.xls][Spt-BH.xls]B__1836"/>
      <sheetName val="[Spt-BH.xls][Spt-BH.xls]_Sp_650"/>
      <sheetName val="[Spt-BH.xls][Spt-BH.xls]B__1837"/>
      <sheetName val="[Spt-BH.xls][Spt-BH.xls]B__1838"/>
      <sheetName val="[Spt-BH.xls][Spt-BH.xls]B__1839"/>
      <sheetName val="[Spt-BH.xls]B___x005f_x0000__x000_154"/>
      <sheetName val="[Spt-BH.xls][Spt-BH.xls]B__1846"/>
      <sheetName val="[Spt-BH.xls][Spt-BH.xls]B__1847"/>
      <sheetName val="[Spt-BH.xls][Spt-BH.xls]B__1840"/>
      <sheetName val="[Spt-BH.xls][Spt-BH.xls]B__1841"/>
      <sheetName val="[Spt-BH.xls][Spt-BH.xls]_Sp_651"/>
      <sheetName val="[Spt-BH.xls][Spt-BH_xls]B__1828"/>
      <sheetName val="[Spt-BH.xls][Spt-BH_xls]B__1829"/>
      <sheetName val="[Spt-BH.xls][Spt-BH_xls]B__1830"/>
      <sheetName val="[Spt-BH.xls][Spt-BH_xls]B__1831"/>
      <sheetName val="[Spt-BH.xls][Spt-BH_xls]_Sp_600"/>
      <sheetName val="[Spt-BH.xls][Spt-BH_xls]B__1832"/>
      <sheetName val="[Spt-BH.xls][Spt-BH_xls]B__1833"/>
      <sheetName val="[Spt-BH.xls][Spt-BH_xls]B__1834"/>
      <sheetName val="[Spt-BH.xls][Spt-BH_xls]_Sp_601"/>
      <sheetName val="[Spt-BH.xls][Spt-BH_xls]B__1835"/>
      <sheetName val="[Spt-BH.xls][Spt-BH_xls]B__1836"/>
      <sheetName val="[Spt-BH.xls][Spt-BH_xls]B__1837"/>
      <sheetName val="[Spt-BH.xls][Spt-BH_xls]B__1838"/>
      <sheetName val="[Spt-BH.xls][Spt-BH_xls]_Sp_602"/>
      <sheetName val="[Spt-BH.xls][Spt-BH.xls]_Sp_649"/>
      <sheetName val="[Spt-BH.xls][Spt-BH_xls]B__1839"/>
      <sheetName val="[Spt-BH.xls][Spt-BH_xls]B__1840"/>
      <sheetName val="[Spt-BH.xls][Spt-BH_xls]_Sp_603"/>
      <sheetName val="[Spt-BH.xls][Spt-BH_xls]B__1841"/>
      <sheetName val="[Spt-BH.xls][Spt-BH_xls]B__1842"/>
      <sheetName val="[Spt-BH.xls][Spt-BH_xls]_Sp_604"/>
      <sheetName val="[Spt-BH.xls][Spt-BH.xls]_Sp_645"/>
      <sheetName val="[Spt-BH.xls][Spt-BH.xls]_Sp_644"/>
      <sheetName val="[Spt-BH.xls][Spt-BH.xls]_Sp_646"/>
      <sheetName val="[Spt-BH.xls][Spt-BH.xls]B__1834"/>
      <sheetName val="[Spt-BH.xls][Spt-BH.xls]_Sp_647"/>
      <sheetName val="[Spt-BH.xls][Spt-BH.xls]B__1848"/>
      <sheetName val="[Spt-BH.xls][Spt-BH.xls]B__1861"/>
      <sheetName val="[Spt-BH.xls][Spt-BH.xls]B__1862"/>
      <sheetName val="[Spt-BH.xls][Spt-BH.xls]B__1863"/>
      <sheetName val="[Spt-BH.xls][Spt-BH.xls]B__1864"/>
      <sheetName val="[Spt-BH.xls]B____x005f_x0004______158"/>
      <sheetName val="[Spt-BH.xls][Spt-BH.xls]B__1849"/>
      <sheetName val="[Spt-BH.xls][Spt-BH.xls]_Sp_656"/>
      <sheetName val="[Spt-BH.xls][Spt-BH.xls]B__1850"/>
      <sheetName val="[Spt-BH.xls][Spt-BH.xls]B__1851"/>
      <sheetName val="[Spt-BH.xls][Spt-BH.xls]B__1852"/>
      <sheetName val="[Spt-BH.xls]B___x005f_x0000__x000_155"/>
      <sheetName val="[Spt-BH.xls][Spt-BH.xls]B__1865"/>
      <sheetName val="[Spt-BH.xls][Spt-BH.xls]B__1866"/>
      <sheetName val="[Spt-BH.xls][Spt-BH.xls]B__1853"/>
      <sheetName val="[Spt-BH.xls][Spt-BH.xls]B__1854"/>
      <sheetName val="[Spt-BH.xls][Spt-BH.xls]_Sp_657"/>
      <sheetName val="[Spt-BH.xls][Spt-BH_xls]B__1843"/>
      <sheetName val="[Spt-BH.xls][Spt-BH_xls]B__1844"/>
      <sheetName val="[Spt-BH.xls][Spt-BH_xls]B__1845"/>
      <sheetName val="[Spt-BH.xls][Spt-BH_xls]B__1846"/>
      <sheetName val="[Spt-BH.xls][Spt-BH_xls]_Sp_605"/>
      <sheetName val="[Spt-BH.xls][Spt-BH_xls]B__1847"/>
      <sheetName val="[Spt-BH.xls][Spt-BH_xls]B__1848"/>
      <sheetName val="[Spt-BH.xls][Spt-BH_xls]B__1849"/>
      <sheetName val="[Spt-BH.xls][Spt-BH_xls]_Sp_606"/>
      <sheetName val="[Spt-BH.xls][Spt-BH_xls]B__1850"/>
      <sheetName val="[Spt-BH.xls][Spt-BH_xls]B__1851"/>
      <sheetName val="[Spt-BH.xls][Spt-BH_xls]B__1852"/>
      <sheetName val="[Spt-BH.xls][Spt-BH_xls]B__1853"/>
      <sheetName val="[Spt-BH.xls][Spt-BH_xls]_Sp_607"/>
      <sheetName val="[Spt-BH.xls][Spt-BH.xls]_Sp_653"/>
      <sheetName val="[Spt-BH.xls][Spt-BH_xls]B__1854"/>
      <sheetName val="[Spt-BH.xls][Spt-BH_xls]B__1855"/>
      <sheetName val="[Spt-BH.xls][Spt-BH_xls]_Sp_608"/>
      <sheetName val="[Spt-BH.xls][Spt-BH_xls]B__1856"/>
      <sheetName val="[Spt-BH.xls][Spt-BH_xls]B__1857"/>
      <sheetName val="[Spt-BH.xls][Spt-BH_xls]_Sp_609"/>
      <sheetName val="[Spt-BH.xls][Spt-BH.xls]B__1855"/>
      <sheetName val="[Spt-BH.xls][Spt-BH.xls]B__1856"/>
      <sheetName val="[Spt-BH.xls][Spt-BH.xls]B__1857"/>
      <sheetName val="[Spt-BH.xls][Spt-BH.xls]B__1858"/>
      <sheetName val="[Spt-BH.xls][Spt-BH.xls]_Sp_654"/>
      <sheetName val="[Spt-BH.xls][Spt-BH.xls]B__1859"/>
      <sheetName val="[Spt-BH.xls][Spt-BH.xls]B__1860"/>
      <sheetName val="[Spt-BH.xls][Spt-BH.xls]_Sp_655"/>
      <sheetName val="[Spt-BH.xls][Spt-BH.xls]B__1881"/>
      <sheetName val="[Spt-BH.xls][Spt-BH.xls]B__1882"/>
      <sheetName val="[Spt-BH.xls][Spt-BH.xls]_Sp_665"/>
      <sheetName val="[Spt-BH.xls][Spt-BH.xls]B__1883"/>
      <sheetName val="[Spt-BH.xls][Spt-BH.xls]B__1884"/>
      <sheetName val="[Spt-BH.xls]B____x005f_x0004______160"/>
      <sheetName val="[Spt-BH.xls]B___x005f_x0000__x000_157"/>
      <sheetName val="[Spt-BH.xls][Spt-BH.xls]B__1885"/>
      <sheetName val="[Spt-BH.xls][Spt-BH.xls]B__1886"/>
      <sheetName val="[Spt-BH.xls][Spt-BH.xls]B__1880"/>
      <sheetName val="[Spt-BH.xls][Spt-BH.xls]_Sp_663"/>
      <sheetName val="[Spt-BH.xls][Spt-BH_xls]B__1873"/>
      <sheetName val="[Spt-BH.xls][Spt-BH_xls]B__1874"/>
      <sheetName val="[Spt-BH.xls][Spt-BH_xls]B__1875"/>
      <sheetName val="[Spt-BH.xls][Spt-BH_xls]B__1876"/>
      <sheetName val="[Spt-BH.xls][Spt-BH_xls]_Sp_615"/>
      <sheetName val="[Spt-BH.xls][Spt-BH_xls]B__1877"/>
      <sheetName val="[Spt-BH.xls][Spt-BH_xls]B__1878"/>
      <sheetName val="[Spt-BH.xls][Spt-BH_xls]B__1879"/>
      <sheetName val="[Spt-BH.xls][Spt-BH_xls]_Sp_616"/>
      <sheetName val="[Spt-BH.xls][Spt-BH_xls]B__1880"/>
      <sheetName val="[Spt-BH.xls][Spt-BH_xls]B__1881"/>
      <sheetName val="[Spt-BH.xls][Spt-BH_xls]B__1882"/>
      <sheetName val="[Spt-BH.xls][Spt-BH_xls]B__1883"/>
      <sheetName val="[Spt-BH.xls][Spt-BH_xls]_Sp_617"/>
      <sheetName val="[Spt-BH.xls][Spt-BH_xls]B__1884"/>
      <sheetName val="[Spt-BH.xls][Spt-BH_xls]B__1885"/>
      <sheetName val="[Spt-BH.xls][Spt-BH_xls]_Sp_618"/>
      <sheetName val="[Spt-BH.xls][Spt-BH_xls]B__1886"/>
      <sheetName val="[Spt-BH.xls][Spt-BH_xls]B__1887"/>
      <sheetName val="[Spt-BH.xls][Spt-BH_xls]_Sp_619"/>
      <sheetName val="[Spt-BH.xls][Spt-BH.xls]_Sp_664"/>
      <sheetName val="[Spt-BH.xls][Spt-BH.xls]B__1887"/>
      <sheetName val="[Spt-BH.xls][Spt-BH.xls]B__1888"/>
      <sheetName val="[Spt-BH.xls][Spt-BH.xls]_Sp_667"/>
      <sheetName val="[Spt-BH.xls][Spt-BH.xls]B__1889"/>
      <sheetName val="[Spt-BH.xls][Spt-BH.xls]B__1890"/>
      <sheetName val="[Spt-BH.xls][Spt-BH.xls]_Sp_666"/>
      <sheetName val="[Spt-BH.xls][Spt-BH.xls]_Sp_668"/>
      <sheetName val="[Spt-BH.xls][Spt-BH.xls]B__1891"/>
      <sheetName val="[Spt-BH.xls][Spt-BH.xls]B__1892"/>
      <sheetName val="[Spt-BH.xls][Spt-BH.xls]_Sp_670"/>
      <sheetName val="[Spt-BH.xls][Spt-BH.xls]B__1893"/>
      <sheetName val="[Spt-BH.xls][Spt-BH.xls]B__1894"/>
      <sheetName val="[Spt-BH.xls][Spt-BH.xls]B__1895"/>
      <sheetName val="[Spt-BH.xls][Spt-BH.xls]B__1896"/>
      <sheetName val="[Spt-BH.xls][Spt-BH.xls]_Sp_669"/>
      <sheetName val="[Spt-BH.xls][Spt-BH.xls]_Sp_716"/>
      <sheetName val="[Spt-BH.xls][Spt-BH.xls]B__2033"/>
      <sheetName val="[Spt-BH.xls][Spt-BH.xls]B__2034"/>
      <sheetName val="[Spt-BH.xls][Spt-BH.xls]_Sp_726"/>
      <sheetName val="[Spt-BH.xls][Spt-BH.xls]B__2035"/>
      <sheetName val="[Spt-BH.xls][Spt-BH.xls]B__2036"/>
      <sheetName val="[Spt-BH.xls][Spt-BH.xls]B__2037"/>
      <sheetName val="[Spt-BH.xls][Spt-BH.xls]B__2038"/>
      <sheetName val="[Spt-BH.xls][Spt-BH.xls]_Sp_717"/>
      <sheetName val="[Spt-BH.xls][Spt-BH.xls]B__1925"/>
      <sheetName val="[Spt-BH.xls][Spt-BH.xls]B__1926"/>
      <sheetName val="[Spt-BH.xls][Spt-BH.xls]_Sp_681"/>
      <sheetName val="[Spt-BH.xls][Spt-BH.xls]B__1927"/>
      <sheetName val="[Spt-BH.xls][Spt-BH.xls]B__1928"/>
      <sheetName val="[Spt-BH.xls][Spt-BH.xls]B__1929"/>
      <sheetName val="[Spt-BH.xls][Spt-BH.xls]_Sp_679"/>
      <sheetName val="[Spt-BH.xls][Spt-BH.xls]B__1930"/>
      <sheetName val="[Spt-BH.xls][Spt-BH.xls]_Sp_680"/>
      <sheetName val="[Spt-BH.xls][Spt-BH.xls]_Sp_677"/>
      <sheetName val="[Spt-BH.xls][Spt-BH.xls]B__1919"/>
      <sheetName val="[Spt-BH.xls][Spt-BH.xls]B__1920"/>
      <sheetName val="[Spt-BH.xls][Spt-BH.xls]B__1921"/>
      <sheetName val="[Spt-BH.xls][Spt-BH.xls]B__1922"/>
      <sheetName val="[Spt-BH.xls]B____x005f_x0004______161"/>
      <sheetName val="[Spt-BH.xls]B___x005f_x0000__x000_158"/>
      <sheetName val="[Spt-BH.xls][Spt-BH.xls]B__1923"/>
      <sheetName val="[Spt-BH.xls][Spt-BH.xls]B__1924"/>
      <sheetName val="[Spt-BH.xls][Spt-BH.xls]_Sp_678"/>
      <sheetName val="[Spt-BH.xls][Spt-BH_xls]B__1903"/>
      <sheetName val="[Spt-BH.xls][Spt-BH_xls]B__1904"/>
      <sheetName val="[Spt-BH.xls][Spt-BH_xls]B__1905"/>
      <sheetName val="[Spt-BH.xls][Spt-BH_xls]B__1906"/>
      <sheetName val="[Spt-BH.xls][Spt-BH_xls]_Sp_625"/>
      <sheetName val="[Spt-BH.xls][Spt-BH_xls]B__1907"/>
      <sheetName val="[Spt-BH.xls][Spt-BH_xls]B__1908"/>
      <sheetName val="[Spt-BH.xls][Spt-BH_xls]B__1909"/>
      <sheetName val="[Spt-BH.xls][Spt-BH_xls]_Sp_626"/>
      <sheetName val="[Spt-BH.xls][Spt-BH_xls]B__1910"/>
      <sheetName val="[Spt-BH.xls][Spt-BH_xls]B__1911"/>
      <sheetName val="[Spt-BH.xls][Spt-BH_xls]B__1912"/>
      <sheetName val="[Spt-BH.xls][Spt-BH_xls]B__1913"/>
      <sheetName val="[Spt-BH.xls][Spt-BH_xls]_Sp_627"/>
      <sheetName val="[Spt-BH.xls][Spt-BH_xls]B__1914"/>
      <sheetName val="[Spt-BH.xls][Spt-BH_xls]B__1915"/>
      <sheetName val="[Spt-BH.xls][Spt-BH_xls]_Sp_628"/>
      <sheetName val="[Spt-BH.xls][Spt-BH_xls]B__1916"/>
      <sheetName val="[Spt-BH.xls][Spt-BH_xls]B__1917"/>
      <sheetName val="[Spt-BH.xls][Spt-BH_xls]_Sp_629"/>
      <sheetName val="[Spt-BH.xls][Spt-BH_xls]B__1888"/>
      <sheetName val="[Spt-BH.xls][Spt-BH_xls]B__1889"/>
      <sheetName val="[Spt-BH.xls][Spt-BH_xls]B__1890"/>
      <sheetName val="[Spt-BH.xls][Spt-BH_xls]B__1891"/>
      <sheetName val="[Spt-BH.xls][Spt-BH_xls]_Sp_620"/>
      <sheetName val="[Spt-BH.xls][Spt-BH_xls]B__1892"/>
      <sheetName val="[Spt-BH.xls][Spt-BH_xls]B__1893"/>
      <sheetName val="[Spt-BH.xls][Spt-BH_xls]B__1894"/>
      <sheetName val="[Spt-BH.xls][Spt-BH_xls]_Sp_621"/>
      <sheetName val="[Spt-BH.xls][Spt-BH_xls]B__1895"/>
      <sheetName val="[Spt-BH.xls][Spt-BH_xls]B__1896"/>
      <sheetName val="[Spt-BH.xls][Spt-BH_xls]B__1897"/>
      <sheetName val="[Spt-BH.xls][Spt-BH_xls]B__1898"/>
      <sheetName val="[Spt-BH.xls][Spt-BH_xls]_Sp_622"/>
      <sheetName val="[Spt-BH.xls][Spt-BH_xls]B__1899"/>
      <sheetName val="[Spt-BH.xls][Spt-BH_xls]B__1900"/>
      <sheetName val="[Spt-BH.xls][Spt-BH_xls]_Sp_623"/>
      <sheetName val="[Spt-BH.xls][Spt-BH_xls]B__1901"/>
      <sheetName val="[Spt-BH.xls][Spt-BH_xls]B__1902"/>
      <sheetName val="[Spt-BH.xls][Spt-BH_xls]_Sp_624"/>
      <sheetName val="[Spt-BH.xls][Spt-BH.xls]B__1897"/>
      <sheetName val="[Spt-BH.xls][Spt-BH.xls]B__1898"/>
      <sheetName val="[Spt-BH.xls][Spt-BH.xls]B__1899"/>
      <sheetName val="[Spt-BH.xls][Spt-BH.xls]B__1900"/>
      <sheetName val="[Spt-BH.xls][Spt-BH.xls]_Sp_671"/>
      <sheetName val="[Spt-BH.xls][Spt-BH.xls]B__1901"/>
      <sheetName val="[Spt-BH.xls][Spt-BH.xls]B__1902"/>
      <sheetName val="[Spt-BH.xls][Spt-BH.xls]B__1903"/>
      <sheetName val="[Spt-BH.xls][Spt-BH.xls]B__1904"/>
      <sheetName val="[Spt-BH.xls][Spt-BH.xls]B__1905"/>
      <sheetName val="[Spt-BH.xls][Spt-BH.xls]_Sp_672"/>
      <sheetName val="[Spt-BH.xls][Spt-BH.xls]B__1906"/>
      <sheetName val="[Spt-BH.xls][Spt-BH.xls]_Sp_673"/>
      <sheetName val="[Spt-BH.xls][Spt-BH.xls]B__1907"/>
      <sheetName val="[Spt-BH.xls][Spt-BH.xls]B__1908"/>
      <sheetName val="[Spt-BH.xls][Spt-BH.xls]B__1909"/>
      <sheetName val="[Spt-BH.xls][Spt-BH.xls]B__1910"/>
      <sheetName val="[Spt-BH.xls][Spt-BH.xls]B__1911"/>
      <sheetName val="[Spt-BH.xls][Spt-BH.xls]B__1912"/>
      <sheetName val="[Spt-BH.xls][Spt-BH.xls]_Sp_674"/>
      <sheetName val="[Spt-BH.xls][Spt-BH.xls]_Sp_675"/>
      <sheetName val="[Spt-BH.xls][Spt-BH.xls]B__1913"/>
      <sheetName val="[Spt-BH.xls][Spt-BH.xls]B__1914"/>
      <sheetName val="[Spt-BH.xls][Spt-BH.xls]B__1915"/>
      <sheetName val="[Spt-BH.xls][Spt-BH.xls]B__1916"/>
      <sheetName val="[Spt-BH.xls][Spt-BH.xls]B__1917"/>
      <sheetName val="[Spt-BH.xls][Spt-BH.xls]B__1918"/>
      <sheetName val="[Spt-BH.xls][Spt-BH.xls]_Sp_676"/>
      <sheetName val="[Spt-BH.xls][Spt-BH.xls]B__1938"/>
      <sheetName val="[Spt-BH.xls][Spt-BH.xls]B__1939"/>
      <sheetName val="[Spt-BH.xls][Spt-BH.xls]_Sp_685"/>
      <sheetName val="[Spt-BH.xls][Spt-BH.xls]B__1940"/>
      <sheetName val="[Spt-BH.xls][Spt-BH.xls]B__1941"/>
      <sheetName val="[Spt-BH.xls]B____x005f_x0004______162"/>
      <sheetName val="[Spt-BH.xls]B___x005f_x0000__x000_159"/>
      <sheetName val="[Spt-BH.xls][Spt-BH.xls]B__1942"/>
      <sheetName val="[Spt-BH.xls][Spt-BH.xls]B__1931"/>
      <sheetName val="[Spt-BH.xls][Spt-BH.xls]B__1932"/>
      <sheetName val="[Spt-BH.xls][Spt-BH.xls]_Sp_683"/>
      <sheetName val="[Spt-BH.xls][Spt-BH.xls]B__1933"/>
      <sheetName val="[Spt-BH.xls][Spt-BH.xls]B__1934"/>
      <sheetName val="[Spt-BH.xls][Spt-BH.xls]B__1943"/>
      <sheetName val="[Spt-BH.xls][Spt-BH.xls]B__1935"/>
      <sheetName val="[Spt-BH.xls][Spt-BH.xls]B__1936"/>
      <sheetName val="[Spt-BH.xls][Spt-BH.xls]B__1937"/>
      <sheetName val="[Spt-BH.xls][Spt-BH.xls]_Sp_682"/>
      <sheetName val="[Spt-BH.xls][Spt-BH.xls]_Sp_684"/>
      <sheetName val="[Spt-BH.xls][Spt-BH_xls]B__1918"/>
      <sheetName val="[Spt-BH.xls][Spt-BH_xls]B__1919"/>
      <sheetName val="[Spt-BH.xls][Spt-BH_xls]B__1920"/>
      <sheetName val="[Spt-BH.xls][Spt-BH_xls]B__1921"/>
      <sheetName val="[Spt-BH.xls][Spt-BH_xls]_Sp_630"/>
      <sheetName val="[Spt-BH.xls][Spt-BH_xls]B__1922"/>
      <sheetName val="[Spt-BH.xls][Spt-BH_xls]B__1923"/>
      <sheetName val="[Spt-BH.xls][Spt-BH_xls]B__1924"/>
      <sheetName val="[Spt-BH.xls][Spt-BH_xls]_Sp_631"/>
      <sheetName val="[Spt-BH.xls][Spt-BH_xls]B__1925"/>
      <sheetName val="[Spt-BH.xls][Spt-BH_xls]B__1926"/>
      <sheetName val="[Spt-BH.xls][Spt-BH_xls]B__1927"/>
      <sheetName val="[Spt-BH.xls][Spt-BH_xls]B__1928"/>
      <sheetName val="[Spt-BH.xls][Spt-BH_xls]_Sp_632"/>
      <sheetName val="[Spt-BH.xls][Spt-BH_xls]B__1929"/>
      <sheetName val="[Spt-BH.xls][Spt-BH_xls]B__1930"/>
      <sheetName val="[Spt-BH.xls][Spt-BH_xls]_Sp_633"/>
      <sheetName val="[Spt-BH.xls][Spt-BH_xls]B__1931"/>
      <sheetName val="[Spt-BH.xls][Spt-BH_xls]B__1932"/>
      <sheetName val="[Spt-BH.xls][Spt-BH_xls]_Sp_634"/>
      <sheetName val="[Spt-BH.xls][Spt-BH.xls]_Sp_686"/>
      <sheetName val="[Spt-BH.xls][Spt-BH.xls]_Sp_689"/>
      <sheetName val="[Spt-BH.xls][Spt-BH.xls]B__1951"/>
      <sheetName val="[Spt-BH.xls][Spt-BH.xls]B__1952"/>
      <sheetName val="[Spt-BH.xls][Spt-BH.xls]_Sp_693"/>
      <sheetName val="[Spt-BH.xls][Spt-BH.xls]B__1953"/>
      <sheetName val="[Spt-BH.xls][Spt-BH.xls]B__1954"/>
      <sheetName val="[Spt-BH.xls][Spt-BH.xls]B__1955"/>
      <sheetName val="[Spt-BH.xls][Spt-BH.xls]B__1956"/>
      <sheetName val="[Spt-BH.xls][Spt-BH.xls]_Sp_690"/>
      <sheetName val="[Spt-BH.xls][Spt-BH.xls]B__1961"/>
      <sheetName val="[Spt-BH.xls][Spt-BH.xls]B__1962"/>
      <sheetName val="[Spt-BH.xls][Spt-BH.xls]_Sp_700"/>
      <sheetName val="[Spt-BH.xls][Spt-BH.xls]B__1963"/>
      <sheetName val="[Spt-BH.xls][Spt-BH.xls]B__1964"/>
      <sheetName val="[Spt-BH.xls][Spt-BH.xls]_Sp_687"/>
      <sheetName val="[Spt-BH.xls][Spt-BH.xls]B__1944"/>
      <sheetName val="[Spt-BH.xls][Spt-BH.xls]B__1945"/>
      <sheetName val="[Spt-BH.xls][Spt-BH.xls]B__1946"/>
      <sheetName val="[Spt-BH.xls][Spt-BH.xls]B__1947"/>
      <sheetName val="[Spt-BH.xls][Spt-BH.xls]B__1948"/>
      <sheetName val="[Spt-BH.xls][Spt-BH.xls]B__1949"/>
      <sheetName val="[Spt-BH.xls][Spt-BH.xls]_Sp_688"/>
      <sheetName val="[Spt-BH.xls]B____x005f_x0004______163"/>
      <sheetName val="[Spt-BH.xls]B___x005f_x0000__x000_160"/>
      <sheetName val="[Spt-BH.xls][Spt-BH.xls]B__1950"/>
      <sheetName val="[Spt-BH.xls][Spt-BH_xls]B__1933"/>
      <sheetName val="[Spt-BH.xls][Spt-BH_xls]B__1934"/>
      <sheetName val="[Spt-BH.xls][Spt-BH_xls]B__1935"/>
      <sheetName val="[Spt-BH.xls][Spt-BH_xls]B__1936"/>
      <sheetName val="[Spt-BH.xls][Spt-BH_xls]_Sp_635"/>
      <sheetName val="[Spt-BH.xls][Spt-BH_xls]B__1937"/>
      <sheetName val="[Spt-BH.xls][Spt-BH_xls]B__1938"/>
      <sheetName val="[Spt-BH.xls][Spt-BH_xls]B__1939"/>
      <sheetName val="[Spt-BH.xls][Spt-BH_xls]_Sp_636"/>
      <sheetName val="[Spt-BH.xls][Spt-BH_xls]B__1940"/>
      <sheetName val="[Spt-BH.xls][Spt-BH_xls]B__1941"/>
      <sheetName val="[Spt-BH.xls][Spt-BH_xls]B__1942"/>
      <sheetName val="[Spt-BH.xls][Spt-BH_xls]B__1943"/>
      <sheetName val="[Spt-BH.xls][Spt-BH_xls]_Sp_637"/>
      <sheetName val="[Spt-BH.xls][Spt-BH_xls]B__1944"/>
      <sheetName val="[Spt-BH.xls][Spt-BH_xls]B__1945"/>
      <sheetName val="[Spt-BH.xls][Spt-BH_xls]_Sp_638"/>
      <sheetName val="[Spt-BH.xls][Spt-BH_xls]B__1946"/>
      <sheetName val="[Spt-BH.xls][Spt-BH_xls]B__1947"/>
      <sheetName val="[Spt-BH.xls][Spt-BH_xls]_Sp_639"/>
      <sheetName val="[Spt-BH.xls][Spt-BH.xls]B__1965"/>
      <sheetName val="[Spt-BH.xls][Spt-BH.xls]B__1966"/>
      <sheetName val="[Spt-BH.xls][Spt-BH.xls]_Sp_694"/>
      <sheetName val="[Spt-BH.xls][Spt-BH.xls]B__1981"/>
      <sheetName val="[Spt-BH.xls][Spt-BH.xls]B__1982"/>
      <sheetName val="[Spt-BH.xls][Spt-BH.xls]_Sp_702"/>
      <sheetName val="[Spt-BH.xls][Spt-BH.xls]B__1983"/>
      <sheetName val="[Spt-BH.xls][Spt-BH.xls]B__1984"/>
      <sheetName val="[Spt-BH.xls]B____x005f_x0004______164"/>
      <sheetName val="[Spt-BH.xls]B___x005f_x0000__x000_161"/>
      <sheetName val="[Spt-BH.xls][Spt-BH.xls]B__1985"/>
      <sheetName val="[Spt-BH.xls][Spt-BH.xls]B__1986"/>
      <sheetName val="[Spt-BH.xls][Spt-BH.xls]B__1967"/>
      <sheetName val="[Spt-BH.xls][Spt-BH.xls]_Sp_701"/>
      <sheetName val="[Spt-BH.xls][Spt-BH_xls]B__1948"/>
      <sheetName val="[Spt-BH.xls][Spt-BH_xls]B__1949"/>
      <sheetName val="[Spt-BH.xls][Spt-BH_xls]B__1950"/>
      <sheetName val="[Spt-BH.xls][Spt-BH_xls]B__1951"/>
      <sheetName val="[Spt-BH.xls][Spt-BH_xls]_Sp_640"/>
      <sheetName val="[Spt-BH.xls][Spt-BH_xls]B__1952"/>
      <sheetName val="[Spt-BH.xls][Spt-BH_xls]B__1953"/>
      <sheetName val="[Spt-BH.xls][Spt-BH_xls]B__1954"/>
      <sheetName val="[Spt-BH.xls][Spt-BH_xls]_Sp_641"/>
      <sheetName val="[Spt-BH.xls][Spt-BH_xls]B__1955"/>
      <sheetName val="[Spt-BH.xls][Spt-BH_xls]B__1956"/>
      <sheetName val="[Spt-BH.xls][Spt-BH_xls]B__1957"/>
      <sheetName val="[Spt-BH.xls][Spt-BH_xls]B__1958"/>
      <sheetName val="[Spt-BH.xls][Spt-BH_xls]_Sp_642"/>
      <sheetName val="[Spt-BH.xls][Spt-BH_xls]B__1959"/>
      <sheetName val="[Spt-BH.xls][Spt-BH_xls]B__1960"/>
      <sheetName val="[Spt-BH.xls][Spt-BH_xls]_Sp_643"/>
      <sheetName val="[Spt-BH.xls][Spt-BH_xls]B__1961"/>
      <sheetName val="[Spt-BH.xls][Spt-BH_xls]B__1962"/>
      <sheetName val="[Spt-BH.xls][Spt-BH_xls]_Sp_644"/>
      <sheetName val="[Spt-BH.xls][Spt-BH.xls]_Sp_691"/>
      <sheetName val="[Spt-BH.xls][Spt-BH.xls]B__1957"/>
      <sheetName val="[Spt-BH.xls][Spt-BH.xls]B__1958"/>
      <sheetName val="[Spt-BH.xls][Spt-BH.xls]_Sp_692"/>
      <sheetName val="[Spt-BH.xls][Spt-BH.xls]B__1959"/>
      <sheetName val="[Spt-BH.xls][Spt-BH.xls]B__1960"/>
      <sheetName val="[Spt-BH.xls][Spt-BH.xls]B__1988"/>
      <sheetName val="[Spt-BH.xls][Spt-BH.xls]B__1989"/>
      <sheetName val="[Spt-BH.xls][Spt-BH.xls]_Sp_706"/>
      <sheetName val="[Spt-BH.xls][Spt-BH.xls]B__1990"/>
      <sheetName val="[Spt-BH.xls][Spt-BH.xls]B__1991"/>
      <sheetName val="[Spt-BH.xls]B____x005f_x0004______166"/>
      <sheetName val="[Spt-BH.xls]B___x005f_x0000__x000_163"/>
      <sheetName val="[Spt-BH.xls][Spt-BH.xls]B__1992"/>
      <sheetName val="[Spt-BH.xls][Spt-BH.xls]B__1993"/>
      <sheetName val="[Spt-BH.xls][Spt-BH.xls]B__1987"/>
      <sheetName val="[Spt-BH.xls][Spt-BH.xls]_Sp_703"/>
      <sheetName val="[Spt-BH.xls][Spt-BH_xls]B__1978"/>
      <sheetName val="[Spt-BH.xls][Spt-BH_xls]B__1979"/>
      <sheetName val="[Spt-BH.xls][Spt-BH_xls]B__1980"/>
      <sheetName val="[Spt-BH.xls][Spt-BH_xls]B__1981"/>
      <sheetName val="[Spt-BH.xls][Spt-BH_xls]_Sp_650"/>
      <sheetName val="[Spt-BH.xls][Spt-BH_xls]B__1982"/>
      <sheetName val="[Spt-BH.xls][Spt-BH_xls]B__1983"/>
      <sheetName val="[Spt-BH.xls][Spt-BH_xls]B__1984"/>
      <sheetName val="[Spt-BH.xls][Spt-BH_xls]_Sp_651"/>
      <sheetName val="[Spt-BH.xls][Spt-BH_xls]B__1985"/>
      <sheetName val="[Spt-BH.xls][Spt-BH_xls]B__1986"/>
      <sheetName val="[Spt-BH.xls][Spt-BH_xls]B__1987"/>
      <sheetName val="[Spt-BH.xls][Spt-BH_xls]B__1988"/>
      <sheetName val="[Spt-BH.xls][Spt-BH_xls]_Sp_652"/>
      <sheetName val="[Spt-BH.xls][Spt-BH_xls]B__1989"/>
      <sheetName val="[Spt-BH.xls][Spt-BH_xls]B__1990"/>
      <sheetName val="[Spt-BH.xls][Spt-BH_xls]_Sp_653"/>
      <sheetName val="[Spt-BH.xls][Spt-BH_xls]B__1991"/>
      <sheetName val="[Spt-BH.xls][Spt-BH_xls]B__1992"/>
      <sheetName val="[Spt-BH.xls][Spt-BH_xls]_Sp_654"/>
      <sheetName val="[Spt-BH.xls][Spt-BH.xls]_Sp_695"/>
      <sheetName val="[Spt-BH.xls][Spt-BH.xls]B__1968"/>
      <sheetName val="[Spt-BH.xls][Spt-BH.xls]B__1969"/>
      <sheetName val="[Spt-BH.xls][Spt-BH.xls]B__1970"/>
      <sheetName val="[Spt-BH.xls][Spt-BH.xls]B__1971"/>
      <sheetName val="[Spt-BH.xls][Spt-BH.xls]B__1972"/>
      <sheetName val="[Spt-BH.xls][Spt-BH.xls]B__1973"/>
      <sheetName val="[Spt-BH.xls][Spt-BH.xls]_Sp_696"/>
      <sheetName val="[Spt-BH.xls][Spt-BH.xls]_Sp_697"/>
      <sheetName val="[Spt-BH.xls][Spt-BH.xls]_Sp_698"/>
      <sheetName val="[Spt-BH.xls][Spt-BH.xls]B__1974"/>
      <sheetName val="[Spt-BH.xls][Spt-BH.xls]B__1975"/>
      <sheetName val="[Spt-BH.xls][Spt-BH.xls]B__1976"/>
      <sheetName val="[Spt-BH.xls][Spt-BH.xls]B__1977"/>
      <sheetName val="[Spt-BH.xls][Spt-BH.xls]B__1978"/>
      <sheetName val="[Spt-BH.xls][Spt-BH.xls]B__1979"/>
      <sheetName val="[Spt-BH.xls][Spt-BH.xls]_Sp_699"/>
      <sheetName val="[Spt-BH.xls]B____x005f_x0004______165"/>
      <sheetName val="[Spt-BH.xls]B___x005f_x0000__x000_162"/>
      <sheetName val="[Spt-BH.xls][Spt-BH.xls]B__1980"/>
      <sheetName val="[Spt-BH.xls][Spt-BH_xls]B__1963"/>
      <sheetName val="[Spt-BH.xls][Spt-BH_xls]B__1964"/>
      <sheetName val="[Spt-BH.xls][Spt-BH_xls]B__1965"/>
      <sheetName val="[Spt-BH.xls][Spt-BH_xls]B__1966"/>
      <sheetName val="[Spt-BH.xls][Spt-BH_xls]_Sp_645"/>
      <sheetName val="[Spt-BH.xls][Spt-BH_xls]B__1967"/>
      <sheetName val="[Spt-BH.xls][Spt-BH_xls]B__1968"/>
      <sheetName val="[Spt-BH.xls][Spt-BH_xls]B__1969"/>
      <sheetName val="[Spt-BH.xls][Spt-BH_xls]_Sp_646"/>
      <sheetName val="[Spt-BH.xls][Spt-BH_xls]B__1970"/>
      <sheetName val="[Spt-BH.xls][Spt-BH_xls]B__1971"/>
      <sheetName val="[Spt-BH.xls][Spt-BH_xls]B__1972"/>
      <sheetName val="[Spt-BH.xls][Spt-BH_xls]B__1973"/>
      <sheetName val="[Spt-BH.xls][Spt-BH_xls]_Sp_647"/>
      <sheetName val="[Spt-BH.xls][Spt-BH_xls]B__1974"/>
      <sheetName val="[Spt-BH.xls][Spt-BH_xls]B__1975"/>
      <sheetName val="[Spt-BH.xls][Spt-BH_xls]_Sp_648"/>
      <sheetName val="[Spt-BH.xls][Spt-BH_xls]B__1976"/>
      <sheetName val="[Spt-BH.xls][Spt-BH_xls]B__1977"/>
      <sheetName val="[Spt-BH.xls][Spt-BH_xls]_Sp_649"/>
      <sheetName val="[Spt-BH.xls][Spt-BH.xls]B__2001"/>
      <sheetName val="[Spt-BH.xls][Spt-BH.xls]B__2002"/>
      <sheetName val="[Spt-BH.xls][Spt-BH.xls]_Sp_708"/>
      <sheetName val="[Spt-BH.xls][Spt-BH.xls]B__2003"/>
      <sheetName val="[Spt-BH.xls][Spt-BH.xls]B__2004"/>
      <sheetName val="[Spt-BH.xls][Spt-BH.xls]B__2005"/>
      <sheetName val="[Spt-BH.xls][Spt-BH.xls]B__2006"/>
      <sheetName val="[Spt-BH.xls][Spt-BH.xls]_Sp_707"/>
      <sheetName val="[Spt-BH.xls][Spt-BH.xls]B__2008"/>
      <sheetName val="[Spt-BH.xls][Spt-BH.xls]B__2009"/>
      <sheetName val="[Spt-BH.xls][Spt-BH.xls]_Sp_710"/>
      <sheetName val="[Spt-BH.xls][Spt-BH.xls]B__2010"/>
      <sheetName val="[Spt-BH.xls][Spt-BH.xls]B__2011"/>
      <sheetName val="[Spt-BH.xls]B____x005f_x0004______168"/>
      <sheetName val="[Spt-BH.xls]B___x005f_x0000__x000_165"/>
      <sheetName val="[Spt-BH.xls][Spt-BH.xls]B__2012"/>
      <sheetName val="[Spt-BH.xls][Spt-BH.xls]B__2013"/>
      <sheetName val="[Spt-BH.xls][Spt-BH.xls]B__2007"/>
      <sheetName val="[Spt-BH.xls][Spt-BH.xls]_Sp_709"/>
      <sheetName val="[Spt-BH.xls][Spt-BH_xls]B__2008"/>
      <sheetName val="[Spt-BH.xls][Spt-BH_xls]B__2009"/>
      <sheetName val="[Spt-BH.xls][Spt-BH_xls]B__2010"/>
      <sheetName val="[Spt-BH.xls][Spt-BH_xls]B__2011"/>
      <sheetName val="[Spt-BH.xls][Spt-BH_xls]_Sp_660"/>
      <sheetName val="[Spt-BH.xls][Spt-BH_xls]B__2012"/>
      <sheetName val="[Spt-BH.xls][Spt-BH_xls]B__2013"/>
      <sheetName val="[Spt-BH.xls][Spt-BH_xls]B__2014"/>
      <sheetName val="[Spt-BH.xls][Spt-BH_xls]_Sp_661"/>
      <sheetName val="[Spt-BH.xls][Spt-BH_xls]B__2015"/>
      <sheetName val="[Spt-BH.xls][Spt-BH_xls]B__2016"/>
      <sheetName val="[Spt-BH.xls][Spt-BH_xls]B__2017"/>
      <sheetName val="[Spt-BH.xls][Spt-BH_xls]B__2018"/>
      <sheetName val="[Spt-BH.xls][Spt-BH_xls]_Sp_662"/>
      <sheetName val="[Spt-BH.xls][Spt-BH_xls]B__2019"/>
      <sheetName val="[Spt-BH.xls][Spt-BH_xls]B__2020"/>
      <sheetName val="[Spt-BH.xls][Spt-BH_xls]_Sp_663"/>
      <sheetName val="[Spt-BH.xls][Spt-BH_xls]B__2021"/>
      <sheetName val="[Spt-BH.xls][Spt-BH_xls]B__2022"/>
      <sheetName val="[Spt-BH.xls][Spt-BH_xls]_Sp_664"/>
      <sheetName val="[Spt-BH.xls][Spt-BH.xls]_Sp_704"/>
      <sheetName val="[Spt-BH.xls][Spt-BH.xls]B__1994"/>
      <sheetName val="[Spt-BH.xls][Spt-BH.xls]B__1995"/>
      <sheetName val="[Spt-BH.xls][Spt-BH.xls]B__1996"/>
      <sheetName val="[Spt-BH.xls][Spt-BH.xls]B__1997"/>
      <sheetName val="[Spt-BH.xls][Spt-BH.xls]B__1998"/>
      <sheetName val="[Spt-BH.xls][Spt-BH.xls]B__1999"/>
      <sheetName val="[Spt-BH.xls][Spt-BH.xls]_Sp_705"/>
      <sheetName val="[Spt-BH.xls]B____x005f_x0004______167"/>
      <sheetName val="[Spt-BH.xls]B___x005f_x0000__x000_164"/>
      <sheetName val="[Spt-BH.xls][Spt-BH.xls]B__2000"/>
      <sheetName val="[Spt-BH.xls][Spt-BH_xls]B__1993"/>
      <sheetName val="[Spt-BH.xls][Spt-BH_xls]B__1994"/>
      <sheetName val="[Spt-BH.xls][Spt-BH_xls]B__1995"/>
      <sheetName val="[Spt-BH.xls][Spt-BH_xls]B__1996"/>
      <sheetName val="[Spt-BH.xls][Spt-BH_xls]_Sp_655"/>
      <sheetName val="[Spt-BH.xls][Spt-BH_xls]B__1997"/>
      <sheetName val="[Spt-BH.xls][Spt-BH_xls]B__1998"/>
      <sheetName val="[Spt-BH.xls][Spt-BH_xls]B__1999"/>
      <sheetName val="[Spt-BH.xls][Spt-BH_xls]_Sp_656"/>
      <sheetName val="[Spt-BH.xls][Spt-BH_xls]B__2000"/>
      <sheetName val="[Spt-BH.xls][Spt-BH_xls]B__2001"/>
      <sheetName val="[Spt-BH.xls][Spt-BH_xls]B__2002"/>
      <sheetName val="[Spt-BH.xls][Spt-BH_xls]B__2003"/>
      <sheetName val="[Spt-BH.xls][Spt-BH_xls]_Sp_657"/>
      <sheetName val="[Spt-BH.xls][Spt-BH_xls]B__2004"/>
      <sheetName val="[Spt-BH.xls][Spt-BH_xls]B__2005"/>
      <sheetName val="[Spt-BH.xls][Spt-BH_xls]_Sp_658"/>
      <sheetName val="[Spt-BH.xls][Spt-BH_xls]B__2006"/>
      <sheetName val="[Spt-BH.xls][Spt-BH_xls]B__2007"/>
      <sheetName val="[Spt-BH.xls][Spt-BH_xls]_Sp_659"/>
      <sheetName val="[Spt-BH.xls][Spt-BH.xls]B__2015"/>
      <sheetName val="[Spt-BH.xls][Spt-BH.xls]B__2016"/>
      <sheetName val="[Spt-BH.xls][Spt-BH.xls]_Sp_714"/>
      <sheetName val="[Spt-BH.xls][Spt-BH.xls]B__2017"/>
      <sheetName val="[Spt-BH.xls][Spt-BH.xls]B__2018"/>
      <sheetName val="[Spt-BH.xls]B____x005f_x0004______169"/>
      <sheetName val="[Spt-BH.xls]B___x005f_x0000__x000_166"/>
      <sheetName val="[Spt-BH.xls][Spt-BH.xls]B__2019"/>
      <sheetName val="[Spt-BH.xls][Spt-BH.xls]B__2020"/>
      <sheetName val="[Spt-BH.xls][Spt-BH.xls]B__2014"/>
      <sheetName val="[Spt-BH.xls][Spt-BH.xls]_Sp_711"/>
      <sheetName val="[Spt-BH.xls][Spt-BH_xls]B__2023"/>
      <sheetName val="[Spt-BH.xls][Spt-BH_xls]B__2024"/>
      <sheetName val="[Spt-BH.xls][Spt-BH_xls]B__2025"/>
      <sheetName val="[Spt-BH.xls][Spt-BH_xls]B__2026"/>
      <sheetName val="[Spt-BH.xls][Spt-BH_xls]_Sp_665"/>
      <sheetName val="[Spt-BH.xls][Spt-BH_xls]B__2027"/>
      <sheetName val="[Spt-BH.xls][Spt-BH_xls]B__2028"/>
      <sheetName val="[Spt-BH.xls][Spt-BH_xls]B__2029"/>
      <sheetName val="[Spt-BH.xls][Spt-BH_xls]_Sp_666"/>
      <sheetName val="[Spt-BH.xls][Spt-BH_xls]B__2030"/>
      <sheetName val="[Spt-BH.xls][Spt-BH_xls]B__2031"/>
      <sheetName val="[Spt-BH.xls][Spt-BH_xls]B__2032"/>
      <sheetName val="[Spt-BH.xls][Spt-BH_xls]B__2033"/>
      <sheetName val="[Spt-BH.xls][Spt-BH_xls]_Sp_667"/>
      <sheetName val="[Spt-BH.xls][Spt-BH_xls]B__2034"/>
      <sheetName val="[Spt-BH.xls][Spt-BH_xls]B__2035"/>
      <sheetName val="[Spt-BH.xls][Spt-BH_xls]_Sp_668"/>
      <sheetName val="[Spt-BH.xls][Spt-BH_xls]B__2036"/>
      <sheetName val="[Spt-BH.xls][Spt-BH_xls]B__2037"/>
      <sheetName val="[Spt-BH.xls][Spt-BH_xls]_Sp_669"/>
      <sheetName val="[Spt-BH.xls][Spt-BH.xls]_Sp_712"/>
      <sheetName val="[Spt-BH.xls][Spt-BH.xls]B__2021"/>
      <sheetName val="[Spt-BH.xls][Spt-BH.xls]B__2022"/>
      <sheetName val="[Spt-BH.xls][Spt-BH.xls]B__2023"/>
      <sheetName val="[Spt-BH.xls][Spt-BH.xls]B__2024"/>
      <sheetName val="[Spt-BH.xls][Spt-BH.xls]B__2025"/>
      <sheetName val="[Spt-BH.xls][Spt-BH.xls]B__2026"/>
      <sheetName val="[Spt-BH.xls][Spt-BH.xls]_Sp_713"/>
      <sheetName val="[Spt-BH.xls][Spt-BH.xls]B__2027"/>
      <sheetName val="[Spt-BH.xls][Spt-BH.xls]B__2028"/>
      <sheetName val="[Spt-BH.xls][Spt-BH.xls]B__2029"/>
      <sheetName val="[Spt-BH.xls][Spt-BH.xls]B__2030"/>
      <sheetName val="[Spt-BH.xls][Spt-BH.xls]B__2031"/>
      <sheetName val="[Spt-BH.xls][Spt-BH.xls]B__2032"/>
      <sheetName val="[Spt-BH.xls][Spt-BH.xls]_Sp_715"/>
      <sheetName val="[Spt-BH.xls][Spt-BH.xls]_Sp_720"/>
      <sheetName val="[Spt-BH.xls][Spt-BH.xls]B__2045"/>
      <sheetName val="[Spt-BH.xls][Spt-BH.xls]B__2046"/>
      <sheetName val="[Spt-BH.xls][Spt-BH.xls]_Sp_724"/>
      <sheetName val="[Spt-BH.xls][Spt-BH.xls]B__2047"/>
      <sheetName val="[Spt-BH.xls][Spt-BH.xls]B__2048"/>
      <sheetName val="[Spt-BH.xls][Spt-BH.xls]B__2049"/>
      <sheetName val="[Spt-BH.xls][Spt-BH.xls]B__2050"/>
      <sheetName val="[Spt-BH.xls][Spt-BH.xls]_Sp_721"/>
      <sheetName val="[Spt-BH.xls][Spt-BH.xls]_Sp_718"/>
      <sheetName val="[Spt-BH.xls][Spt-BH.xls]B__2039"/>
      <sheetName val="[Spt-BH.xls][Spt-BH.xls]B__2040"/>
      <sheetName val="[Spt-BH.xls][Spt-BH.xls]B__2041"/>
      <sheetName val="[Spt-BH.xls][Spt-BH.xls]B__2042"/>
      <sheetName val="[Spt-BH.xls][Spt-BH.xls]B__2043"/>
      <sheetName val="[Spt-BH.xls][Spt-BH.xls]B__2044"/>
      <sheetName val="[Spt-BH.xls][Spt-BH.xls]_Sp_719"/>
      <sheetName val="[Spt-BH.xls][Spt-BH.xls]B__2057"/>
      <sheetName val="[Spt-BH.xls][Spt-BH.xls]B__2058"/>
      <sheetName val="[Spt-BH.xls][Spt-BH.xls]B__2059"/>
      <sheetName val="[Spt-BH.xls][Spt-BH.xls]B__2060"/>
      <sheetName val="[Spt-BH.xls][Spt-BH.xls]B__2061"/>
      <sheetName val="[Spt-BH.xls][Spt-BH.xls]B__2062"/>
      <sheetName val="[Spt-BH.xls][Spt-BH.xls]_Sp_725"/>
      <sheetName val="[Spt-BH.xls][Spt-BH.xls]_Sp_722"/>
      <sheetName val="[Spt-BH.xls][Spt-BH.xls]B__2051"/>
      <sheetName val="[Spt-BH.xls][Spt-BH.xls]B__2052"/>
      <sheetName val="[Spt-BH.xls][Spt-BH.xls]B__2053"/>
      <sheetName val="[Spt-BH.xls][Spt-BH.xls]B__2054"/>
      <sheetName val="[Spt-BH.xls][Spt-BH.xls]B__2055"/>
      <sheetName val="[Spt-BH.xls][Spt-BH.xls]B__2056"/>
      <sheetName val="[Spt-BH.xls][Spt-BH.xls]_Sp_723"/>
      <sheetName val="[Spt-BH.xls][Spt-BH.xls]B__2064"/>
      <sheetName val="[Spt-BH.xls][Spt-BH.xls]B__2065"/>
      <sheetName val="[Spt-BH.xls][Spt-BH.xls]_Sp_730"/>
      <sheetName val="[Spt-BH.xls][Spt-BH.xls]B__2066"/>
      <sheetName val="[Spt-BH.xls][Spt-BH.xls]B__2067"/>
      <sheetName val="[Spt-BH.xls]B____x005f_x0004______170"/>
      <sheetName val="[Spt-BH.xls]B___x005f_x0000__x000_167"/>
      <sheetName val="[Spt-BH.xls][Spt-BH.xls]B__2068"/>
      <sheetName val="[Spt-BH.xls][Spt-BH.xls]B__2069"/>
      <sheetName val="[Spt-BH.xls][Spt-BH.xls]B__2063"/>
      <sheetName val="[Spt-BH.xls][Spt-BH.xls]_Sp_727"/>
      <sheetName val="[Spt-BH.xls][Spt-BH_xls]B__2038"/>
      <sheetName val="[Spt-BH.xls][Spt-BH_xls]B__2039"/>
      <sheetName val="[Spt-BH.xls][Spt-BH_xls]B__2040"/>
      <sheetName val="[Spt-BH.xls][Spt-BH_xls]B__2041"/>
      <sheetName val="[Spt-BH.xls][Spt-BH_xls]_Sp_670"/>
      <sheetName val="[Spt-BH.xls][Spt-BH_xls]B__2042"/>
      <sheetName val="[Spt-BH.xls][Spt-BH_xls]B__2043"/>
      <sheetName val="[Spt-BH.xls][Spt-BH_xls]B__2044"/>
      <sheetName val="[Spt-BH.xls][Spt-BH_xls]_Sp_671"/>
      <sheetName val="[Spt-BH.xls][Spt-BH_xls]B__2045"/>
      <sheetName val="[Spt-BH.xls][Spt-BH_xls]B__2046"/>
      <sheetName val="[Spt-BH.xls][Spt-BH_xls]B__2047"/>
      <sheetName val="[Spt-BH.xls][Spt-BH_xls]B__2048"/>
      <sheetName val="[Spt-BH.xls][Spt-BH_xls]_Sp_672"/>
      <sheetName val="[Spt-BH.xls][Spt-BH_xls]B__2049"/>
      <sheetName val="[Spt-BH.xls][Spt-BH_xls]B__2050"/>
      <sheetName val="[Spt-BH.xls][Spt-BH_xls]_Sp_673"/>
      <sheetName val="[Spt-BH.xls][Spt-BH_xls]B__2051"/>
      <sheetName val="[Spt-BH.xls][Spt-BH_xls]B__2052"/>
      <sheetName val="[Spt-BH.xls][Spt-BH_xls]_Sp_674"/>
      <sheetName val="STILT FLOOR"/>
      <sheetName val="BORDGC"/>
      <sheetName val="Cash Flow Working"/>
      <sheetName val="Area Statement"/>
      <sheetName val="Risk Analysis"/>
      <sheetName val="TORRENT CEMENT"/>
      <sheetName val="A"/>
      <sheetName val="TBEAM"/>
      <sheetName val="Direct co_x0006_"/>
      <sheetName val="Intro"/>
      <sheetName val="C1C2"/>
      <sheetName val="LIFE &amp; REP PROVN"/>
      <sheetName val="O&amp;M CREW"/>
      <sheetName val="Fin_Sum7"/>
      <sheetName val="Cost_of_O_&amp;_O7"/>
      <sheetName val="Material_7"/>
      <sheetName val="Labour_&amp;_Plant7"/>
      <sheetName val="pr_cal7"/>
      <sheetName val="TRF_details7"/>
      <sheetName val="Materials_Cost7"/>
      <sheetName val="Abstract_for_Variation8"/>
      <sheetName val="LBD_VARIATION8"/>
      <sheetName val="Fin_Sum8"/>
      <sheetName val="Cost_of_O_&amp;_O8"/>
      <sheetName val="Material_List_8"/>
      <sheetName val="Material_8"/>
      <sheetName val="Labour_&amp;_Plant8"/>
      <sheetName val="pr_cal8"/>
      <sheetName val="TRF_details8"/>
      <sheetName val="Materials_Cost8"/>
      <sheetName val="Inputs_&amp;_Summary_Output9"/>
      <sheetName val="Broad_Refresher_Model9"/>
      <sheetName val="Abstract_for_Variation9"/>
      <sheetName val="LBD_VARIATION9"/>
      <sheetName val="Fin_Sum9"/>
      <sheetName val="Cost_of_O_&amp;_O9"/>
      <sheetName val="Material_List_9"/>
      <sheetName val="Material_9"/>
      <sheetName val="Labour_&amp;_Plant9"/>
      <sheetName val="pr_cal9"/>
      <sheetName val="TRF_details9"/>
      <sheetName val="Materials_Cost9"/>
      <sheetName val="B@__x005f_x005f_x005F"/>
      <sheetName val="cctv_est1"/>
      <sheetName val="wt"/>
      <sheetName val="B@_?_x0004_@?__$_x0"/>
      <sheetName val="Config"/>
      <sheetName val="Break Dw"/>
      <sheetName val="[Spt-BH.xls][Spt-BH.xls]B__2077"/>
      <sheetName val="[Spt-BH.xls][Spt-BH.xls]B__2078"/>
      <sheetName val="[Spt-BH.xls][Spt-BH.xls]_Sp_732"/>
      <sheetName val="[Spt-BH.xls][Spt-BH.xls]B__2079"/>
      <sheetName val="[Spt-BH.xls][Spt-BH.xls]B__2080"/>
      <sheetName val="[Spt-BH.xls][Spt-BH.xls]B__2084"/>
      <sheetName val="[Spt-BH.xls][Spt-BH.xls]B__2085"/>
      <sheetName val="[Spt-BH.xls][Spt-BH.xls]_Sp_734"/>
      <sheetName val="[Spt-BH.xls][Spt-BH.xls]B__2086"/>
      <sheetName val="[Spt-BH.xls][Spt-BH.xls]B__2087"/>
      <sheetName val="[Spt-BH.xls]B____x005f_x0004______172"/>
      <sheetName val="[Spt-BH.xls]B___x005f_x0000__x000_169"/>
      <sheetName val="[Spt-BH.xls][Spt-BH.xls]B__2088"/>
      <sheetName val="[Spt-BH.xls][Spt-BH.xls]B__2089"/>
      <sheetName val="[Spt-BH.xls][Spt-BH.xls]B__2081"/>
      <sheetName val="[Spt-BH.xls][Spt-BH.xls]B__2082"/>
      <sheetName val="[Spt-BH.xls][Spt-BH.xls]B__2083"/>
      <sheetName val="[Spt-BH.xls][Spt-BH.xls]_Sp_731"/>
      <sheetName val="[Spt-BH.xls][Spt-BH.xls]_Sp_733"/>
      <sheetName val="[Spt-BH.xls][Spt-BH_xls]B__2068"/>
      <sheetName val="[Spt-BH.xls][Spt-BH_xls]B__2069"/>
      <sheetName val="[Spt-BH.xls][Spt-BH_xls]B__2070"/>
      <sheetName val="[Spt-BH.xls][Spt-BH_xls]B__2071"/>
      <sheetName val="[Spt-BH.xls][Spt-BH_xls]_Sp_680"/>
      <sheetName val="[Spt-BH.xls][Spt-BH_xls]B__2072"/>
      <sheetName val="[Spt-BH.xls][Spt-BH_xls]B__2073"/>
      <sheetName val="[Spt-BH.xls][Spt-BH_xls]B__2074"/>
      <sheetName val="[Spt-BH.xls][Spt-BH_xls]_Sp_681"/>
      <sheetName val="[Spt-BH.xls][Spt-BH_xls]B__2075"/>
      <sheetName val="[Spt-BH.xls][Spt-BH_xls]B__2076"/>
      <sheetName val="[Spt-BH.xls][Spt-BH_xls]B__2077"/>
      <sheetName val="[Spt-BH.xls][Spt-BH_xls]B__2078"/>
      <sheetName val="[Spt-BH.xls][Spt-BH_xls]_Sp_682"/>
      <sheetName val="[Spt-BH.xls][Spt-BH_xls]B__2079"/>
      <sheetName val="[Spt-BH.xls][Spt-BH_xls]B__2080"/>
      <sheetName val="[Spt-BH.xls][Spt-BH_xls]_Sp_683"/>
      <sheetName val="[Spt-BH.xls][Spt-BH_xls]B__2081"/>
      <sheetName val="[Spt-BH.xls][Spt-BH_xls]B__2082"/>
      <sheetName val="[Spt-BH.xls][Spt-BH_xls]_Sp_684"/>
      <sheetName val="[Spt-BH.xls][Spt-BH.xls]_Sp_728"/>
      <sheetName val="[Spt-BH.xls][Spt-BH.xls]B__2070"/>
      <sheetName val="[Spt-BH.xls][Spt-BH.xls]B__2071"/>
      <sheetName val="[Spt-BH.xls][Spt-BH.xls]B__2072"/>
      <sheetName val="[Spt-BH.xls][Spt-BH.xls]B__2073"/>
      <sheetName val="[Spt-BH.xls]B____x005f_x0004______171"/>
      <sheetName val="[Spt-BH.xls]B___x005f_x0000__x000_168"/>
      <sheetName val="[Spt-BH.xls][Spt-BH.xls]B__2074"/>
      <sheetName val="[Spt-BH.xls][Spt-BH.xls]B__2075"/>
      <sheetName val="[Spt-BH.xls][Spt-BH.xls]B__2076"/>
      <sheetName val="[Spt-BH.xls][Spt-BH.xls]_Sp_729"/>
      <sheetName val="[Spt-BH.xls][Spt-BH_xls]B__2053"/>
      <sheetName val="[Spt-BH.xls][Spt-BH_xls]B__2054"/>
      <sheetName val="[Spt-BH.xls][Spt-BH_xls]B__2055"/>
      <sheetName val="[Spt-BH.xls][Spt-BH_xls]B__2056"/>
      <sheetName val="[Spt-BH.xls][Spt-BH_xls]_Sp_675"/>
      <sheetName val="[Spt-BH.xls][Spt-BH_xls]B__2057"/>
      <sheetName val="[Spt-BH.xls][Spt-BH_xls]B__2058"/>
      <sheetName val="[Spt-BH.xls][Spt-BH_xls]B__2059"/>
      <sheetName val="[Spt-BH.xls][Spt-BH_xls]_Sp_676"/>
      <sheetName val="[Spt-BH.xls][Spt-BH_xls]B__2060"/>
      <sheetName val="[Spt-BH.xls][Spt-BH_xls]B__2061"/>
      <sheetName val="[Spt-BH.xls][Spt-BH_xls]B__2062"/>
      <sheetName val="[Spt-BH.xls][Spt-BH_xls]B__2063"/>
      <sheetName val="[Spt-BH.xls][Spt-BH_xls]_Sp_677"/>
      <sheetName val="[Spt-BH.xls][Spt-BH_xls]B__2064"/>
      <sheetName val="[Spt-BH.xls][Spt-BH_xls]B__2065"/>
      <sheetName val="[Spt-BH.xls][Spt-BH_xls]_Sp_678"/>
      <sheetName val="[Spt-BH.xls][Spt-BH_xls]B__2066"/>
      <sheetName val="[Spt-BH.xls][Spt-BH_xls]B__2067"/>
      <sheetName val="[Spt-BH.xls][Spt-BH_xls]_Sp_679"/>
      <sheetName val="[Spt-BH.xls][Spt-BH.xls]_Sp_737"/>
      <sheetName val="[Spt-BH.xls][Spt-BH.xls]B__2097"/>
      <sheetName val="[Spt-BH.xls][Spt-BH.xls]B__2098"/>
      <sheetName val="[Spt-BH.xls][Spt-BH.xls]B__2099"/>
      <sheetName val="[Spt-BH.xls][Spt-BH.xls]B__2100"/>
      <sheetName val="[Spt-BH.xls][Spt-BH.xls]B__2101"/>
      <sheetName val="[Spt-BH.xls][Spt-BH.xls]B__2102"/>
      <sheetName val="[Spt-BH.xls][Spt-BH.xls]_Sp_738"/>
      <sheetName val="[Spt-BH.xls][Spt-BH.xls]_Sp_741"/>
      <sheetName val="[Spt-BH.xls][Spt-BH.xls]_Sp_742"/>
      <sheetName val="[Spt-BH.xls]B____x005f_x0004______174"/>
      <sheetName val="[Spt-BH.xls]B___x005f_x0000__x000_171"/>
      <sheetName val="[Spt-BH.xls][Spt-BH.xls]B__2109"/>
      <sheetName val="[Spt-BH.xls][Spt-BH_xls]B__2098"/>
      <sheetName val="[Spt-BH.xls][Spt-BH_xls]B__2099"/>
      <sheetName val="[Spt-BH.xls][Spt-BH_xls]B__2100"/>
      <sheetName val="[Spt-BH.xls][Spt-BH_xls]B__2101"/>
      <sheetName val="[Spt-BH.xls][Spt-BH_xls]_Sp_690"/>
      <sheetName val="[Spt-BH.xls][Spt-BH_xls]B__2102"/>
      <sheetName val="[Spt-BH.xls][Spt-BH_xls]B__2103"/>
      <sheetName val="[Spt-BH.xls][Spt-BH_xls]B__2104"/>
      <sheetName val="[Spt-BH.xls][Spt-BH_xls]_Sp_691"/>
      <sheetName val="[Spt-BH.xls][Spt-BH_xls]B__2105"/>
      <sheetName val="[Spt-BH.xls][Spt-BH_xls]B__2106"/>
      <sheetName val="[Spt-BH.xls][Spt-BH_xls]B__2107"/>
      <sheetName val="[Spt-BH.xls][Spt-BH_xls]B__2108"/>
      <sheetName val="[Spt-BH.xls][Spt-BH_xls]_Sp_692"/>
      <sheetName val="[Spt-BH.xls][Spt-BH_xls]B__2109"/>
      <sheetName val="[Spt-BH.xls][Spt-BH_xls]B__2110"/>
      <sheetName val="[Spt-BH.xls][Spt-BH_xls]_Sp_693"/>
      <sheetName val="[Spt-BH.xls][Spt-BH_xls]B__2111"/>
      <sheetName val="[Spt-BH.xls][Spt-BH_xls]B__2112"/>
      <sheetName val="[Spt-BH.xls][Spt-BH_xls]_Sp_694"/>
      <sheetName val="[Spt-BH.xls][Spt-BH.xls]B__2110"/>
      <sheetName val="[Spt-BH.xls][Spt-BH.xls]B__2111"/>
      <sheetName val="[Spt-BH.xls][Spt-BH.xls]_Sp_747"/>
      <sheetName val="[Spt-BH.xls][Spt-BH.xls]B__2112"/>
      <sheetName val="[Spt-BH.xls][Spt-BH.xls]B__2113"/>
      <sheetName val="[Spt-BH.xls][Spt-BH.xls]B__2124"/>
      <sheetName val="[Spt-BH.xls][Spt-BH.xls]B__2125"/>
      <sheetName val="[Spt-BH.xls][Spt-BH.xls]_Sp_751"/>
      <sheetName val="[Spt-BH.xls][Spt-BH.xls]B__2126"/>
      <sheetName val="[Spt-BH.xls][Spt-BH.xls]B__2127"/>
      <sheetName val="[Spt-BH.xls]B____x005f_x0004______175"/>
      <sheetName val="[Spt-BH.xls]B___x005f_x0000__x000_172"/>
      <sheetName val="[Spt-BH.xls][Spt-BH.xls]B__2128"/>
      <sheetName val="[Spt-BH.xls][Spt-BH.xls]B__2129"/>
      <sheetName val="[Spt-BH.xls][Spt-BH.xls]B__2114"/>
      <sheetName val="[Spt-BH.xls][Spt-BH.xls]B__2115"/>
      <sheetName val="[Spt-BH.xls][Spt-BH.xls]B__2116"/>
      <sheetName val="[Spt-BH.xls][Spt-BH.xls]_Sp_744"/>
      <sheetName val="[Spt-BH.xls][Spt-BH.xls]_Sp_748"/>
      <sheetName val="[Spt-BH.xls][Spt-BH_xls]B__2113"/>
      <sheetName val="[Spt-BH.xls][Spt-BH_xls]B__2114"/>
      <sheetName val="[Spt-BH.xls][Spt-BH_xls]B__2115"/>
      <sheetName val="[Spt-BH.xls][Spt-BH_xls]B__2116"/>
      <sheetName val="[Spt-BH.xls][Spt-BH_xls]_Sp_695"/>
      <sheetName val="[Spt-BH.xls][Spt-BH_xls]B__2117"/>
      <sheetName val="[Spt-BH.xls][Spt-BH_xls]B__2118"/>
      <sheetName val="[Spt-BH.xls][Spt-BH_xls]B__2119"/>
      <sheetName val="[Spt-BH.xls][Spt-BH_xls]_Sp_696"/>
      <sheetName val="[Spt-BH.xls][Spt-BH_xls]B__2120"/>
      <sheetName val="[Spt-BH.xls][Spt-BH_xls]B__2121"/>
      <sheetName val="[Spt-BH.xls][Spt-BH_xls]B__2122"/>
      <sheetName val="[Spt-BH.xls][Spt-BH_xls]B__2123"/>
      <sheetName val="[Spt-BH.xls][Spt-BH_xls]_Sp_697"/>
      <sheetName val="[Spt-BH.xls][Spt-BH_xls]B__2124"/>
      <sheetName val="[Spt-BH.xls][Spt-BH_xls]B__2125"/>
      <sheetName val="[Spt-BH.xls][Spt-BH_xls]_Sp_698"/>
      <sheetName val="[Spt-BH.xls][Spt-BH_xls]B__2126"/>
      <sheetName val="[Spt-BH.xls][Spt-BH_xls]B__2127"/>
      <sheetName val="[Spt-BH.xls][Spt-BH_xls]_Sp_699"/>
      <sheetName val="[Spt-BH.xls][Spt-BH.xls]B__2117"/>
      <sheetName val="[Spt-BH.xls][Spt-BH.xls]B__2118"/>
      <sheetName val="[Spt-BH.xls][Spt-BH.xls]B__2119"/>
      <sheetName val="[Spt-BH.xls][Spt-BH.xls]B__2120"/>
      <sheetName val="[Spt-BH.xls]B____x005f_x0004______176"/>
      <sheetName val="[Spt-BH.xls]B___x005f_x0000__x000_173"/>
      <sheetName val="[Spt-BH.xls][Spt-BH.xls]_Sp_745"/>
      <sheetName val="[Spt-BH.xls][Spt-BH.xls]B__2121"/>
      <sheetName val="[Spt-BH.xls][Spt-BH.xls]B__2122"/>
      <sheetName val="[Spt-BH.xls][Spt-BH.xls]B__2123"/>
      <sheetName val="[Spt-BH.xls][Spt-BH.xls]_Sp_746"/>
      <sheetName val="[Spt-BH.xls][Spt-BH_xls]B__2128"/>
      <sheetName val="[Spt-BH.xls][Spt-BH_xls]B__2129"/>
      <sheetName val="[Spt-BH.xls][Spt-BH_xls]B__2130"/>
      <sheetName val="[Spt-BH.xls][Spt-BH_xls]B__2131"/>
      <sheetName val="[Spt-BH.xls][Spt-BH_xls]_Sp_700"/>
      <sheetName val="[Spt-BH.xls][Spt-BH_xls]B__2132"/>
      <sheetName val="[Spt-BH.xls][Spt-BH_xls]B__2133"/>
      <sheetName val="[Spt-BH.xls][Spt-BH_xls]B__2134"/>
      <sheetName val="[Spt-BH.xls][Spt-BH_xls]_Sp_701"/>
      <sheetName val="[Spt-BH.xls][Spt-BH_xls]B__2135"/>
      <sheetName val="[Spt-BH.xls][Spt-BH_xls]B__2136"/>
      <sheetName val="[Spt-BH.xls][Spt-BH_xls]B__2137"/>
      <sheetName val="[Spt-BH.xls][Spt-BH_xls]B__2138"/>
      <sheetName val="[Spt-BH.xls][Spt-BH_xls]_Sp_702"/>
      <sheetName val="[Spt-BH.xls][Spt-BH_xls]B__2139"/>
      <sheetName val="[Spt-BH.xls][Spt-BH_xls]B__2140"/>
      <sheetName val="[Spt-BH.xls][Spt-BH_xls]_Sp_703"/>
      <sheetName val="[Spt-BH.xls][Spt-BH_xls]B__2141"/>
      <sheetName val="[Spt-BH.xls][Spt-BH_xls]B__2142"/>
      <sheetName val="[Spt-BH.xls][Spt-BH_xls]_Sp_704"/>
      <sheetName val="[Spt-BH.xls][Spt-BH.xls]_Sp_749"/>
      <sheetName val="[Spt-BH.xls][Spt-BH.xls]B__2130"/>
      <sheetName val="[Spt-BH.xls][Spt-BH.xls]B__2131"/>
      <sheetName val="[Spt-BH.xls][Spt-BH.xls]B__2132"/>
      <sheetName val="[Spt-BH.xls][Spt-BH.xls]B__2133"/>
      <sheetName val="[Spt-BH.xls][Spt-BH.xls]B__2134"/>
      <sheetName val="[Spt-BH.xls][Spt-BH.xls]B__2135"/>
      <sheetName val="[Spt-BH.xls][Spt-BH.xls]_Sp_750"/>
      <sheetName val="[Spt-BH.xls][Spt-BH.xls]B__2137"/>
      <sheetName val="[Spt-BH.xls][Spt-BH.xls]B__2138"/>
      <sheetName val="[Spt-BH.xls][Spt-BH.xls]_Sp_753"/>
      <sheetName val="[Spt-BH.xls][Spt-BH.xls]B__2139"/>
      <sheetName val="[Spt-BH.xls][Spt-BH.xls]B__2140"/>
      <sheetName val="[Spt-BH.xls]B____x005f_x0004______177"/>
      <sheetName val="[Spt-BH.xls]B___x005f_x0000__x000_174"/>
      <sheetName val="[Spt-BH.xls][Spt-BH.xls]B__2141"/>
      <sheetName val="[Spt-BH.xls][Spt-BH.xls]B__2142"/>
      <sheetName val="[Spt-BH.xls][Spt-BH.xls]B__2136"/>
      <sheetName val="[Spt-BH.xls][Spt-BH.xls]_Sp_752"/>
      <sheetName val="[Spt-BH.xls][Spt-BH_xls]B__2143"/>
      <sheetName val="[Spt-BH.xls][Spt-BH_xls]B__2144"/>
      <sheetName val="[Spt-BH.xls][Spt-BH_xls]B__2145"/>
      <sheetName val="[Spt-BH.xls][Spt-BH_xls]B__2146"/>
      <sheetName val="[Spt-BH.xls][Spt-BH_xls]_Sp_705"/>
      <sheetName val="[Spt-BH.xls][Spt-BH_xls]B__2147"/>
      <sheetName val="[Spt-BH.xls][Spt-BH_xls]B__2148"/>
      <sheetName val="[Spt-BH.xls][Spt-BH_xls]B__2149"/>
      <sheetName val="[Spt-BH.xls][Spt-BH_xls]_Sp_706"/>
      <sheetName val="[Spt-BH.xls][Spt-BH_xls]B__2150"/>
      <sheetName val="[Spt-BH.xls][Spt-BH_xls]B__2151"/>
      <sheetName val="[Spt-BH.xls][Spt-BH_xls]B__2152"/>
      <sheetName val="[Spt-BH.xls][Spt-BH_xls]B__2153"/>
      <sheetName val="[Spt-BH.xls][Spt-BH_xls]_Sp_707"/>
      <sheetName val="[Spt-BH.xls][Spt-BH_xls]B__2154"/>
      <sheetName val="[Spt-BH.xls][Spt-BH_xls]B__2155"/>
      <sheetName val="[Spt-BH.xls][Spt-BH_xls]_Sp_708"/>
      <sheetName val="[Spt-BH.xls][Spt-BH_xls]B__2156"/>
      <sheetName val="[Spt-BH.xls][Spt-BH_xls]B__2157"/>
      <sheetName val="[Spt-BH.xls][Spt-BH_xls]_Sp_709"/>
      <sheetName val="[Spt-BH.xls][Spt-BH.xls]B__2143"/>
      <sheetName val="[Spt-BH.xls][Spt-BH.xls]B__2144"/>
      <sheetName val="[Spt-BH.xls][Spt-BH.xls]B__2145"/>
      <sheetName val="[Spt-BH.xls][Spt-BH.xls]B__2146"/>
      <sheetName val="[Spt-BH.xls][Spt-BH.xls]B__2147"/>
      <sheetName val="[Spt-BH.xls][Spt-BH.xls]B__2148"/>
      <sheetName val="[Spt-BH.xls][Spt-BH.xls]_Sp_754"/>
      <sheetName val="[Spt-BH.xls][Spt-BH.xls]B__2185"/>
      <sheetName val="[Spt-BH.xls][Spt-BH.xls]B__2186"/>
      <sheetName val="[Spt-BH.xls][Spt-BH.xls]B__2187"/>
      <sheetName val="[Spt-BH.xls][Spt-BH.xls]B__2188"/>
      <sheetName val="[Spt-BH.xls][Spt-BH.xls]B__2189"/>
      <sheetName val="[Spt-BH.xls][Spt-BH.xls]_Sp_762"/>
      <sheetName val="[Spt-BH.xls][Spt-BH.xls]B__2190"/>
      <sheetName val="[Spt-BH.xls][Spt-BH.xls]B__2155"/>
      <sheetName val="[Spt-BH.xls][Spt-BH.xls]B__2156"/>
      <sheetName val="[Spt-BH.xls][Spt-BH.xls]B__2157"/>
      <sheetName val="[Spt-BH.xls][Spt-BH.xls]B__2158"/>
      <sheetName val="[Spt-BH.xls][Spt-BH.xls]B__2159"/>
      <sheetName val="[Spt-BH.xls][Spt-BH.xls]_Sp_757"/>
      <sheetName val="[Spt-BH.xls][Spt-BH.xls]B__2160"/>
      <sheetName val="[Spt-BH.xls][Spt-BH.xls]B__2161"/>
      <sheetName val="[Spt-BH.xls][Spt-BH.xls]B__2162"/>
      <sheetName val="[Spt-BH.xls][Spt-BH.xls]B__2163"/>
      <sheetName val="[Spt-BH.xls][Spt-BH.xls]B__2164"/>
      <sheetName val="[Spt-BH.xls][Spt-BH.xls]B__2165"/>
      <sheetName val="[Spt-BH.xls][Spt-BH.xls]_Sp_758"/>
      <sheetName val="[Spt-BH.xls][Spt-BH.xls]B__2166"/>
      <sheetName val="[Spt-BH.xls][Spt-BH.xls]B__2167"/>
      <sheetName val="[Spt-BH.xls][Spt-BH.xls]B__2168"/>
      <sheetName val="[Spt-BH.xls][Spt-BH.xls]B__2169"/>
      <sheetName val="[Spt-BH.xls][Spt-BH.xls]B__2170"/>
      <sheetName val="[Spt-BH.xls][Spt-BH.xls]B__2171"/>
      <sheetName val="[Spt-BH.xls][Spt-BH.xls]_Sp_759"/>
      <sheetName val="[Spt-BH.xls][Spt-BH.xls]B__2172"/>
      <sheetName val="[Spt-BH.xls][Spt-BH.xls]B__2173"/>
      <sheetName val="[Spt-BH.xls][Spt-BH.xls]B__2174"/>
      <sheetName val="[Spt-BH.xls][Spt-BH.xls]B__2175"/>
      <sheetName val="[Spt-BH.xls][Spt-BH.xls]B__2176"/>
      <sheetName val="[Spt-BH.xls][Spt-BH.xls]B__2177"/>
      <sheetName val="[Spt-BH.xls][Spt-BH.xls]_Sp_760"/>
      <sheetName val="[Spt-BH.xls][Spt-BH.xls]B__2178"/>
      <sheetName val="[Spt-BH.xls][Spt-BH.xls]B__2179"/>
      <sheetName val="[Spt-BH.xls][Spt-BH.xls]B__2180"/>
      <sheetName val="[Spt-BH.xls][Spt-BH.xls]B__2181"/>
      <sheetName val="[Spt-BH.xls][Spt-BH.xls]B__2182"/>
      <sheetName val="[Spt-BH.xls][Spt-BH.xls]B__2183"/>
      <sheetName val="[Spt-BH.xls][Spt-BH.xls]_Sp_761"/>
      <sheetName val="[Spt-BH.xls][Spt-BH.xls]B__2184"/>
      <sheetName val="[Spt-BH.xls][Spt-BH.xls]B__2217"/>
      <sheetName val="[Spt-BH.xls][Spt-BH.xls]B__2218"/>
      <sheetName val="[Spt-BH.xls][Spt-BH.xls]_Sp_776"/>
      <sheetName val="[Spt-BH.xls][Spt-BH.xls]B__2219"/>
      <sheetName val="[Spt-BH.xls][Spt-BH.xls]B__2220"/>
      <sheetName val="[Spt-BH.xls]B____x005f_x0004______179"/>
      <sheetName val="[Spt-BH.xls]B___x005f_x0000__x000_176"/>
      <sheetName val="[Spt-BH.xls][Spt-BH.xls]B__2221"/>
      <sheetName val="[Spt-BH.xls][Spt-BH.xls]B__2222"/>
      <sheetName val="[Spt-BH.xls][Spt-BH.xls]B__2204"/>
      <sheetName val="[Spt-BH.xls][Spt-BH.xls]_Sp_775"/>
      <sheetName val="[Spt-BH.xls][Spt-BH_xls]B__2173"/>
      <sheetName val="[Spt-BH.xls][Spt-BH_xls]B__2174"/>
      <sheetName val="[Spt-BH.xls][Spt-BH_xls]B__2175"/>
      <sheetName val="[Spt-BH.xls][Spt-BH_xls]B__2176"/>
      <sheetName val="[Spt-BH.xls][Spt-BH_xls]_Sp_715"/>
      <sheetName val="[Spt-BH.xls][Spt-BH_xls]B__2177"/>
      <sheetName val="[Spt-BH.xls][Spt-BH_xls]B__2178"/>
      <sheetName val="[Spt-BH.xls][Spt-BH_xls]B__2179"/>
      <sheetName val="[Spt-BH.xls][Spt-BH_xls]_Sp_716"/>
      <sheetName val="[Spt-BH.xls][Spt-BH_xls]B__2180"/>
      <sheetName val="[Spt-BH.xls][Spt-BH_xls]B__2181"/>
      <sheetName val="[Spt-BH.xls][Spt-BH_xls]B__2182"/>
      <sheetName val="[Spt-BH.xls][Spt-BH_xls]B__2183"/>
      <sheetName val="[Spt-BH.xls][Spt-BH_xls]_Sp_717"/>
      <sheetName val="[Spt-BH.xls][Spt-BH_xls]B__2184"/>
      <sheetName val="[Spt-BH.xls][Spt-BH_xls]B__2185"/>
      <sheetName val="[Spt-BH.xls][Spt-BH_xls]_Sp_718"/>
      <sheetName val="[Spt-BH.xls][Spt-BH_xls]B__2186"/>
      <sheetName val="[Spt-BH.xls][Spt-BH_xls]B__2187"/>
      <sheetName val="[Spt-BH.xls][Spt-BH_xls]_Sp_719"/>
      <sheetName val="[Spt-BH.xls][Spt-BH.xls]_Sp_767"/>
      <sheetName val="[Spt-BH.xls][Spt-BH.xls]B__2205"/>
      <sheetName val="[Spt-BH.xls][Spt-BH.xls]B__2206"/>
      <sheetName val="[Spt-BH.xls][Spt-BH.xls]B__2207"/>
      <sheetName val="[Spt-BH.xls][Spt-BH.xls]B__2208"/>
      <sheetName val="[Spt-BH.xls][Spt-BH.xls]B__2209"/>
      <sheetName val="[Spt-BH.xls][Spt-BH.xls]B__2210"/>
      <sheetName val="[Spt-BH.xls][Spt-BH.xls]_Sp_768"/>
      <sheetName val="[Spt-BH.xls][Spt-BH.xls]_Sp_769"/>
      <sheetName val="[Spt-BH.xls][Spt-BH.xls]B__2211"/>
      <sheetName val="[Spt-BH.xls][Spt-BH.xls]B__2212"/>
      <sheetName val="[Spt-BH.xls][Spt-BH.xls]B__2213"/>
      <sheetName val="[Spt-BH.xls][Spt-BH.xls]B__2214"/>
      <sheetName val="[Spt-BH.xls][Spt-BH.xls]B__2215"/>
      <sheetName val="[Spt-BH.xls][Spt-BH.xls]B__2216"/>
      <sheetName val="[Spt-BH.xls][Spt-BH.xls]_Sp_770"/>
      <sheetName val="[Spt-BH.xls][Spt-BH.xls]_Sp_771"/>
      <sheetName val="[Spt-BH.xls][Spt-BH.xls]_Sp_772"/>
      <sheetName val="[Spt-BH.xls][Spt-BH.xls]_Sp_773"/>
      <sheetName val="[Spt-BH.xls][Spt-BH.xls]_Sp_777"/>
      <sheetName val="[Spt-BH.xls][Spt-BH.xls]B__2224"/>
      <sheetName val="[Spt-BH.xls][Spt-BH.xls]B__2225"/>
      <sheetName val="[Spt-BH.xls][Spt-BH.xls]_Sp_779"/>
      <sheetName val="[Spt-BH.xls][Spt-BH.xls]B__2226"/>
      <sheetName val="[Spt-BH.xls][Spt-BH.xls]B__2227"/>
      <sheetName val="[Spt-BH.xls]B____x005f_x0004______180"/>
      <sheetName val="[Spt-BH.xls]B___x005f_x0000__x000_177"/>
      <sheetName val="[Spt-BH.xls][Spt-BH.xls]B__2228"/>
      <sheetName val="[Spt-BH.xls][Spt-BH.xls]B__2229"/>
      <sheetName val="[Spt-BH.xls][Spt-BH.xls]B__2223"/>
      <sheetName val="[Spt-BH.xls][Spt-BH.xls]_Sp_778"/>
      <sheetName val="[Spt-BH.xls][Spt-BH_xls]B__2188"/>
      <sheetName val="[Spt-BH.xls][Spt-BH_xls]B__2189"/>
      <sheetName val="[Spt-BH.xls][Spt-BH_xls]B__2190"/>
      <sheetName val="[Spt-BH.xls][Spt-BH_xls]B__2191"/>
      <sheetName val="[Spt-BH.xls][Spt-BH_xls]_Sp_720"/>
      <sheetName val="[Spt-BH.xls][Spt-BH_xls]B__2192"/>
      <sheetName val="[Spt-BH.xls][Spt-BH_xls]B__2193"/>
      <sheetName val="[Spt-BH.xls][Spt-BH_xls]B__2194"/>
      <sheetName val="[Spt-BH.xls][Spt-BH_xls]_Sp_721"/>
      <sheetName val="[Spt-BH.xls][Spt-BH_xls]B__2195"/>
      <sheetName val="[Spt-BH.xls][Spt-BH_xls]B__2196"/>
      <sheetName val="[Spt-BH.xls][Spt-BH_xls]B__2197"/>
      <sheetName val="[Spt-BH.xls][Spt-BH_xls]B__2198"/>
      <sheetName val="[Spt-BH.xls][Spt-BH_xls]_Sp_722"/>
      <sheetName val="[Spt-BH.xls][Spt-BH_xls]B__2199"/>
      <sheetName val="[Spt-BH.xls][Spt-BH_xls]B__2200"/>
      <sheetName val="[Spt-BH.xls][Spt-BH_xls]_Sp_723"/>
      <sheetName val="[Spt-BH.xls][Spt-BH_xls]B__2201"/>
      <sheetName val="[Spt-BH.xls][Spt-BH_xls]B__2202"/>
      <sheetName val="[Spt-BH.xls][Spt-BH_xls]_Sp_724"/>
      <sheetName val="[Spt-BH.xls][Spt-BH.xls]_Sp_780"/>
      <sheetName val="[Spt-BH.xls][Spt-BH.xls]B__2230"/>
      <sheetName val="[Spt-BH.xls][Spt-BH.xls]B__2231"/>
      <sheetName val="[Spt-BH.xls][Spt-BH.xls]_Sp_782"/>
      <sheetName val="[Spt-BH.xls][Spt-BH.xls]B__2232"/>
      <sheetName val="[Spt-BH.xls][Spt-BH.xls]B__2233"/>
      <sheetName val="[Spt-BH.xls][Spt-BH.xls]B__2234"/>
      <sheetName val="[Spt-BH.xls][Spt-BH.xls]B__2235"/>
      <sheetName val="[Spt-BH.xls][Spt-BH.xls]_Sp_781"/>
      <sheetName val="[Spt-BH.xls][Spt-BH.xls]B__2237"/>
      <sheetName val="[Spt-BH.xls][Spt-BH.xls]B__2238"/>
      <sheetName val="[Spt-BH.xls][Spt-BH.xls]_Sp_784"/>
      <sheetName val="[Spt-BH.xls][Spt-BH.xls]B__2239"/>
      <sheetName val="[Spt-BH.xls][Spt-BH.xls]B__2240"/>
      <sheetName val="[Spt-BH.xls]B____x005f_x0004______181"/>
      <sheetName val="[Spt-BH.xls]B___x005f_x0000__x000_178"/>
      <sheetName val="[Spt-BH.xls][Spt-BH.xls]B__2241"/>
      <sheetName val="[Spt-BH.xls][Spt-BH.xls]B__2242"/>
      <sheetName val="[Spt-BH.xls][Spt-BH.xls]B__2236"/>
      <sheetName val="[Spt-BH.xls][Spt-BH.xls]_Sp_783"/>
      <sheetName val="[Spt-BH.xls][Spt-BH_xls]B__2203"/>
      <sheetName val="[Spt-BH.xls][Spt-BH_xls]B__2204"/>
      <sheetName val="[Spt-BH.xls][Spt-BH_xls]B__2205"/>
      <sheetName val="[Spt-BH.xls][Spt-BH_xls]B__2206"/>
      <sheetName val="[Spt-BH.xls][Spt-BH_xls]_Sp_725"/>
      <sheetName val="[Spt-BH.xls][Spt-BH_xls]B__2207"/>
      <sheetName val="[Spt-BH.xls][Spt-BH_xls]B__2208"/>
      <sheetName val="[Spt-BH.xls][Spt-BH_xls]B__2209"/>
      <sheetName val="[Spt-BH.xls][Spt-BH_xls]_Sp_726"/>
      <sheetName val="[Spt-BH.xls][Spt-BH_xls]B__2210"/>
      <sheetName val="[Spt-BH.xls][Spt-BH_xls]B__2211"/>
      <sheetName val="[Spt-BH.xls][Spt-BH_xls]B__2212"/>
      <sheetName val="[Spt-BH.xls][Spt-BH_xls]B__2213"/>
      <sheetName val="[Spt-BH.xls][Spt-BH_xls]_Sp_727"/>
      <sheetName val="[Spt-BH.xls][Spt-BH_xls]B__2214"/>
      <sheetName val="[Spt-BH.xls][Spt-BH_xls]B__2215"/>
      <sheetName val="[Spt-BH.xls][Spt-BH_xls]_Sp_728"/>
      <sheetName val="[Spt-BH.xls][Spt-BH_xls]B__2216"/>
      <sheetName val="[Spt-BH.xls][Spt-BH_xls]B__2217"/>
      <sheetName val="[Spt-BH.xls][Spt-BH_xls]_Sp_729"/>
      <sheetName val="[Spt-BH.xls][Spt-BH.xls]B__2243"/>
      <sheetName val="[Spt-BH.xls][Spt-BH.xls]B__2244"/>
      <sheetName val="[Spt-BH.xls][Spt-BH.xls]_Sp_787"/>
      <sheetName val="[Spt-BH.xls][Spt-BH.xls]B__2245"/>
      <sheetName val="[Spt-BH.xls][Spt-BH.xls]B__2246"/>
      <sheetName val="[Spt-BH.xls][Spt-BH.xls]B__2247"/>
      <sheetName val="[Spt-BH.xls][Spt-BH.xls]B__2248"/>
      <sheetName val="[Spt-BH.xls][Spt-BH.xls]_Sp_785"/>
      <sheetName val="[Spt-BH.xls][Spt-BH.xls]_Sp_786"/>
      <sheetName val="[Spt-BH.xls][Spt-BH.xls]_Sp_788"/>
      <sheetName val="[Spt-BH.xls][Spt-BH.xls]B__2249"/>
      <sheetName val="[Spt-BH.xls][Spt-BH.xls]B__2250"/>
      <sheetName val="[Spt-BH.xls][Spt-BH.xls]_Sp_790"/>
      <sheetName val="[Spt-BH.xls][Spt-BH.xls]B__2251"/>
      <sheetName val="[Spt-BH.xls][Spt-BH.xls]B__2252"/>
      <sheetName val="[Spt-BH.xls][Spt-BH.xls]B__2253"/>
      <sheetName val="[Spt-BH.xls][Spt-BH.xls]B__2254"/>
      <sheetName val="[Spt-BH.xls][Spt-BH.xls]_Sp_789"/>
      <sheetName val="[Spt-BH.xls][Spt-BH.xls]_Sp_791"/>
      <sheetName val="[Spt-BH.xls][Spt-BH.xls]_Sp_793"/>
      <sheetName val="[Spt-BH.xls][Spt-BH.xls]_Sp_792"/>
      <sheetName val="[Spt-BH.xls][Spt-BH.xls]B__2255"/>
      <sheetName val="[Spt-BH.xls][Spt-BH.xls]B__2256"/>
      <sheetName val="[Spt-BH.xls][Spt-BH.xls]_Sp_796"/>
      <sheetName val="[Spt-BH.xls][Spt-BH.xls]B__2257"/>
      <sheetName val="[Spt-BH.xls][Spt-BH.xls]B__2258"/>
      <sheetName val="[Spt-BH.xls][Spt-BH.xls]B__2259"/>
      <sheetName val="[Spt-BH.xls][Spt-BH.xls]_Sp_794"/>
      <sheetName val="[Spt-BH.xls][Spt-BH.xls]B__2260"/>
      <sheetName val="[Spt-BH.xls][Spt-BH.xls]_Sp_795"/>
      <sheetName val="[Spt-BH.xls][Spt-BH.xls]B__2262"/>
      <sheetName val="[Spt-BH.xls][Spt-BH.xls]B__2263"/>
      <sheetName val="[Spt-BH.xls][Spt-BH.xls]_Sp_811"/>
      <sheetName val="[Spt-BH.xls][Spt-BH.xls]B__2264"/>
      <sheetName val="[Spt-BH.xls][Spt-BH.xls]B__2265"/>
      <sheetName val="[Spt-BH.xls]B____x005f_x0004______182"/>
      <sheetName val="[Spt-BH.xls]B___x005f_x0000__x000_179"/>
      <sheetName val="[Spt-BH.xls][Spt-BH.xls]B__2266"/>
      <sheetName val="[Spt-BH.xls][Spt-BH.xls]B__2267"/>
      <sheetName val="[Spt-BH.xls][Spt-BH.xls]B__2261"/>
      <sheetName val="[Spt-BH.xls][Spt-BH.xls]_Sp_797"/>
      <sheetName val="[Spt-BH.xls][Spt-BH.xls]B__2302"/>
      <sheetName val="[Spt-BH.xls][Spt-BH.xls]B__2303"/>
      <sheetName val="[Spt-BH.xls][Spt-BH.xls]_Sp_813"/>
      <sheetName val="[Spt-BH.xls][Spt-BH.xls]B__2304"/>
      <sheetName val="[Spt-BH.xls][Spt-BH.xls]B__2305"/>
      <sheetName val="[Spt-BH.xls]B____x005f_x0004______183"/>
      <sheetName val="[Spt-BH.xls]B___x005f_x0000__x000_180"/>
      <sheetName val="[Spt-BH.xls][Spt-BH.xls]B__2306"/>
      <sheetName val="[Spt-BH.xls][Spt-BH.xls]B__2307"/>
      <sheetName val="[Spt-BH.xls][Spt-BH.xls]B__2268"/>
      <sheetName val="[Spt-BH.xls][Spt-BH.xls]_Sp_812"/>
      <sheetName val="[Spt-BH.xls][Spt-BH_xls]B__2218"/>
      <sheetName val="[Spt-BH.xls][Spt-BH_xls]B__2219"/>
      <sheetName val="[Spt-BH.xls][Spt-BH_xls]B__2220"/>
      <sheetName val="[Spt-BH.xls][Spt-BH_xls]B__2221"/>
      <sheetName val="[Spt-BH.xls][Spt-BH_xls]_Sp_730"/>
      <sheetName val="[Spt-BH.xls][Spt-BH_xls]B__2222"/>
      <sheetName val="[Spt-BH.xls][Spt-BH_xls]B__2223"/>
      <sheetName val="[Spt-BH.xls][Spt-BH_xls]B__2224"/>
      <sheetName val="[Spt-BH.xls][Spt-BH_xls]_Sp_731"/>
      <sheetName val="[Spt-BH.xls][Spt-BH_xls]B__2225"/>
      <sheetName val="[Spt-BH.xls][Spt-BH_xls]B__2226"/>
      <sheetName val="[Spt-BH.xls][Spt-BH_xls]B__2227"/>
      <sheetName val="[Spt-BH.xls][Spt-BH_xls]B__2228"/>
      <sheetName val="[Spt-BH.xls][Spt-BH_xls]_Sp_732"/>
      <sheetName val="[Spt-BH.xls][Spt-BH_xls]B__2229"/>
      <sheetName val="[Spt-BH.xls][Spt-BH_xls]B__2230"/>
      <sheetName val="[Spt-BH.xls][Spt-BH_xls]_Sp_733"/>
      <sheetName val="[Spt-BH.xls][Spt-BH_xls]B__2231"/>
      <sheetName val="[Spt-BH.xls][Spt-BH_xls]B__2232"/>
      <sheetName val="[Spt-BH.xls][Spt-BH_xls]_Sp_734"/>
      <sheetName val="[Spt-BH.xls][Spt-BH.xls]_Sp_801"/>
      <sheetName val="[Spt-BH.xls][Spt-BH.xls]B__2275"/>
      <sheetName val="[Spt-BH.xls][Spt-BH.xls]B__2276"/>
      <sheetName val="[Spt-BH.xls][Spt-BH.xls]_Sp_805"/>
      <sheetName val="[Spt-BH.xls][Spt-BH.xls]B__2277"/>
      <sheetName val="[Spt-BH.xls][Spt-BH.xls]B__2278"/>
      <sheetName val="[Spt-BH.xls][Spt-BH.xls]B__2279"/>
      <sheetName val="[Spt-BH.xls][Spt-BH.xls]B__2280"/>
      <sheetName val="[Spt-BH.xls][Spt-BH.xls]_Sp_802"/>
      <sheetName val="[Spt-BH.xls][Spt-BH.xls]_Sp_798"/>
      <sheetName val="[Spt-BH.xls][Spt-BH.xls]B__2269"/>
      <sheetName val="[Spt-BH.xls][Spt-BH.xls]B__2270"/>
      <sheetName val="[Spt-BH.xls][Spt-BH.xls]_Sp_800"/>
      <sheetName val="[Spt-BH.xls][Spt-BH.xls]B__2271"/>
      <sheetName val="[Spt-BH.xls][Spt-BH.xls]B__2272"/>
      <sheetName val="[Spt-BH.xls][Spt-BH.xls]B__2273"/>
      <sheetName val="[Spt-BH.xls][Spt-BH.xls]B__2274"/>
      <sheetName val="[Spt-BH.xls][Spt-BH.xls]_Sp_799"/>
      <sheetName val="[Spt-BH.xls][Spt-BH.xls]B__2288"/>
      <sheetName val="[Spt-BH.xls][Spt-BH.xls]B__2289"/>
      <sheetName val="[Spt-BH.xls][Spt-BH.xls]_Sp_807"/>
      <sheetName val="[Spt-BH.xls][Spt-BH.xls]B__2290"/>
      <sheetName val="[Spt-BH.xls][Spt-BH.xls]B__2291"/>
      <sheetName val="[Spt-BH.xls]B____x005f_x0004______184"/>
      <sheetName val="[Spt-BH.xls]B___x005f_x0000__x000_181"/>
      <sheetName val="[Spt-BH.xls][Spt-BH.xls]B__2292"/>
      <sheetName val="[Spt-BH.xls][Spt-BH.xls]B__2293"/>
      <sheetName val="[Spt-BH.xls][Spt-BH.xls]B__2281"/>
      <sheetName val="[Spt-BH.xls][Spt-BH.xls]_Sp_806"/>
      <sheetName val="[Spt-BH.xls][Spt-BH_xls]B__2233"/>
      <sheetName val="[Spt-BH.xls][Spt-BH_xls]B__2234"/>
      <sheetName val="[Spt-BH.xls][Spt-BH_xls]B__2235"/>
      <sheetName val="[Spt-BH.xls][Spt-BH_xls]B__2236"/>
      <sheetName val="[Spt-BH.xls][Spt-BH_xls]_Sp_735"/>
      <sheetName val="[Spt-BH.xls][Spt-BH_xls]B__2237"/>
      <sheetName val="[Spt-BH.xls][Spt-BH_xls]B__2238"/>
      <sheetName val="[Spt-BH.xls][Spt-BH_xls]B__2239"/>
      <sheetName val="[Spt-BH.xls][Spt-BH_xls]_Sp_736"/>
      <sheetName val="[Spt-BH.xls][Spt-BH_xls]B__2240"/>
      <sheetName val="[Spt-BH.xls][Spt-BH_xls]B__2241"/>
      <sheetName val="[Spt-BH.xls][Spt-BH_xls]B__2242"/>
      <sheetName val="[Spt-BH.xls][Spt-BH_xls]B__2243"/>
      <sheetName val="[Spt-BH.xls][Spt-BH_xls]_Sp_737"/>
      <sheetName val="[Spt-BH.xls][Spt-BH_xls]B__2244"/>
      <sheetName val="[Spt-BH.xls][Spt-BH_xls]B__2245"/>
      <sheetName val="[Spt-BH.xls][Spt-BH_xls]_Sp_738"/>
      <sheetName val="[Spt-BH.xls][Spt-BH_xls]B__2246"/>
      <sheetName val="[Spt-BH.xls][Spt-BH_xls]B__2247"/>
      <sheetName val="[Spt-BH.xls][Spt-BH_xls]_Sp_739"/>
      <sheetName val="[Spt-BH.xls][Spt-BH.xls]_Sp_803"/>
      <sheetName val="[Spt-BH.xls][Spt-BH.xls]B__2282"/>
      <sheetName val="[Spt-BH.xls][Spt-BH.xls]B__2283"/>
      <sheetName val="[Spt-BH.xls][Spt-BH.xls]B__2284"/>
      <sheetName val="[Spt-BH.xls][Spt-BH.xls]B__2285"/>
      <sheetName val="[Spt-BH.xls][Spt-BH.xls]B__2286"/>
      <sheetName val="[Spt-BH.xls][Spt-BH.xls]B__2287"/>
      <sheetName val="[Spt-BH.xls][Spt-BH.xls]_Sp_804"/>
      <sheetName val="[Spt-BH.xls][Spt-BH.xls]_Sp_810"/>
      <sheetName val="[Spt-BH.xls][Spt-BH.xls]B__2298"/>
      <sheetName val="[Spt-BH.xls][Spt-BH.xls]B__2299"/>
      <sheetName val="[Spt-BH.xls][Spt-BH.xls]B__2300"/>
      <sheetName val="[Spt-BH.xls][Spt-BH.xls]B__2301"/>
      <sheetName val="[Spt-BH.xls][Spt-BH.xls]_Sp_808"/>
      <sheetName val="[Spt-BH.xls][Spt-BH.xls]_Sp_809"/>
      <sheetName val="[Spt-BH.xls][Spt-BH.xls]B__2294"/>
      <sheetName val="[Spt-BH.xls][Spt-BH.xls]B__2295"/>
      <sheetName val="[Spt-BH.xls][Spt-BH.xls]B__2296"/>
      <sheetName val="[Spt-BH.xls][Spt-BH.xls]B__2297"/>
      <sheetName val="[Spt-BH.xls][Spt-BH.xls]B__3379"/>
      <sheetName val="[Spt-BH.xls][Spt-BH.xls]B__3380"/>
      <sheetName val="[Spt-BH.xls][Spt-BH.xls]_S_1194"/>
      <sheetName val="[Spt-BH.xls][Spt-BH.xls]B__3381"/>
      <sheetName val="[Spt-BH.xls][Spt-BH.xls]B__3382"/>
      <sheetName val="[Spt-BH.xls][Spt-BH.xls]B__2308"/>
      <sheetName val="[Spt-BH.xls][Spt-BH.xls]B__2309"/>
      <sheetName val="[Spt-BH.xls]B____x005f_x0004______185"/>
      <sheetName val="[Spt-BH.xls]B___x005f_x0000__x000_182"/>
      <sheetName val="[Spt-BH.xls][Spt-BH.xls]B__2310"/>
      <sheetName val="[Spt-BH.xls][Spt-BH.xls]B__2311"/>
      <sheetName val="[Spt-BH.xls][Spt-BH.xls]_Sp_818"/>
      <sheetName val="[Spt-BH.xls]B____x005f_x0004______188"/>
      <sheetName val="[Spt-BH.xls]B___x005f_x0000__x000_185"/>
      <sheetName val="[Spt-BH.xls][Spt-BH_xls]B__2248"/>
      <sheetName val="[Spt-BH.xls][Spt-BH_xls]B__2249"/>
      <sheetName val="[Spt-BH.xls][Spt-BH_xls]B__2250"/>
      <sheetName val="[Spt-BH.xls][Spt-BH_xls]B__2251"/>
      <sheetName val="[Spt-BH.xls][Spt-BH_xls]_Sp_740"/>
      <sheetName val="[Spt-BH.xls][Spt-BH_xls]B__2252"/>
      <sheetName val="[Spt-BH.xls][Spt-BH_xls]B__2253"/>
      <sheetName val="[Spt-BH.xls][Spt-BH_xls]B__2254"/>
      <sheetName val="[Spt-BH.xls][Spt-BH_xls]_Sp_741"/>
      <sheetName val="[Spt-BH.xls][Spt-BH_xls]B__2255"/>
      <sheetName val="[Spt-BH.xls][Spt-BH_xls]B__2256"/>
      <sheetName val="[Spt-BH.xls][Spt-BH_xls]B__2257"/>
      <sheetName val="[Spt-BH.xls][Spt-BH_xls]B__2258"/>
      <sheetName val="[Spt-BH.xls][Spt-BH_xls]_Sp_742"/>
      <sheetName val="[Spt-BH.xls][Spt-BH_xls]B__2259"/>
      <sheetName val="[Spt-BH.xls][Spt-BH_xls]B__2260"/>
      <sheetName val="[Spt-BH.xls][Spt-BH_xls]_Sp_743"/>
      <sheetName val="[Spt-BH.xls][Spt-BH_xls]B__2261"/>
      <sheetName val="[Spt-BH.xls][Spt-BH_xls]B__2262"/>
      <sheetName val="[Spt-BH.xls][Spt-BH_xls]_Sp_744"/>
      <sheetName val="[Spt-BH.xls]B____x005f_x0004______186"/>
      <sheetName val="[Spt-BH.xls]B___x005f_x0000__x000_183"/>
      <sheetName val="[Spt-BH.xls]B____x005f_x0004______187"/>
      <sheetName val="[Spt-BH.xls]B___x005f_x0000__x000_184"/>
      <sheetName val="[Spt-BH.xls]B____x005f_x0004______189"/>
      <sheetName val="[Spt-BH.xls]B___x005f_x0000__x000_186"/>
      <sheetName val="[Spt-BH.xls][Spt-BH_xls]B__2263"/>
      <sheetName val="[Spt-BH.xls][Spt-BH_xls]B__2264"/>
      <sheetName val="[Spt-BH.xls][Spt-BH_xls]B__2265"/>
      <sheetName val="[Spt-BH.xls][Spt-BH_xls]B__2266"/>
      <sheetName val="[Spt-BH.xls][Spt-BH_xls]_Sp_745"/>
      <sheetName val="[Spt-BH.xls][Spt-BH_xls]B__2267"/>
      <sheetName val="[Spt-BH.xls][Spt-BH_xls]B__2268"/>
      <sheetName val="[Spt-BH.xls][Spt-BH_xls]B__2269"/>
      <sheetName val="[Spt-BH.xls][Spt-BH_xls]_Sp_746"/>
      <sheetName val="[Spt-BH.xls][Spt-BH_xls]B__2270"/>
      <sheetName val="[Spt-BH.xls][Spt-BH_xls]B__2271"/>
      <sheetName val="[Spt-BH.xls][Spt-BH_xls]B__2272"/>
      <sheetName val="[Spt-BH.xls][Spt-BH_xls]B__2273"/>
      <sheetName val="[Spt-BH.xls][Spt-BH_xls]_Sp_747"/>
      <sheetName val="[Spt-BH.xls][Spt-BH_xls]B__2274"/>
      <sheetName val="[Spt-BH.xls][Spt-BH_xls]B__2275"/>
      <sheetName val="[Spt-BH.xls][Spt-BH_xls]_Sp_748"/>
      <sheetName val="[Spt-BH.xls][Spt-BH_xls]B__2276"/>
      <sheetName val="[Spt-BH.xls][Spt-BH_xls]B__2277"/>
      <sheetName val="[Spt-BH.xls][Spt-BH_xls]_Sp_749"/>
      <sheetName val="[Spt-BH.xls]B____x005f_x0004______191"/>
      <sheetName val="[Spt-BH.xls]B___x005f_x0000__x000_188"/>
      <sheetName val="[Spt-BH.xls][Spt-BH_xls]B__2293"/>
      <sheetName val="[Spt-BH.xls][Spt-BH_xls]B__2294"/>
      <sheetName val="[Spt-BH.xls][Spt-BH_xls]B__2295"/>
      <sheetName val="[Spt-BH.xls][Spt-BH_xls]B__2296"/>
      <sheetName val="[Spt-BH.xls][Spt-BH_xls]_Sp_755"/>
      <sheetName val="[Spt-BH.xls][Spt-BH_xls]B__2297"/>
      <sheetName val="[Spt-BH.xls][Spt-BH_xls]B__2298"/>
      <sheetName val="[Spt-BH.xls][Spt-BH_xls]B__2299"/>
      <sheetName val="[Spt-BH.xls][Spt-BH_xls]_Sp_756"/>
      <sheetName val="[Spt-BH.xls][Spt-BH_xls]B__2300"/>
      <sheetName val="[Spt-BH.xls][Spt-BH_xls]B__2301"/>
      <sheetName val="[Spt-BH.xls][Spt-BH_xls]B__2302"/>
      <sheetName val="[Spt-BH.xls][Spt-BH_xls]B__2303"/>
      <sheetName val="[Spt-BH.xls][Spt-BH_xls]_Sp_757"/>
      <sheetName val="[Spt-BH.xls][Spt-BH_xls]B__2304"/>
      <sheetName val="[Spt-BH.xls][Spt-BH_xls]B__2305"/>
      <sheetName val="[Spt-BH.xls][Spt-BH_xls]_Sp_758"/>
      <sheetName val="[Spt-BH.xls][Spt-BH_xls]B__2306"/>
      <sheetName val="[Spt-BH.xls][Spt-BH_xls]B__2307"/>
      <sheetName val="[Spt-BH.xls][Spt-BH_xls]_Sp_759"/>
      <sheetName val="[Spt-BH.xls]B____x005f_x0004______190"/>
      <sheetName val="[Spt-BH.xls]B___x005f_x0000__x000_187"/>
      <sheetName val="[Spt-BH.xls][Spt-BH_xls]B__2278"/>
      <sheetName val="[Spt-BH.xls][Spt-BH_xls]B__2279"/>
      <sheetName val="[Spt-BH.xls][Spt-BH_xls]B__2280"/>
      <sheetName val="[Spt-BH.xls][Spt-BH_xls]B__2281"/>
      <sheetName val="[Spt-BH.xls][Spt-BH_xls]_Sp_750"/>
      <sheetName val="[Spt-BH.xls][Spt-BH_xls]B__2282"/>
      <sheetName val="[Spt-BH.xls][Spt-BH_xls]B__2283"/>
      <sheetName val="[Spt-BH.xls][Spt-BH_xls]B__2284"/>
      <sheetName val="[Spt-BH.xls][Spt-BH_xls]_Sp_751"/>
      <sheetName val="[Spt-BH.xls][Spt-BH_xls]B__2285"/>
      <sheetName val="[Spt-BH.xls][Spt-BH_xls]B__2286"/>
      <sheetName val="[Spt-BH.xls][Spt-BH_xls]B__2287"/>
      <sheetName val="[Spt-BH.xls][Spt-BH_xls]B__2288"/>
      <sheetName val="[Spt-BH.xls][Spt-BH_xls]_Sp_752"/>
      <sheetName val="[Spt-BH.xls][Spt-BH_xls]B__2289"/>
      <sheetName val="[Spt-BH.xls][Spt-BH_xls]B__2290"/>
      <sheetName val="[Spt-BH.xls][Spt-BH_xls]_Sp_753"/>
      <sheetName val="[Spt-BH.xls][Spt-BH_xls]B__2291"/>
      <sheetName val="[Spt-BH.xls][Spt-BH_xls]B__2292"/>
      <sheetName val="[Spt-BH.xls][Spt-BH_xls]_Sp_754"/>
      <sheetName val="[Spt-BH.xls]B____x005f_x0004______192"/>
      <sheetName val="[Spt-BH.xls]B___x005f_x0000__x000_189"/>
      <sheetName val="[Spt-BH.xls][Spt-BH_xls]B__2308"/>
      <sheetName val="[Spt-BH.xls][Spt-BH_xls]B__2309"/>
      <sheetName val="[Spt-BH.xls][Spt-BH_xls]B__2310"/>
      <sheetName val="[Spt-BH.xls][Spt-BH_xls]B__2311"/>
      <sheetName val="[Spt-BH.xls][Spt-BH_xls]_Sp_760"/>
      <sheetName val="[Spt-BH.xls][Spt-BH_xls]B__2312"/>
      <sheetName val="[Spt-BH.xls][Spt-BH_xls]B__2313"/>
      <sheetName val="[Spt-BH.xls][Spt-BH_xls]B__2314"/>
      <sheetName val="[Spt-BH.xls][Spt-BH_xls]_Sp_761"/>
      <sheetName val="[Spt-BH.xls][Spt-BH_xls]B__2315"/>
      <sheetName val="[Spt-BH.xls][Spt-BH_xls]B__2316"/>
      <sheetName val="[Spt-BH.xls][Spt-BH_xls]B__2317"/>
      <sheetName val="[Spt-BH.xls][Spt-BH_xls]B__2318"/>
      <sheetName val="[Spt-BH.xls][Spt-BH_xls]_Sp_762"/>
      <sheetName val="[Spt-BH.xls][Spt-BH_xls]B__2319"/>
      <sheetName val="[Spt-BH.xls][Spt-BH_xls]B__2320"/>
      <sheetName val="[Spt-BH.xls][Spt-BH_xls]_Sp_763"/>
      <sheetName val="[Spt-BH.xls][Spt-BH_xls]B__2321"/>
      <sheetName val="[Spt-BH.xls][Spt-BH_xls]B__2322"/>
      <sheetName val="[Spt-BH.xls][Spt-BH_xls]_Sp_764"/>
      <sheetName val="[Spt-BH.xls]B____x005f_x0004______193"/>
      <sheetName val="[Spt-BH.xls]B___x005f_x0000__x000_190"/>
      <sheetName val="[Spt-BH.xls][Spt-BH_xls]B__2323"/>
      <sheetName val="[Spt-BH.xls][Spt-BH_xls]B__2324"/>
      <sheetName val="[Spt-BH.xls][Spt-BH_xls]B__2325"/>
      <sheetName val="[Spt-BH.xls][Spt-BH_xls]B__2326"/>
      <sheetName val="[Spt-BH.xls][Spt-BH_xls]_Sp_765"/>
      <sheetName val="[Spt-BH.xls][Spt-BH_xls]B__2327"/>
      <sheetName val="[Spt-BH.xls][Spt-BH_xls]B__2328"/>
      <sheetName val="[Spt-BH.xls][Spt-BH_xls]B__2329"/>
      <sheetName val="[Spt-BH.xls][Spt-BH_xls]_Sp_766"/>
      <sheetName val="[Spt-BH.xls][Spt-BH_xls]B__2330"/>
      <sheetName val="[Spt-BH.xls][Spt-BH_xls]B__2331"/>
      <sheetName val="[Spt-BH.xls][Spt-BH_xls]B__2332"/>
      <sheetName val="[Spt-BH.xls][Spt-BH_xls]B__2333"/>
      <sheetName val="[Spt-BH.xls][Spt-BH_xls]_Sp_767"/>
      <sheetName val="[Spt-BH.xls][Spt-BH_xls]B__2334"/>
      <sheetName val="[Spt-BH.xls][Spt-BH_xls]B__2335"/>
      <sheetName val="[Spt-BH.xls][Spt-BH_xls]_Sp_768"/>
      <sheetName val="[Spt-BH.xls][Spt-BH_xls]B__2336"/>
      <sheetName val="[Spt-BH.xls][Spt-BH_xls]B__2337"/>
      <sheetName val="[Spt-BH.xls][Spt-BH_xls]_Sp_769"/>
      <sheetName val="[Spt-BH.xls][Spt-BH.xls]B__2319"/>
      <sheetName val="[Spt-BH.xls][Spt-BH.xls]B__2320"/>
      <sheetName val="[Spt-BH.xls][Spt-BH.xls]_Sp_817"/>
      <sheetName val="[Spt-BH.xls][Spt-BH.xls]B__2321"/>
      <sheetName val="[Spt-BH.xls][Spt-BH.xls]B__2322"/>
      <sheetName val="[Spt-BH.xls]B____x005f_x0004______194"/>
      <sheetName val="[Spt-BH.xls]B___x005f_x0000__x000_191"/>
      <sheetName val="[Spt-BH.xls][Spt-BH.xls]B__2323"/>
      <sheetName val="[Spt-BH.xls][Spt-BH.xls]B__2312"/>
      <sheetName val="[Spt-BH.xls][Spt-BH.xls]B__2313"/>
      <sheetName val="[Spt-BH.xls][Spt-BH.xls]_Sp_815"/>
      <sheetName val="[Spt-BH.xls][Spt-BH.xls]B__2314"/>
      <sheetName val="[Spt-BH.xls][Spt-BH.xls]B__2315"/>
      <sheetName val="[Spt-BH.xls][Spt-BH.xls]B__2324"/>
      <sheetName val="[Spt-BH.xls][Spt-BH.xls]B__2316"/>
      <sheetName val="[Spt-BH.xls][Spt-BH.xls]B__2317"/>
      <sheetName val="[Spt-BH.xls][Spt-BH.xls]B__2318"/>
      <sheetName val="[Spt-BH.xls][Spt-BH.xls]_Sp_816"/>
      <sheetName val="[Spt-BH.xls][Spt-BH_xls]B__2338"/>
      <sheetName val="[Spt-BH.xls][Spt-BH_xls]B__2339"/>
      <sheetName val="[Spt-BH.xls][Spt-BH_xls]B__2340"/>
      <sheetName val="[Spt-BH.xls][Spt-BH_xls]B__2341"/>
      <sheetName val="[Spt-BH.xls][Spt-BH_xls]_Sp_770"/>
      <sheetName val="[Spt-BH.xls][Spt-BH_xls]B__2342"/>
      <sheetName val="[Spt-BH.xls][Spt-BH_xls]B__2343"/>
      <sheetName val="[Spt-BH.xls][Spt-BH_xls]B__2344"/>
      <sheetName val="[Spt-BH.xls][Spt-BH_xls]_Sp_771"/>
      <sheetName val="[Spt-BH.xls][Spt-BH_xls]B__2345"/>
      <sheetName val="[Spt-BH.xls][Spt-BH_xls]B__2346"/>
      <sheetName val="[Spt-BH.xls][Spt-BH_xls]B__2347"/>
      <sheetName val="[Spt-BH.xls][Spt-BH_xls]B__2348"/>
      <sheetName val="[Spt-BH.xls][Spt-BH_xls]_Sp_772"/>
      <sheetName val="[Spt-BH.xls][Spt-BH.xls]_Sp_814"/>
      <sheetName val="[Spt-BH.xls][Spt-BH_xls]B__2349"/>
      <sheetName val="[Spt-BH.xls][Spt-BH_xls]B__2350"/>
      <sheetName val="[Spt-BH.xls][Spt-BH_xls]_Sp_773"/>
      <sheetName val="[Spt-BH.xls][Spt-BH_xls]B__2351"/>
      <sheetName val="[Spt-BH.xls][Spt-BH_xls]B__2352"/>
      <sheetName val="[Spt-BH.xls][Spt-BH_xls]_Sp_774"/>
      <sheetName val="[Spt-BH.xls][Spt-BH.xls]_Sp_851"/>
      <sheetName val="[Spt-BH.xls][Spt-BH.xls]_Sp_848"/>
      <sheetName val="[Spt-BH.xls][Spt-BH.xls]B__2325"/>
      <sheetName val="[Spt-BH.xls][Spt-BH.xls]B__2326"/>
      <sheetName val="[Spt-BH.xls][Spt-BH.xls]_Sp_819"/>
      <sheetName val="[Spt-BH.xls][Spt-BH.xls]B__2327"/>
      <sheetName val="[Spt-BH.xls][Spt-BH.xls]B__2328"/>
      <sheetName val="[Spt-BH.xls][Spt-BH.xls]_Sp_836"/>
      <sheetName val="[Spt-BH.xls][Spt-BH.xls]B__2329"/>
      <sheetName val="[Spt-BH.xls][Spt-BH.xls]B__2330"/>
      <sheetName val="[Spt-BH.xls][Spt-BH.xls]B__2332"/>
      <sheetName val="[Spt-BH.xls][Spt-BH.xls]B__2333"/>
      <sheetName val="[Spt-BH.xls][Spt-BH.xls]_Sp_829"/>
      <sheetName val="[Spt-BH.xls][Spt-BH.xls]B__2334"/>
      <sheetName val="[Spt-BH.xls][Spt-BH.xls]B__2335"/>
      <sheetName val="[Spt-BH.xls]B____x005f_x0004______195"/>
      <sheetName val="[Spt-BH.xls]B___x005f_x0000__x000_192"/>
      <sheetName val="[Spt-BH.xls][Spt-BH.xls]B__2336"/>
      <sheetName val="[Spt-BH.xls][Spt-BH.xls]B__2337"/>
      <sheetName val="[Spt-BH.xls][Spt-BH.xls]_Sp_820"/>
      <sheetName val="[Spt-BH.xls][Spt-BH_xls]B__2353"/>
      <sheetName val="[Spt-BH.xls][Spt-BH_xls]B__2354"/>
      <sheetName val="[Spt-BH.xls][Spt-BH_xls]B__2355"/>
      <sheetName val="[Spt-BH.xls][Spt-BH_xls]B__2356"/>
      <sheetName val="[Spt-BH.xls][Spt-BH_xls]_Sp_775"/>
      <sheetName val="[Spt-BH.xls][Spt-BH_xls]B__2357"/>
      <sheetName val="[Spt-BH.xls][Spt-BH_xls]B__2358"/>
      <sheetName val="[Spt-BH.xls][Spt-BH_xls]B__2359"/>
      <sheetName val="[Spt-BH.xls][Spt-BH_xls]_Sp_776"/>
      <sheetName val="[Spt-BH.xls][Spt-BH_xls]B__2360"/>
      <sheetName val="[Spt-BH.xls][Spt-BH_xls]B__2361"/>
      <sheetName val="[Spt-BH.xls][Spt-BH_xls]B__2362"/>
      <sheetName val="[Spt-BH.xls][Spt-BH_xls]B__2363"/>
      <sheetName val="[Spt-BH.xls][Spt-BH_xls]_Sp_777"/>
      <sheetName val="[Spt-BH.xls][Spt-BH.xls]B__2331"/>
      <sheetName val="[Spt-BH.xls][Spt-BH_xls]B__2364"/>
      <sheetName val="[Spt-BH.xls][Spt-BH_xls]B__2365"/>
      <sheetName val="[Spt-BH.xls][Spt-BH_xls]_Sp_778"/>
      <sheetName val="[Spt-BH.xls][Spt-BH_xls]B__2366"/>
      <sheetName val="[Spt-BH.xls][Spt-BH_xls]B__2367"/>
      <sheetName val="[Spt-BH.xls][Spt-BH_xls]_Sp_779"/>
      <sheetName val="[Spt-BH.xls][Spt-BH.xls]B__2369"/>
      <sheetName val="[Spt-BH.xls][Spt-BH.xls]B__2370"/>
      <sheetName val="[Spt-BH.xls][Spt-BH.xls]_Sp_831"/>
      <sheetName val="[Spt-BH.xls][Spt-BH.xls]B__2371"/>
      <sheetName val="[Spt-BH.xls][Spt-BH.xls]B__2372"/>
      <sheetName val="[Spt-BH.xls][Spt-BH.xls]B__2373"/>
      <sheetName val="[Spt-BH.xls][Spt-BH.xls]B__2374"/>
      <sheetName val="[Spt-BH.xls][Spt-BH.xls]_Sp_830"/>
      <sheetName val="[Spt-BH.xls][Spt-BH.xls]_Sp_824"/>
      <sheetName val="[Spt-BH.xls][Spt-BH.xls]B__2357"/>
      <sheetName val="[Spt-BH.xls][Spt-BH.xls]B__2358"/>
      <sheetName val="[Spt-BH.xls][Spt-BH.xls]_Sp_826"/>
      <sheetName val="[Spt-BH.xls][Spt-BH.xls]B__2359"/>
      <sheetName val="[Spt-BH.xls][Spt-BH.xls]B__2360"/>
      <sheetName val="[Spt-BH.xls]B____x005f_x0004______197"/>
      <sheetName val="[Spt-BH.xls]B___x005f_x0000__x000_194"/>
      <sheetName val="[Spt-BH.xls][Spt-BH.xls]B__2361"/>
      <sheetName val="[Spt-BH.xls][Spt-BH.xls]B__2350"/>
      <sheetName val="[Spt-BH.xls][Spt-BH.xls]B__2351"/>
      <sheetName val="[Spt-BH.xls][Spt-BH.xls]_Sp_825"/>
      <sheetName val="[Spt-BH.xls][Spt-BH.xls]B__2352"/>
      <sheetName val="[Spt-BH.xls][Spt-BH.xls]B__2353"/>
      <sheetName val="[Spt-BH.xls][Spt-BH.xls]B__2362"/>
      <sheetName val="[Spt-BH.xls][Spt-BH.xls]B__2354"/>
      <sheetName val="[Spt-BH.xls][Spt-BH.xls]B__2355"/>
      <sheetName val="[Spt-BH.xls][Spt-BH.xls]_Sp_821"/>
      <sheetName val="[Spt-BH.xls][Spt-BH.xls]B__2338"/>
      <sheetName val="[Spt-BH.xls][Spt-BH.xls]B__2339"/>
      <sheetName val="[Spt-BH.xls][Spt-BH.xls]B__2340"/>
      <sheetName val="[Spt-BH.xls][Spt-BH.xls]B__2341"/>
      <sheetName val="[Spt-BH.xls][Spt-BH.xls]B__2342"/>
      <sheetName val="[Spt-BH.xls][Spt-BH.xls]B__2343"/>
      <sheetName val="[Spt-BH.xls][Spt-BH.xls]_Sp_822"/>
      <sheetName val="[Spt-BH.xls][Spt-BH.xls]_Sp_823"/>
      <sheetName val="[Spt-BH.xls]B____x005f_x0004______196"/>
      <sheetName val="[Spt-BH.xls]B___x005f_x0000__x000_193"/>
      <sheetName val="[Spt-BH.xls][Spt-BH.xls]B__2344"/>
      <sheetName val="[Spt-BH.xls][Spt-BH.xls]B__2345"/>
      <sheetName val="[Spt-BH.xls][Spt-BH.xls]B__2346"/>
      <sheetName val="[Spt-BH.xls][Spt-BH.xls]B__2347"/>
      <sheetName val="[Spt-BH.xls][Spt-BH.xls]B__2356"/>
      <sheetName val="[Spt-BH.xls][Spt-BH.xls]B__2348"/>
      <sheetName val="[Spt-BH.xls][Spt-BH.xls]B__2349"/>
      <sheetName val="[Spt-BH.xls]B____x005f_x0004______198"/>
      <sheetName val="[Spt-BH.xls]B___x005f_x0000__x000_195"/>
      <sheetName val="[Spt-BH.xls]B____x005f_x0004______199"/>
      <sheetName val="[Spt-BH.xls]B___x005f_x0000__x000_196"/>
      <sheetName val="[Spt-BH.xls]B____x005f_x0004______200"/>
      <sheetName val="[Spt-BH.xls]B___x005f_x0000__x000_197"/>
      <sheetName val="[Spt-BH.xls]B____x005f_x0004______202"/>
      <sheetName val="[Spt-BH.xls]B___x005f_x0000__x000_199"/>
      <sheetName val="[Spt-BH.xls]B____x005f_x0004______201"/>
      <sheetName val="[Spt-BH.xls]B___x005f_x0000__x000_198"/>
      <sheetName val="[Spt-BH.xls][Spt-BH.xls]_Sp_827"/>
      <sheetName val="[Spt-BH.xls][Spt-BH.xls]B__2363"/>
      <sheetName val="[Spt-BH.xls][Spt-BH.xls]B__2364"/>
      <sheetName val="[Spt-BH.xls][Spt-BH.xls]B__2365"/>
      <sheetName val="[Spt-BH.xls][Spt-BH.xls]B__2366"/>
      <sheetName val="[Spt-BH.xls][Spt-BH.xls]B__2367"/>
      <sheetName val="[Spt-BH.xls][Spt-BH.xls]B__2368"/>
      <sheetName val="[Spt-BH.xls][Spt-BH.xls]_Sp_828"/>
      <sheetName val="[Spt-BH.xls][Spt-BH.xls]B__2375"/>
      <sheetName val="[Spt-BH.xls][Spt-BH.xls]B__2376"/>
      <sheetName val="[Spt-BH.xls][Spt-BH.xls]_Sp_834"/>
      <sheetName val="[Spt-BH.xls][Spt-BH.xls]B__2377"/>
      <sheetName val="[Spt-BH.xls][Spt-BH.xls]B__2378"/>
      <sheetName val="[Spt-BH.xls][Spt-BH.xls]B__2379"/>
      <sheetName val="[Spt-BH.xls][Spt-BH.xls]_Sp_832"/>
      <sheetName val="[Spt-BH.xls][Spt-BH.xls]B__2380"/>
      <sheetName val="[Spt-BH.xls][Spt-BH.xls]_Sp_833"/>
      <sheetName val="[Spt-BH.xls][Spt-BH.xls]B__2388"/>
      <sheetName val="[Spt-BH.xls][Spt-BH.xls]B__2389"/>
      <sheetName val="[Spt-BH.xls][Spt-BH.xls]_Sp_839"/>
      <sheetName val="[Spt-BH.xls][Spt-BH.xls]B__2390"/>
      <sheetName val="[Spt-BH.xls][Spt-BH.xls]B__2391"/>
      <sheetName val="[Spt-BH.xls]B____x005f_x0004______203"/>
      <sheetName val="[Spt-BH.xls][Spt-BH.xls]B__2381"/>
      <sheetName val="[Spt-BH.xls][Spt-BH.xls]B__2382"/>
      <sheetName val="[Spt-BH.xls][Spt-BH.xls]B__2383"/>
      <sheetName val="[Spt-BH.xls][Spt-BH.xls]B__2384"/>
      <sheetName val="[Spt-BH.xls]B___x005f_x0000__x000_200"/>
      <sheetName val="[Spt-BH.xls][Spt-BH.xls]B__2392"/>
      <sheetName val="[Spt-BH.xls][Spt-BH.xls]B__2385"/>
      <sheetName val="[Spt-BH.xls][Spt-BH.xls]B__2386"/>
      <sheetName val="[Spt-BH.xls][Spt-BH.xls]B__2393"/>
      <sheetName val="[Spt-BH.xls][Spt-BH.xls]B__2387"/>
      <sheetName val="[Spt-BH.xls][Spt-BH.xls]_Sp_837"/>
      <sheetName val="[Spt-BH.xls][Spt-BH_xls]B__2368"/>
      <sheetName val="[Spt-BH.xls][Spt-BH_xls]B__2369"/>
      <sheetName val="[Spt-BH.xls][Spt-BH_xls]B__2370"/>
      <sheetName val="[Spt-BH.xls][Spt-BH_xls]B__2371"/>
      <sheetName val="[Spt-BH.xls][Spt-BH_xls]_Sp_780"/>
      <sheetName val="[Spt-BH.xls][Spt-BH_xls]B__2372"/>
      <sheetName val="[Spt-BH.xls][Spt-BH_xls]B__2373"/>
      <sheetName val="[Spt-BH.xls][Spt-BH_xls]B__2374"/>
      <sheetName val="[Spt-BH.xls][Spt-BH_xls]_Sp_781"/>
      <sheetName val="[Spt-BH.xls][Spt-BH_xls]B__2375"/>
      <sheetName val="[Spt-BH.xls][Spt-BH_xls]B__2376"/>
      <sheetName val="[Spt-BH.xls][Spt-BH_xls]B__2377"/>
      <sheetName val="[Spt-BH.xls][Spt-BH_xls]B__2378"/>
      <sheetName val="[Spt-BH.xls][Spt-BH_xls]_Sp_782"/>
      <sheetName val="[Spt-BH.xls][Spt-BH.xls]_Sp_835"/>
      <sheetName val="[Spt-BH.xls][Spt-BH_xls]B__2379"/>
      <sheetName val="[Spt-BH.xls][Spt-BH_xls]B__2380"/>
      <sheetName val="[Spt-BH.xls][Spt-BH_xls]_Sp_783"/>
      <sheetName val="[Spt-BH.xls][Spt-BH_xls]B__2381"/>
      <sheetName val="[Spt-BH.xls][Spt-BH_xls]B__2382"/>
      <sheetName val="[Spt-BH.xls][Spt-BH_xls]_Sp_784"/>
      <sheetName val="[Spt-BH.xls][Spt-BH.xls]B__2394"/>
      <sheetName val="[Spt-BH.xls][Spt-BH.xls]B__2395"/>
      <sheetName val="[Spt-BH.xls][Spt-BH.xls]_Sp_841"/>
      <sheetName val="[Spt-BH.xls][Spt-BH.xls]B__2396"/>
      <sheetName val="[Spt-BH.xls][Spt-BH.xls]B__2397"/>
      <sheetName val="[Spt-BH.xls][Spt-BH.xls]B__2398"/>
      <sheetName val="[Spt-BH.xls][Spt-BH.xls]B__2399"/>
      <sheetName val="[Spt-BH.xls][Spt-BH.xls]_Sp_840"/>
      <sheetName val="[Spt-BH.xls][Spt-BH.xls]_Sp_838"/>
      <sheetName val="[Spt-BH.xls][Spt-BH.xls]_Sp_843"/>
      <sheetName val="[Spt-BH.xls][Spt-BH.xls]_Sp_842"/>
      <sheetName val="[Spt-BH.xls][Spt-BH.xls]B__2407"/>
      <sheetName val="[Spt-BH.xls][Spt-BH.xls]B__2408"/>
      <sheetName val="[Spt-BH.xls][Spt-BH.xls]B__2409"/>
      <sheetName val="[Spt-BH.xls][Spt-BH.xls]B__2410"/>
      <sheetName val="[Spt-BH.xls]B____x005f_x0004______204"/>
      <sheetName val="[Spt-BH.xls][Spt-BH.xls]B__2400"/>
      <sheetName val="[Spt-BH.xls][Spt-BH.xls]B__2401"/>
      <sheetName val="[Spt-BH.xls][Spt-BH.xls]_Sp_846"/>
      <sheetName val="[Spt-BH.xls][Spt-BH.xls]B__2402"/>
      <sheetName val="[Spt-BH.xls][Spt-BH.xls]B__2403"/>
      <sheetName val="[Spt-BH.xls]B___x005f_x0000__x000_201"/>
      <sheetName val="[Spt-BH.xls][Spt-BH.xls]B__2411"/>
      <sheetName val="[Spt-BH.xls][Spt-BH.xls]B__2404"/>
      <sheetName val="[Spt-BH.xls][Spt-BH.xls]_Sp_844"/>
      <sheetName val="[Spt-BH.xls][Spt-BH.xls]B__2405"/>
      <sheetName val="[Spt-BH.xls][Spt-BH.xls]B__2412"/>
      <sheetName val="[Spt-BH.xls][Spt-BH.xls]B__2406"/>
      <sheetName val="[Spt-BH.xls][Spt-BH.xls]_Sp_847"/>
      <sheetName val="[Spt-BH.xls][Spt-BH_xls]B__2383"/>
      <sheetName val="[Spt-BH.xls][Spt-BH_xls]B__2384"/>
      <sheetName val="[Spt-BH.xls][Spt-BH_xls]B__2385"/>
      <sheetName val="[Spt-BH.xls][Spt-BH_xls]B__2386"/>
      <sheetName val="[Spt-BH.xls][Spt-BH_xls]_Sp_785"/>
      <sheetName val="[Spt-BH.xls][Spt-BH_xls]B__2387"/>
      <sheetName val="[Spt-BH.xls][Spt-BH_xls]B__2388"/>
      <sheetName val="[Spt-BH.xls][Spt-BH_xls]B__2389"/>
      <sheetName val="[Spt-BH.xls][Spt-BH_xls]_Sp_786"/>
      <sheetName val="[Spt-BH.xls][Spt-BH_xls]B__2390"/>
      <sheetName val="[Spt-BH.xls][Spt-BH_xls]B__2391"/>
      <sheetName val="[Spt-BH.xls][Spt-BH_xls]B__2392"/>
      <sheetName val="[Spt-BH.xls][Spt-BH_xls]B__2393"/>
      <sheetName val="[Spt-BH.xls][Spt-BH_xls]_Sp_787"/>
      <sheetName val="[Spt-BH.xls][Spt-BH.xls]_Sp_845"/>
      <sheetName val="[Spt-BH.xls][Spt-BH_xls]B__2394"/>
      <sheetName val="[Spt-BH.xls][Spt-BH_xls]B__2395"/>
      <sheetName val="[Spt-BH.xls][Spt-BH_xls]_Sp_788"/>
      <sheetName val="[Spt-BH.xls][Spt-BH_xls]B__2396"/>
      <sheetName val="[Spt-BH.xls][Spt-BH_xls]B__2397"/>
      <sheetName val="[Spt-BH.xls][Spt-BH_xls]_Sp_789"/>
      <sheetName val="[Spt-BH.xls][Spt-BH.xls]_Sp_849"/>
      <sheetName val="[Spt-BH.xls][Spt-BH.xls]_Sp_850"/>
      <sheetName val="[Spt-BH.xls][Spt-BH.xls]B__2427"/>
      <sheetName val="[Spt-BH.xls][Spt-BH.xls]B__2428"/>
      <sheetName val="[Spt-BH.xls][Spt-BH.xls]_Sp_858"/>
      <sheetName val="[Spt-BH.xls][Spt-BH.xls]B__2429"/>
      <sheetName val="[Spt-BH.xls][Spt-BH.xls]B__2430"/>
      <sheetName val="[Spt-BH.xls][Spt-BH.xls]_Sp_854"/>
      <sheetName val="[Spt-BH.xls][Spt-BH.xls]B__2420"/>
      <sheetName val="[Spt-BH.xls][Spt-BH.xls]B__2421"/>
      <sheetName val="[Spt-BH.xls][Spt-BH.xls]_Sp_856"/>
      <sheetName val="[Spt-BH.xls][Spt-BH.xls]B__2422"/>
      <sheetName val="[Spt-BH.xls][Spt-BH.xls]B__2423"/>
      <sheetName val="[Spt-BH.xls][Spt-BH.xls]B__2424"/>
      <sheetName val="[Spt-BH.xls]B____x005f_x0004______206"/>
      <sheetName val="[Spt-BH.xls]B___x005f_x0000__x000_203"/>
      <sheetName val="[Spt-BH.xls][Spt-BH.xls]B__2431"/>
      <sheetName val="[Spt-BH.xls][Spt-BH.xls]B__2432"/>
      <sheetName val="[Spt-BH.xls][Spt-BH.xls]B__2425"/>
      <sheetName val="[Spt-BH.xls][Spt-BH.xls]B__2426"/>
      <sheetName val="[Spt-BH.xls][Spt-BH.xls]_Sp_857"/>
      <sheetName val="[Spt-BH.xls][Spt-BH_xls]B__2413"/>
      <sheetName val="[Spt-BH.xls][Spt-BH_xls]B__2414"/>
      <sheetName val="[Spt-BH.xls][Spt-BH_xls]B__2415"/>
      <sheetName val="[Spt-BH.xls][Spt-BH_xls]B__2416"/>
      <sheetName val="[Spt-BH.xls][Spt-BH_xls]_Sp_795"/>
      <sheetName val="[Spt-BH.xls][Spt-BH_xls]B__2417"/>
      <sheetName val="[Spt-BH.xls][Spt-BH_xls]B__2418"/>
      <sheetName val="[Spt-BH.xls][Spt-BH_xls]B__2419"/>
      <sheetName val="[Spt-BH.xls][Spt-BH_xls]_Sp_796"/>
      <sheetName val="[Spt-BH.xls][Spt-BH_xls]B__2420"/>
      <sheetName val="[Spt-BH.xls][Spt-BH_xls]B__2421"/>
      <sheetName val="[Spt-BH.xls][Spt-BH_xls]B__2422"/>
      <sheetName val="[Spt-BH.xls][Spt-BH_xls]B__2423"/>
      <sheetName val="[Spt-BH.xls][Spt-BH_xls]_Sp_797"/>
      <sheetName val="[Spt-BH.xls][Spt-BH.xls]_Sp_855"/>
      <sheetName val="[Spt-BH.xls][Spt-BH_xls]B__2424"/>
      <sheetName val="[Spt-BH.xls][Spt-BH_xls]B__2425"/>
      <sheetName val="[Spt-BH.xls][Spt-BH_xls]_Sp_798"/>
      <sheetName val="[Spt-BH.xls][Spt-BH_xls]B__2426"/>
      <sheetName val="[Spt-BH.xls][Spt-BH_xls]B__2427"/>
      <sheetName val="[Spt-BH.xls][Spt-BH_xls]_Sp_799"/>
      <sheetName val="[Spt-BH.xls][Spt-BH.xls]_Sp_852"/>
      <sheetName val="[Spt-BH.xls][Spt-BH.xls]B__2413"/>
      <sheetName val="[Spt-BH.xls][Spt-BH.xls]B__2414"/>
      <sheetName val="[Spt-BH.xls][Spt-BH.xls]B__2415"/>
      <sheetName val="[Spt-BH.xls][Spt-BH.xls]B__2416"/>
      <sheetName val="[Spt-BH.xls][Spt-BH.xls]B__2417"/>
      <sheetName val="[Spt-BH.xls]B____x005f_x0004______205"/>
      <sheetName val="[Spt-BH.xls]B___x005f_x0000__x000_202"/>
      <sheetName val="[Spt-BH.xls][Spt-BH.xls]B__2418"/>
      <sheetName val="[Spt-BH.xls][Spt-BH.xls]B__2419"/>
      <sheetName val="[Spt-BH.xls][Spt-BH_xls]B__2398"/>
      <sheetName val="[Spt-BH.xls][Spt-BH_xls]B__2399"/>
      <sheetName val="[Spt-BH.xls][Spt-BH_xls]B__2400"/>
      <sheetName val="[Spt-BH.xls][Spt-BH_xls]B__2401"/>
      <sheetName val="[Spt-BH.xls][Spt-BH_xls]_Sp_790"/>
      <sheetName val="[Spt-BH.xls][Spt-BH_xls]B__2402"/>
      <sheetName val="[Spt-BH.xls][Spt-BH_xls]B__2403"/>
      <sheetName val="[Spt-BH.xls][Spt-BH_xls]B__2404"/>
      <sheetName val="[Spt-BH.xls][Spt-BH_xls]_Sp_791"/>
      <sheetName val="[Spt-BH.xls][Spt-BH_xls]B__2405"/>
      <sheetName val="[Spt-BH.xls][Spt-BH_xls]B__2406"/>
      <sheetName val="[Spt-BH.xls][Spt-BH_xls]B__2407"/>
      <sheetName val="[Spt-BH.xls][Spt-BH_xls]B__2408"/>
      <sheetName val="[Spt-BH.xls][Spt-BH_xls]_Sp_792"/>
      <sheetName val="[Spt-BH.xls][Spt-BH.xls]_Sp_853"/>
      <sheetName val="[Spt-BH.xls][Spt-BH_xls]B__2409"/>
      <sheetName val="[Spt-BH.xls][Spt-BH_xls]B__2410"/>
      <sheetName val="[Spt-BH.xls][Spt-BH_xls]_Sp_793"/>
      <sheetName val="[Spt-BH.xls][Spt-BH_xls]B__2411"/>
      <sheetName val="[Spt-BH.xls][Spt-BH_xls]B__2412"/>
      <sheetName val="[Spt-BH.xls][Spt-BH_xls]_Sp_794"/>
      <sheetName val="[Spt-BH.xls][Spt-BH.xls]B__2433"/>
      <sheetName val="[Spt-BH.xls][Spt-BH.xls]B__2434"/>
      <sheetName val="[Spt-BH.xls][Spt-BH.xls]_Sp_861"/>
      <sheetName val="[Spt-BH.xls][Spt-BH.xls]B__2435"/>
      <sheetName val="[Spt-BH.xls][Spt-BH.xls]B__2436"/>
      <sheetName val="[Spt-BH.xls][Spt-BH.xls]_Sp_859"/>
      <sheetName val="[Spt-BH.xls][Spt-BH.xls]B__2437"/>
      <sheetName val="[Spt-BH.xls][Spt-BH.xls]B__2438"/>
      <sheetName val="[Spt-BH.xls][Spt-BH.xls]_Sp_860"/>
      <sheetName val="[Spt-BH.xls][Spt-BH.xls]B__2440"/>
      <sheetName val="[Spt-BH.xls][Spt-BH.xls]B__2441"/>
      <sheetName val="[Spt-BH.xls][Spt-BH.xls]_Sp_863"/>
      <sheetName val="[Spt-BH.xls][Spt-BH.xls]B__2442"/>
      <sheetName val="[Spt-BH.xls][Spt-BH.xls]B__2443"/>
      <sheetName val="[Spt-BH.xls]B____x005f_x0004______207"/>
      <sheetName val="[Spt-BH.xls]B___x005f_x0000__x000_204"/>
      <sheetName val="[Spt-BH.xls][Spt-BH.xls]B__2444"/>
      <sheetName val="[Spt-BH.xls][Spt-BH.xls]B__2445"/>
      <sheetName val="[Spt-BH.xls][Spt-BH.xls]_Sp_862"/>
      <sheetName val="[Spt-BH.xls][Spt-BH_xls]B__2428"/>
      <sheetName val="[Spt-BH.xls][Spt-BH_xls]B__2429"/>
      <sheetName val="[Spt-BH.xls][Spt-BH_xls]B__2430"/>
      <sheetName val="[Spt-BH.xls][Spt-BH_xls]B__2431"/>
      <sheetName val="[Spt-BH.xls][Spt-BH_xls]_Sp_800"/>
      <sheetName val="[Spt-BH.xls][Spt-BH_xls]B__2432"/>
      <sheetName val="[Spt-BH.xls][Spt-BH_xls]B__2433"/>
      <sheetName val="[Spt-BH.xls][Spt-BH_xls]B__2434"/>
      <sheetName val="[Spt-BH.xls][Spt-BH_xls]_Sp_801"/>
      <sheetName val="[Spt-BH.xls][Spt-BH_xls]B__2435"/>
      <sheetName val="[Spt-BH.xls][Spt-BH_xls]B__2436"/>
      <sheetName val="[Spt-BH.xls][Spt-BH_xls]B__2437"/>
      <sheetName val="[Spt-BH.xls][Spt-BH_xls]B__2438"/>
      <sheetName val="[Spt-BH.xls][Spt-BH_xls]_Sp_802"/>
      <sheetName val="[Spt-BH.xls][Spt-BH.xls]B__2439"/>
      <sheetName val="[Spt-BH.xls][Spt-BH.xls]_S_1017"/>
      <sheetName val="[Spt-BH.xls][Spt-BH.xls]B__2826"/>
      <sheetName val="[Spt-BH.xls][Spt-BH.xls]B__2827"/>
      <sheetName val="[Spt-BH.xls][Spt-BH.xls]_S_1019"/>
      <sheetName val="[Spt-BH.xls][Spt-BH.xls]B__2828"/>
      <sheetName val="[Spt-BH.xls][Spt-BH.xls]B__2829"/>
      <sheetName val="[Spt-BH.xls][Spt-BH.xls]B__2830"/>
      <sheetName val="[Spt-BH.xls][Spt-BH.xls]B__2831"/>
      <sheetName val="[Spt-BH.xls][Spt-BH.xls]_S_1018"/>
      <sheetName val="[Spt-BH.xls][Spt-BH.xls]B__2833"/>
      <sheetName val="[Spt-BH.xls][Spt-BH.xls]B__2834"/>
      <sheetName val="[Spt-BH.xls][Spt-BH.xls]_S_1021"/>
      <sheetName val="[Spt-BH.xls][Spt-BH.xls]B__2835"/>
      <sheetName val="[Spt-BH.xls][Spt-BH.xls]B__2836"/>
      <sheetName val="[Spt-BH.xls]B____x005f_x0004______229"/>
      <sheetName val="[Spt-BH.xls]B___x005f_x0000__x000_226"/>
      <sheetName val="[Spt-BH.xls][Spt-BH.xls]B__2837"/>
      <sheetName val="[Spt-BH.xls][Spt-BH.xls]B__2838"/>
      <sheetName val="[Spt-BH.xls][Spt-BH.xls]B__2832"/>
      <sheetName val="[Spt-BH.xls][Spt-BH.xls]_S_1020"/>
      <sheetName val="[Spt-BH.xls][Spt-BH_xls]B__2709"/>
      <sheetName val="[Spt-BH.xls][Spt-BH_xls]B__2710"/>
      <sheetName val="[Spt-BH.xls][Spt-BH_xls]B__2711"/>
      <sheetName val="[Spt-BH.xls][Spt-BH_xls]B__2712"/>
      <sheetName val="[Spt-BH.xls][Spt-BH_xls]_Sp_893"/>
      <sheetName val="[Spt-BH.xls][Spt-BH_xls]B__2713"/>
      <sheetName val="[Spt-BH.xls][Spt-BH_xls]B__2714"/>
      <sheetName val="[Spt-BH.xls][Spt-BH_xls]B__2715"/>
      <sheetName val="[Spt-BH.xls][Spt-BH_xls]_Sp_894"/>
      <sheetName val="[Spt-BH.xls][Spt-BH_xls]B__2716"/>
      <sheetName val="[Spt-BH.xls][Spt-BH_xls]B__2717"/>
      <sheetName val="[Spt-BH.xls][Spt-BH_xls]B__2718"/>
      <sheetName val="[Spt-BH.xls][Spt-BH_xls]B__2719"/>
      <sheetName val="[Spt-BH.xls][Spt-BH_xls]_Sp_895"/>
      <sheetName val="[Spt-BH.xls][Spt-BH_xls]B__2720"/>
      <sheetName val="[Spt-BH.xls][Spt-BH_xls]B__2721"/>
      <sheetName val="[Spt-BH.xls][Spt-BH_xls]_Sp_896"/>
      <sheetName val="[Spt-BH.xls][Spt-BH_xls]B__2722"/>
      <sheetName val="[Spt-BH.xls][Spt-BH_xls]B__2723"/>
      <sheetName val="[Spt-BH.xls][Spt-BH_xls]_Sp_897"/>
      <sheetName val="[Spt-BH.xls][Spt-BH.xls]B__2820"/>
      <sheetName val="[Spt-BH.xls][Spt-BH.xls]B__2821"/>
      <sheetName val="[Spt-BH.xls][Spt-BH.xls]B__2822"/>
      <sheetName val="[Spt-BH.xls][Spt-BH.xls]B__2823"/>
      <sheetName val="[Spt-BH.xls]B____x005f_x0004______228"/>
      <sheetName val="[Spt-BH.xls]B___x005f_x0000__x000_225"/>
      <sheetName val="[Spt-BH.xls][Spt-BH.xls]B__2824"/>
      <sheetName val="[Spt-BH.xls][Spt-BH.xls]B__2813"/>
      <sheetName val="[Spt-BH.xls][Spt-BH.xls]B__2814"/>
      <sheetName val="[Spt-BH.xls][Spt-BH.xls]_S_1015"/>
      <sheetName val="[Spt-BH.xls][Spt-BH.xls]B__2815"/>
      <sheetName val="[Spt-BH.xls][Spt-BH.xls]B__2816"/>
      <sheetName val="[Spt-BH.xls][Spt-BH.xls]B__2825"/>
      <sheetName val="[Spt-BH.xls][Spt-BH.xls]_S_1013"/>
      <sheetName val="[Spt-BH.xls][Spt-BH.xls]B__2817"/>
      <sheetName val="[Spt-BH.xls][Spt-BH.xls]B__2818"/>
      <sheetName val="[Spt-BH.xls][Spt-BH.xls]B__2819"/>
      <sheetName val="[Spt-BH.xls][Spt-BH.xls]_S_1016"/>
      <sheetName val="[Spt-BH.xls][Spt-BH_xls]B__2694"/>
      <sheetName val="[Spt-BH.xls][Spt-BH_xls]B__2695"/>
      <sheetName val="[Spt-BH.xls][Spt-BH_xls]B__2696"/>
      <sheetName val="[Spt-BH.xls][Spt-BH_xls]B__2697"/>
      <sheetName val="[Spt-BH.xls][Spt-BH_xls]_Sp_888"/>
      <sheetName val="[Spt-BH.xls][Spt-BH_xls]B__2698"/>
      <sheetName val="[Spt-BH.xls][Spt-BH_xls]B__2699"/>
      <sheetName val="[Spt-BH.xls][Spt-BH_xls]B__2700"/>
      <sheetName val="[Spt-BH.xls][Spt-BH_xls]_Sp_889"/>
      <sheetName val="[Spt-BH.xls][Spt-BH_xls]B__2701"/>
      <sheetName val="[Spt-BH.xls][Spt-BH_xls]B__2702"/>
      <sheetName val="[Spt-BH.xls][Spt-BH_xls]B__2703"/>
      <sheetName val="[Spt-BH.xls][Spt-BH_xls]B__2704"/>
      <sheetName val="[Spt-BH.xls][Spt-BH_xls]_Sp_890"/>
      <sheetName val="[Spt-BH.xls][Spt-BH.xls]_S_1014"/>
      <sheetName val="[Spt-BH.xls][Spt-BH_xls]B__2705"/>
      <sheetName val="[Spt-BH.xls][Spt-BH_xls]B__2706"/>
      <sheetName val="[Spt-BH.xls][Spt-BH_xls]_Sp_891"/>
      <sheetName val="[Spt-BH.xls][Spt-BH_xls]B__2707"/>
      <sheetName val="[Spt-BH.xls][Spt-BH_xls]B__2708"/>
      <sheetName val="[Spt-BH.xls][Spt-BH_xls]_Sp_892"/>
      <sheetName val="[Spt-BH.xls][Spt-BH.xls]_S_1011"/>
      <sheetName val="[Spt-BH.xls][Spt-BH.xls]B__2806"/>
      <sheetName val="[Spt-BH.xls][Spt-BH.xls]B__2807"/>
      <sheetName val="[Spt-BH.xls][Spt-BH.xls]B__2808"/>
      <sheetName val="[Spt-BH.xls][Spt-BH.xls]B__2809"/>
      <sheetName val="[Spt-BH.xls][Spt-BH.xls]B__2810"/>
      <sheetName val="[Spt-BH.xls][Spt-BH.xls]B__2811"/>
      <sheetName val="[Spt-BH.xls][Spt-BH.xls]_S_1012"/>
      <sheetName val="[Spt-BH.xls]B____x005f_x0004______227"/>
      <sheetName val="[Spt-BH.xls]B___x005f_x0000__x000_224"/>
      <sheetName val="[Spt-BH.xls][Spt-BH.xls]B__2812"/>
      <sheetName val="[Spt-BH.xls][Spt-BH_xls]B__2679"/>
      <sheetName val="[Spt-BH.xls][Spt-BH_xls]B__2680"/>
      <sheetName val="[Spt-BH.xls][Spt-BH_xls]B__2681"/>
      <sheetName val="[Spt-BH.xls][Spt-BH_xls]B__2682"/>
      <sheetName val="[Spt-BH.xls][Spt-BH_xls]_Sp_883"/>
      <sheetName val="[Spt-BH.xls][Spt-BH_xls]B__2683"/>
      <sheetName val="[Spt-BH.xls][Spt-BH_xls]B__2684"/>
      <sheetName val="[Spt-BH.xls][Spt-BH_xls]B__2685"/>
      <sheetName val="[Spt-BH.xls][Spt-BH_xls]_Sp_884"/>
      <sheetName val="[Spt-BH.xls][Spt-BH_xls]B__2686"/>
      <sheetName val="[Spt-BH.xls][Spt-BH_xls]B__2687"/>
      <sheetName val="[Spt-BH.xls][Spt-BH_xls]B__2688"/>
      <sheetName val="[Spt-BH.xls][Spt-BH_xls]B__2689"/>
      <sheetName val="[Spt-BH.xls][Spt-BH_xls]_Sp_885"/>
      <sheetName val="[Spt-BH.xls][Spt-BH_xls]B__2690"/>
      <sheetName val="[Spt-BH.xls][Spt-BH_xls]B__2691"/>
      <sheetName val="[Spt-BH.xls][Spt-BH_xls]_Sp_886"/>
      <sheetName val="[Spt-BH.xls][Spt-BH_xls]B__2692"/>
      <sheetName val="[Spt-BH.xls][Spt-BH_xls]B__2693"/>
      <sheetName val="[Spt-BH.xls][Spt-BH_xls]_Sp_887"/>
      <sheetName val="[Spt-BH.xls]B____x005f_x0004______209"/>
      <sheetName val="[Spt-BH.xls]B___x005f_x0000__x000_206"/>
      <sheetName val="[Spt-BH.xls][Spt-BH.xls]B__2449"/>
      <sheetName val="[Spt-BH.xls][Spt-BH.xls]B__2450"/>
      <sheetName val="[Spt-BH.xls][Spt-BH.xls]B__2451"/>
      <sheetName val="[Spt-BH.xls][Spt-BH.xls]B__2452"/>
      <sheetName val="[Spt-BH.xls][Spt-BH.xls]B__2453"/>
      <sheetName val="[Spt-BH.xls][Spt-BH.xls]B__2454"/>
      <sheetName val="[Spt-BH.xls][Spt-BH.xls]B__2455"/>
      <sheetName val="[Spt-BH.xls][Spt-BH_xls]B__2458"/>
      <sheetName val="[Spt-BH.xls][Spt-BH_xls]B__2459"/>
      <sheetName val="[Spt-BH.xls][Spt-BH_xls]B__2460"/>
      <sheetName val="[Spt-BH.xls][Spt-BH_xls]B__2461"/>
      <sheetName val="[Spt-BH.xls][Spt-BH_xls]_Sp_810"/>
      <sheetName val="[Spt-BH.xls][Spt-BH_xls]B__2462"/>
      <sheetName val="[Spt-BH.xls][Spt-BH_xls]B__2463"/>
      <sheetName val="[Spt-BH.xls][Spt-BH_xls]B__2464"/>
      <sheetName val="[Spt-BH.xls][Spt-BH_xls]_Sp_811"/>
      <sheetName val="[Spt-BH.xls][Spt-BH_xls]B__2465"/>
      <sheetName val="[Spt-BH.xls][Spt-BH_xls]B__2466"/>
      <sheetName val="[Spt-BH.xls][Spt-BH_xls]B__2467"/>
      <sheetName val="[Spt-BH.xls][Spt-BH_xls]B__2468"/>
      <sheetName val="[Spt-BH.xls][Spt-BH_xls]_Sp_812"/>
      <sheetName val="[Spt-BH.xls][Spt-BH_xls]B__2469"/>
      <sheetName val="[Spt-BH.xls][Spt-BH_xls]B__2470"/>
      <sheetName val="[Spt-BH.xls][Spt-BH_xls]_Sp_813"/>
      <sheetName val="[Spt-BH.xls][Spt-BH_xls]B__2471"/>
      <sheetName val="[Spt-BH.xls][Spt-BH_xls]B__2472"/>
      <sheetName val="[Spt-BH.xls][Spt-BH_xls]_Sp_814"/>
      <sheetName val="[Spt-BH.xls]B____x005f_x0004______208"/>
      <sheetName val="[Spt-BH.xls]B___x005f_x0000__x000_205"/>
      <sheetName val="[Spt-BH.xls][Spt-BH.xls]B__2446"/>
      <sheetName val="[Spt-BH.xls][Spt-BH.xls]B__2447"/>
      <sheetName val="[Spt-BH.xls][Spt-BH.xls]B__2448"/>
      <sheetName val="[Spt-BH.xls][Spt-BH_xls]B__2443"/>
      <sheetName val="[Spt-BH.xls][Spt-BH_xls]B__2444"/>
      <sheetName val="[Spt-BH.xls][Spt-BH_xls]B__2445"/>
      <sheetName val="[Spt-BH.xls][Spt-BH_xls]B__2446"/>
      <sheetName val="[Spt-BH.xls][Spt-BH_xls]_Sp_805"/>
      <sheetName val="[Spt-BH.xls][Spt-BH_xls]B__2447"/>
      <sheetName val="[Spt-BH.xls][Spt-BH_xls]B__2448"/>
      <sheetName val="[Spt-BH.xls][Spt-BH_xls]B__2449"/>
      <sheetName val="[Spt-BH.xls][Spt-BH_xls]_Sp_806"/>
      <sheetName val="[Spt-BH.xls][Spt-BH_xls]B__2450"/>
      <sheetName val="[Spt-BH.xls][Spt-BH_xls]B__2451"/>
      <sheetName val="[Spt-BH.xls][Spt-BH_xls]B__2452"/>
      <sheetName val="[Spt-BH.xls][Spt-BH_xls]B__2453"/>
      <sheetName val="[Spt-BH.xls][Spt-BH_xls]_Sp_807"/>
      <sheetName val="[Spt-BH.xls][Spt-BH_xls]B__2454"/>
      <sheetName val="[Spt-BH.xls][Spt-BH_xls]B__2455"/>
      <sheetName val="[Spt-BH.xls][Spt-BH_xls]_Sp_808"/>
      <sheetName val="[Spt-BH.xls][Spt-BH_xls]B__2456"/>
      <sheetName val="[Spt-BH.xls][Spt-BH_xls]B__2457"/>
      <sheetName val="[Spt-BH.xls][Spt-BH_xls]_Sp_809"/>
      <sheetName val="[Spt-BH.xls][Spt-BH_xls]B__2439"/>
      <sheetName val="[Spt-BH.xls][Spt-BH_xls]B__2440"/>
      <sheetName val="[Spt-BH.xls][Spt-BH_xls]_Sp_803"/>
      <sheetName val="[Spt-BH.xls][Spt-BH_xls]B__2441"/>
      <sheetName val="[Spt-BH.xls][Spt-BH_xls]B__2442"/>
      <sheetName val="[Spt-BH.xls][Spt-BH_xls]_Sp_804"/>
      <sheetName val="[Spt-BH.xls][Spt-BH.xls]_Sp_882"/>
      <sheetName val="[Spt-BH.xls][Spt-BH.xls]_Sp_881"/>
      <sheetName val="[Spt-BH.xls][Spt-BH.xls]_Sp_864"/>
      <sheetName val="[Spt-BH.xls][Spt-BH.xls]B__2456"/>
      <sheetName val="[Spt-BH.xls][Spt-BH.xls]B__2457"/>
      <sheetName val="[Spt-BH.xls][Spt-BH.xls]_Sp_866"/>
      <sheetName val="[Spt-BH.xls][Spt-BH.xls]B__2458"/>
      <sheetName val="[Spt-BH.xls][Spt-BH.xls]B__2459"/>
      <sheetName val="[Spt-BH.xls][Spt-BH.xls]B__2460"/>
      <sheetName val="[Spt-BH.xls][Spt-BH.xls]B__2461"/>
      <sheetName val="[Spt-BH.xls][Spt-BH.xls]_Sp_865"/>
      <sheetName val="[Spt-BH.xls][Spt-BH.xls]B__2462"/>
      <sheetName val="[Spt-BH.xls][Spt-BH.xls]B__2463"/>
      <sheetName val="[Spt-BH.xls][Spt-BH.xls]_Sp_868"/>
      <sheetName val="[Spt-BH.xls][Spt-BH.xls]B__2464"/>
      <sheetName val="[Spt-BH.xls][Spt-BH.xls]B__2465"/>
      <sheetName val="[Spt-BH.xls][Spt-BH.xls]B__2466"/>
      <sheetName val="[Spt-BH.xls][Spt-BH.xls]B__2467"/>
      <sheetName val="[Spt-BH.xls][Spt-BH.xls]_Sp_867"/>
      <sheetName val="[Spt-BH.xls][Spt-BH.xls]_Sp_869"/>
      <sheetName val="[Spt-BH.xls][Spt-BH.xls]B__2468"/>
      <sheetName val="[Spt-BH.xls][Spt-BH.xls]B__2469"/>
      <sheetName val="[Spt-BH.xls][Spt-BH.xls]_Sp_871"/>
      <sheetName val="[Spt-BH.xls][Spt-BH.xls]B__2470"/>
      <sheetName val="[Spt-BH.xls][Spt-BH.xls]B__2471"/>
      <sheetName val="[Spt-BH.xls][Spt-BH.xls]B__2472"/>
      <sheetName val="[Spt-BH.xls][Spt-BH.xls]B__2473"/>
      <sheetName val="[Spt-BH.xls][Spt-BH.xls]_Sp_870"/>
      <sheetName val="[Spt-BH.xls][Spt-BH.xls]B__2481"/>
      <sheetName val="[Spt-BH.xls][Spt-BH.xls]B__2482"/>
      <sheetName val="[Spt-BH.xls][Spt-BH.xls]_Sp_877"/>
      <sheetName val="[Spt-BH.xls][Spt-BH.xls]B__2483"/>
      <sheetName val="[Spt-BH.xls][Spt-BH.xls]B__2484"/>
      <sheetName val="[Spt-BH.xls][Spt-BH.xls]B__2485"/>
      <sheetName val="[Spt-BH.xls][Spt-BH.xls]B__2474"/>
      <sheetName val="[Spt-BH.xls][Spt-BH.xls]B__2475"/>
      <sheetName val="[Spt-BH.xls][Spt-BH.xls]_Sp_873"/>
      <sheetName val="[Spt-BH.xls][Spt-BH.xls]B__2476"/>
      <sheetName val="[Spt-BH.xls][Spt-BH.xls]B__2477"/>
      <sheetName val="[Spt-BH.xls][Spt-BH.xls]B__2486"/>
      <sheetName val="[Spt-BH.xls][Spt-BH.xls]B__2478"/>
      <sheetName val="[Spt-BH.xls][Spt-BH.xls]B__2479"/>
      <sheetName val="[Spt-BH.xls][Spt-BH.xls]B__2480"/>
      <sheetName val="[Spt-BH.xls][Spt-BH.xls]_Sp_872"/>
      <sheetName val="[Spt-BH.xls][Spt-BH.xls]_Sp_874"/>
      <sheetName val="[Spt-BH.xls][Spt-BH.xls]B__2501"/>
      <sheetName val="[Spt-BH.xls][Spt-BH.xls]B__2502"/>
      <sheetName val="[Spt-BH.xls][Spt-BH.xls]_Sp_879"/>
      <sheetName val="[Spt-BH.xls][Spt-BH.xls]B__2503"/>
      <sheetName val="[Spt-BH.xls][Spt-BH.xls]B__2504"/>
      <sheetName val="[Spt-BH.xls][Spt-BH.xls]B__2505"/>
      <sheetName val="[Spt-BH.xls][Spt-BH.xls]B__2506"/>
      <sheetName val="[Spt-BH.xls][Spt-BH.xls]B__2487"/>
      <sheetName val="[Spt-BH.xls][Spt-BH.xls]_Sp_878"/>
      <sheetName val="[Spt-BH.xls][Spt-BH.xls]_Sp_875"/>
      <sheetName val="[Spt-BH.xls][Spt-BH.xls]B__2495"/>
      <sheetName val="[Spt-BH.xls][Spt-BH.xls]B__2496"/>
      <sheetName val="[Spt-BH.xls][Spt-BH.xls]B__2497"/>
      <sheetName val="[Spt-BH.xls][Spt-BH.xls]B__2498"/>
      <sheetName val="[Spt-BH.xls][Spt-BH.xls]B__2499"/>
      <sheetName val="[Spt-BH.xls][Spt-BH.xls]B__2500"/>
      <sheetName val="[Spt-BH.xls][Spt-BH.xls]_Sp_876"/>
      <sheetName val="[Spt-BH.xls][Spt-BH.xls]B__2489"/>
      <sheetName val="[Spt-BH.xls][Spt-BH.xls]B__2490"/>
      <sheetName val="[Spt-BH.xls][Spt-BH.xls]B__2491"/>
      <sheetName val="[Spt-BH.xls][Spt-BH.xls]B__2492"/>
      <sheetName val="[Spt-BH.xls][Spt-BH.xls]B__2493"/>
      <sheetName val="[Spt-BH.xls][Spt-BH.xls]B__2494"/>
      <sheetName val="[Spt-BH.xls][Spt-BH.xls]B__2488"/>
      <sheetName val="[Spt-BH.xls][Spt-BH.xls]_Sp_880"/>
      <sheetName val="[Spt-BH.xls][Spt-BH.xls]B__2507"/>
      <sheetName val="[Spt-BH.xls][Spt-BH.xls]B__2508"/>
      <sheetName val="[Spt-BH.xls][Spt-BH.xls]_Sp_885"/>
      <sheetName val="[Spt-BH.xls][Spt-BH.xls]B__2509"/>
      <sheetName val="[Spt-BH.xls][Spt-BH.xls]B__2510"/>
      <sheetName val="[Spt-BH.xls][Spt-BH.xls]B__2511"/>
      <sheetName val="[Spt-BH.xls][Spt-BH.xls]_Sp_883"/>
      <sheetName val="[Spt-BH.xls][Spt-BH.xls]B__2512"/>
      <sheetName val="[Spt-BH.xls][Spt-BH.xls]_Sp_884"/>
      <sheetName val="[Spt-BH.xls][Spt-BH.xls]B__2514"/>
      <sheetName val="[Spt-BH.xls][Spt-BH.xls]B__2515"/>
      <sheetName val="[Spt-BH.xls][Spt-BH.xls]_Sp_887"/>
      <sheetName val="[Spt-BH.xls][Spt-BH.xls]B__2516"/>
      <sheetName val="[Spt-BH.xls][Spt-BH.xls]B__2517"/>
      <sheetName val="[Spt-BH.xls][Spt-BH.xls]B__2518"/>
      <sheetName val="[Spt-BH.xls][Spt-BH.xls]B__2519"/>
      <sheetName val="[Spt-BH.xls][Spt-BH.xls]B__2513"/>
      <sheetName val="[Spt-BH.xls][Spt-BH.xls]_Sp_886"/>
      <sheetName val="[Spt-BH.xls][Spt-BH.xls]_Sp_888"/>
      <sheetName val="[Spt-BH.xls][Spt-BH.xls]B__2520"/>
      <sheetName val="[Spt-BH.xls][Spt-BH.xls]B__2521"/>
      <sheetName val="[Spt-BH.xls][Spt-BH.xls]_Sp_890"/>
      <sheetName val="[Spt-BH.xls][Spt-BH.xls]B__2522"/>
      <sheetName val="[Spt-BH.xls][Spt-BH.xls]B__2523"/>
      <sheetName val="[Spt-BH.xls][Spt-BH.xls]B__2524"/>
      <sheetName val="[Spt-BH.xls][Spt-BH.xls]B__2525"/>
      <sheetName val="[Spt-BH.xls][Spt-BH.xls]_Sp_889"/>
      <sheetName val="[Spt-BH.xls][Spt-BH.xls]B__2539"/>
      <sheetName val="[Spt-BH.xls][Spt-BH.xls]B__2540"/>
      <sheetName val="[Spt-BH.xls][Spt-BH.xls]_Sp_897"/>
      <sheetName val="[Spt-BH.xls][Spt-BH.xls]B__2541"/>
      <sheetName val="[Spt-BH.xls][Spt-BH.xls]B__2542"/>
      <sheetName val="[Spt-BH.xls]B____x005f_x0004______210"/>
      <sheetName val="[Spt-BH.xls]B___x005f_x0000__x000_207"/>
      <sheetName val="[Spt-BH.xls][Spt-BH.xls]B__2543"/>
      <sheetName val="[Spt-BH.xls][Spt-BH.xls]B__2526"/>
      <sheetName val="[Spt-BH.xls][Spt-BH.xls]B__2527"/>
      <sheetName val="[Spt-BH.xls][Spt-BH.xls]_Sp_894"/>
      <sheetName val="[Spt-BH.xls][Spt-BH.xls]B__2528"/>
      <sheetName val="[Spt-BH.xls][Spt-BH.xls]B__2529"/>
      <sheetName val="[Spt-BH.xls][Spt-BH.xls]B__2544"/>
      <sheetName val="[Spt-BH.xls][Spt-BH.xls]B__2530"/>
      <sheetName val="[Spt-BH.xls][Spt-BH.xls]B__2531"/>
      <sheetName val="[Spt-BH.xls][Spt-BH.xls]_Sp_895"/>
      <sheetName val="[Spt-BH.xls][Spt-BH.xls]B__2532"/>
      <sheetName val="[Spt-BH.xls][Spt-BH.xls]_Sp_891"/>
      <sheetName val="[Spt-BH.xls][Spt-BH.xls]B__2533"/>
      <sheetName val="[Spt-BH.xls][Spt-BH.xls]B__2534"/>
      <sheetName val="[Spt-BH.xls][Spt-BH.xls]B__2535"/>
      <sheetName val="[Spt-BH.xls][Spt-BH.xls]B__2536"/>
      <sheetName val="[Spt-BH.xls][Spt-BH.xls]B__2537"/>
      <sheetName val="[Spt-BH.xls][Spt-BH.xls]_Sp_892"/>
      <sheetName val="[Spt-BH.xls][Spt-BH.xls]B__2538"/>
      <sheetName val="[Spt-BH.xls][Spt-BH.xls]_Sp_893"/>
      <sheetName val="[Spt-BH.xls][Spt-BH.xls]_Sp_896"/>
      <sheetName val="[Spt-BH.xls][Spt-BH.xls]B__2545"/>
      <sheetName val="[Spt-BH.xls][Spt-BH.xls]B__2546"/>
      <sheetName val="[Spt-BH.xls][Spt-BH.xls]_Sp_999"/>
      <sheetName val="[Spt-BH.xls][Spt-BH.xls]B__2547"/>
      <sheetName val="[Spt-BH.xls][Spt-BH.xls]B__2548"/>
      <sheetName val="[Spt-BH.xls][Spt-BH.xls]B__2549"/>
      <sheetName val="[Spt-BH.xls][Spt-BH.xls]B__2550"/>
      <sheetName val="[Spt-BH.xls][Spt-BH.xls]_Sp_898"/>
      <sheetName val="[Spt-BH.xls][Spt-BH.xls]B__2558"/>
      <sheetName val="[Spt-BH.xls][Spt-BH.xls]B__2559"/>
      <sheetName val="[Spt-BH.xls][Spt-BH.xls]_Sp_901"/>
      <sheetName val="[Spt-BH.xls][Spt-BH.xls]B__2560"/>
      <sheetName val="[Spt-BH.xls][Spt-BH.xls]B__2561"/>
      <sheetName val="[Spt-BH.xls]B____x005f_x0004______211"/>
      <sheetName val="[Spt-BH.xls]B___x005f_x0000__x000_208"/>
      <sheetName val="[Spt-BH.xls][Spt-BH.xls]B__2562"/>
      <sheetName val="[Spt-BH.xls][Spt-BH.xls]B__2563"/>
      <sheetName val="[Spt-BH.xls][Spt-BH.xls]B__2551"/>
      <sheetName val="[Spt-BH.xls][Spt-BH.xls]B__2552"/>
      <sheetName val="[Spt-BH.xls][Spt-BH.xls]B__2553"/>
      <sheetName val="[Spt-BH.xls][Spt-BH.xls]B__2554"/>
      <sheetName val="[Spt-BH.xls][Spt-BH.xls]B__2555"/>
      <sheetName val="[Spt-BH.xls][Spt-BH.xls]B__2556"/>
      <sheetName val="[Spt-BH.xls][Spt-BH.xls]B__2557"/>
      <sheetName val="[Spt-BH.xls][Spt-BH.xls]_Sp_899"/>
      <sheetName val="[Spt-BH.xls][Spt-BH.xls]_Sp_900"/>
      <sheetName val="[Spt-BH.xls][Spt-BH.xls]_Sp_905"/>
      <sheetName val="[Spt-BH.xls][Spt-BH.xls]B__2577"/>
      <sheetName val="[Spt-BH.xls][Spt-BH.xls]B__2578"/>
      <sheetName val="[Spt-BH.xls][Spt-BH.xls]_Sp_907"/>
      <sheetName val="[Spt-BH.xls][Spt-BH.xls]B__2579"/>
      <sheetName val="[Spt-BH.xls][Spt-BH.xls]B__2580"/>
      <sheetName val="[Spt-BH.xls][Spt-BH.xls]B__2581"/>
      <sheetName val="[Spt-BH.xls][Spt-BH.xls]B__2584"/>
      <sheetName val="[Spt-BH.xls][Spt-BH.xls]B__2585"/>
      <sheetName val="[Spt-BH.xls][Spt-BH.xls]_Sp_909"/>
      <sheetName val="[Spt-BH.xls][Spt-BH.xls]B__2586"/>
      <sheetName val="[Spt-BH.xls][Spt-BH.xls]B__2587"/>
      <sheetName val="[Spt-BH.xls]B____x005f_x0004______213"/>
      <sheetName val="[Spt-BH.xls]B___x005f_x0000__x000_210"/>
      <sheetName val="[Spt-BH.xls][Spt-BH.xls]B__2588"/>
      <sheetName val="[Spt-BH.xls][Spt-BH.xls]B__2589"/>
      <sheetName val="[Spt-BH.xls][Spt-BH.xls]B__2582"/>
      <sheetName val="[Spt-BH.xls][Spt-BH.xls]B__2583"/>
      <sheetName val="[Spt-BH.xls][Spt-BH.xls]_Sp_908"/>
      <sheetName val="[Spt-BH.xls][Spt-BH_xls]B__2484"/>
      <sheetName val="[Spt-BH.xls][Spt-BH_xls]B__2485"/>
      <sheetName val="[Spt-BH.xls][Spt-BH_xls]B__2486"/>
      <sheetName val="[Spt-BH.xls][Spt-BH_xls]B__2487"/>
      <sheetName val="[Spt-BH.xls][Spt-BH_xls]_Sp_818"/>
      <sheetName val="[Spt-BH.xls][Spt-BH_xls]B__2488"/>
      <sheetName val="[Spt-BH.xls][Spt-BH_xls]B__2489"/>
      <sheetName val="[Spt-BH.xls][Spt-BH_xls]B__2490"/>
      <sheetName val="[Spt-BH.xls][Spt-BH_xls]_Sp_819"/>
      <sheetName val="[Spt-BH.xls][Spt-BH_xls]B__2491"/>
      <sheetName val="[Spt-BH.xls][Spt-BH_xls]B__2492"/>
      <sheetName val="[Spt-BH.xls][Spt-BH_xls]B__2493"/>
      <sheetName val="[Spt-BH.xls][Spt-BH_xls]B__2494"/>
      <sheetName val="[Spt-BH.xls][Spt-BH_xls]_Sp_820"/>
      <sheetName val="[Spt-BH.xls][Spt-BH.xls]_Sp_906"/>
      <sheetName val="[Spt-BH.xls][Spt-BH_xls]B__2495"/>
      <sheetName val="[Spt-BH.xls][Spt-BH_xls]B__2496"/>
      <sheetName val="[Spt-BH.xls][Spt-BH_xls]_Sp_821"/>
      <sheetName val="[Spt-BH.xls][Spt-BH_xls]B__2497"/>
      <sheetName val="[Spt-BH.xls][Spt-BH_xls]B__2498"/>
      <sheetName val="[Spt-BH.xls][Spt-BH_xls]_Sp_822"/>
      <sheetName val="[Spt-BH.xls][Spt-BH.xls]B__2564"/>
      <sheetName val="[Spt-BH.xls][Spt-BH.xls]B__2565"/>
      <sheetName val="[Spt-BH.xls][Spt-BH.xls]B__2566"/>
      <sheetName val="[Spt-BH.xls][Spt-BH.xls]B__2567"/>
      <sheetName val="[Spt-BH.xls][Spt-BH.xls]B__2568"/>
      <sheetName val="[Spt-BH.xls][Spt-BH.xls]B__2569"/>
      <sheetName val="[Spt-BH.xls][Spt-BH.xls]_Sp_902"/>
      <sheetName val="[Spt-BH.xls][Spt-BH.xls]_Sp_903"/>
      <sheetName val="[Spt-BH.xls][Spt-BH.xls]B__2570"/>
      <sheetName val="[Spt-BH.xls][Spt-BH.xls]B__2571"/>
      <sheetName val="[Spt-BH.xls][Spt-BH.xls]B__2572"/>
      <sheetName val="[Spt-BH.xls][Spt-BH.xls]B__2573"/>
      <sheetName val="[Spt-BH.xls][Spt-BH.xls]B__2574"/>
      <sheetName val="[Spt-BH.xls]B____x005f_x0004______212"/>
      <sheetName val="[Spt-BH.xls]B___x005f_x0000__x000_209"/>
      <sheetName val="[Spt-BH.xls][Spt-BH.xls]B__2575"/>
      <sheetName val="[Spt-BH.xls][Spt-BH.xls]B__2576"/>
      <sheetName val="[Spt-BH.xls][Spt-BH_xls]B__2473"/>
      <sheetName val="[Spt-BH.xls][Spt-BH_xls]B__2474"/>
      <sheetName val="[Spt-BH.xls][Spt-BH_xls]B__2475"/>
      <sheetName val="[Spt-BH.xls][Spt-BH_xls]B__2476"/>
      <sheetName val="[Spt-BH.xls][Spt-BH_xls]B__2477"/>
      <sheetName val="[Spt-BH.xls][Spt-BH_xls]B__2478"/>
      <sheetName val="[Spt-BH.xls][Spt-BH_xls]B__2479"/>
      <sheetName val="[Spt-BH.xls][Spt-BH_xls]_Sp_815"/>
      <sheetName val="[Spt-BH.xls][Spt-BH.xls]_Sp_904"/>
      <sheetName val="[Spt-BH.xls][Spt-BH_xls]B__2480"/>
      <sheetName val="[Spt-BH.xls][Spt-BH_xls]B__2481"/>
      <sheetName val="[Spt-BH.xls][Spt-BH_xls]_Sp_816"/>
      <sheetName val="[Spt-BH.xls][Spt-BH_xls]B__2482"/>
      <sheetName val="[Spt-BH.xls][Spt-BH_xls]B__2483"/>
      <sheetName val="[Spt-BH.xls][Spt-BH_xls]_Sp_817"/>
      <sheetName val="[Spt-BH.xls][Spt-BH.xls]_Sp_910"/>
      <sheetName val="[Spt-BH.xls][Spt-BH.xls]B__2590"/>
      <sheetName val="[Spt-BH.xls][Spt-BH.xls]B__2591"/>
      <sheetName val="[Spt-BH.xls][Spt-BH.xls]_Sp_915"/>
      <sheetName val="[Spt-BH.xls][Spt-BH.xls]B__2592"/>
      <sheetName val="[Spt-BH.xls][Spt-BH.xls]B__2593"/>
      <sheetName val="[Spt-BH.xls][Spt-BH.xls]B__2594"/>
      <sheetName val="[Spt-BH.xls][Spt-BH.xls]B__2595"/>
      <sheetName val="[Spt-BH.xls][Spt-BH.xls]_Sp_911"/>
      <sheetName val="[Spt-BH.xls][Spt-BH.xls]B__2602"/>
      <sheetName val="[Spt-BH.xls][Spt-BH.xls]B__2603"/>
      <sheetName val="[Spt-BH.xls][Spt-BH.xls]_Sp_917"/>
      <sheetName val="[Spt-BH.xls][Spt-BH.xls]B__2604"/>
      <sheetName val="[Spt-BH.xls][Spt-BH.xls]B__2605"/>
      <sheetName val="[Spt-BH.xls][Spt-BH.xls]B__2606"/>
      <sheetName val="[Spt-BH.xls][Spt-BH.xls]B__2607"/>
      <sheetName val="[Spt-BH.xls][Spt-BH.xls]_Sp_916"/>
      <sheetName val="[Spt-BH.xls][Spt-BH.xls]_Sp_912"/>
      <sheetName val="[Spt-BH.xls][Spt-BH.xls]_Sp_913"/>
      <sheetName val="[Spt-BH.xls][Spt-BH.xls]B__2596"/>
      <sheetName val="[Spt-BH.xls][Spt-BH.xls]B__2597"/>
      <sheetName val="[Spt-BH.xls][Spt-BH.xls]B__2598"/>
      <sheetName val="[Spt-BH.xls][Spt-BH.xls]B__2599"/>
      <sheetName val="[Spt-BH.xls][Spt-BH.xls]B__2600"/>
      <sheetName val="[Spt-BH.xls][Spt-BH.xls]B__2601"/>
      <sheetName val="[Spt-BH.xls][Spt-BH.xls]_Sp_914"/>
      <sheetName val="[Spt-BH.xls][Spt-BH.xls]B__2692"/>
      <sheetName val="[Spt-BH.xls][Spt-BH.xls]B__2693"/>
      <sheetName val="[Spt-BH.xls][Spt-BH.xls]_Sp_964"/>
      <sheetName val="[Spt-BH.xls][Spt-BH.xls]B__2694"/>
      <sheetName val="[Spt-BH.xls][Spt-BH.xls]B__2695"/>
      <sheetName val="[Spt-BH.xls]B____x005f_x0004______219"/>
      <sheetName val="[Spt-BH.xls]B___x005f_x0000__x000_216"/>
      <sheetName val="[Spt-BH.xls][Spt-BH.xls]B__2696"/>
      <sheetName val="[Spt-BH.xls][Spt-BH.xls]B__2685"/>
      <sheetName val="[Spt-BH.xls][Spt-BH.xls]B__2686"/>
      <sheetName val="[Spt-BH.xls][Spt-BH.xls]_Sp_962"/>
      <sheetName val="[Spt-BH.xls][Spt-BH.xls]B__2687"/>
      <sheetName val="[Spt-BH.xls][Spt-BH.xls]B__2688"/>
      <sheetName val="[Spt-BH.xls][Spt-BH.xls]B__2697"/>
      <sheetName val="[Spt-BH.xls][Spt-BH.xls]_Sp_960"/>
      <sheetName val="[Spt-BH.xls][Spt-BH.xls]B__2689"/>
      <sheetName val="[Spt-BH.xls][Spt-BH.xls]B__2690"/>
      <sheetName val="[Spt-BH.xls][Spt-BH.xls]B__2691"/>
      <sheetName val="[Spt-BH.xls][Spt-BH.xls]_Sp_963"/>
      <sheetName val="[Spt-BH.xls][Spt-BH_xls]B__2570"/>
      <sheetName val="[Spt-BH.xls][Spt-BH_xls]B__2571"/>
      <sheetName val="[Spt-BH.xls][Spt-BH_xls]B__2572"/>
      <sheetName val="[Spt-BH.xls][Spt-BH_xls]B__2573"/>
      <sheetName val="[Spt-BH.xls][Spt-BH_xls]_Sp_846"/>
      <sheetName val="[Spt-BH.xls][Spt-BH_xls]B__2574"/>
      <sheetName val="[Spt-BH.xls][Spt-BH_xls]B__2575"/>
      <sheetName val="[Spt-BH.xls][Spt-BH_xls]B__2576"/>
      <sheetName val="[Spt-BH.xls][Spt-BH_xls]_Sp_847"/>
      <sheetName val="[Spt-BH.xls][Spt-BH_xls]B__2577"/>
      <sheetName val="[Spt-BH.xls][Spt-BH_xls]B__2578"/>
      <sheetName val="[Spt-BH.xls][Spt-BH_xls]B__2579"/>
      <sheetName val="[Spt-BH.xls][Spt-BH_xls]B__2580"/>
      <sheetName val="[Spt-BH.xls][Spt-BH_xls]_Sp_848"/>
      <sheetName val="[Spt-BH.xls][Spt-BH.xls]_Sp_961"/>
      <sheetName val="[Spt-BH.xls][Spt-BH_xls]B__2581"/>
      <sheetName val="[Spt-BH.xls][Spt-BH_xls]B__2582"/>
      <sheetName val="[Spt-BH.xls][Spt-BH_xls]_Sp_849"/>
      <sheetName val="[Spt-BH.xls][Spt-BH_xls]B__2583"/>
      <sheetName val="[Spt-BH.xls][Spt-BH_xls]B__2584"/>
      <sheetName val="[Spt-BH.xls][Spt-BH_xls]_Sp_850"/>
      <sheetName val="[Spt-BH.xls][Spt-BH.xls]_Sp_939"/>
      <sheetName val="[Spt-BH.xls][Spt-BH.xls]_Sp_929"/>
      <sheetName val="[Spt-BH.xls][Spt-BH.xls]B__2626"/>
      <sheetName val="[Spt-BH.xls][Spt-BH.xls]B__2627"/>
      <sheetName val="[Spt-BH.xls][Spt-BH.xls]_Sp_933"/>
      <sheetName val="[Spt-BH.xls][Spt-BH.xls]B__2628"/>
      <sheetName val="[Spt-BH.xls][Spt-BH.xls]B__2629"/>
      <sheetName val="[Spt-BH.xls][Spt-BH.xls]B__2630"/>
      <sheetName val="[Spt-BH.xls][Spt-BH.xls]B__2631"/>
      <sheetName val="[Spt-BH.xls][Spt-BH.xls]_Sp_930"/>
      <sheetName val="[Spt-BH.xls][Spt-BH.xls]_Sp_919"/>
      <sheetName val="[Spt-BH.xls][Spt-BH.xls]B__2614"/>
      <sheetName val="[Spt-BH.xls][Spt-BH.xls]B__2615"/>
      <sheetName val="[Spt-BH.xls][Spt-BH.xls]_Sp_924"/>
      <sheetName val="[Spt-BH.xls][Spt-BH.xls]B__2616"/>
      <sheetName val="[Spt-BH.xls][Spt-BH.xls]B__2617"/>
      <sheetName val="[Spt-BH.xls][Spt-BH.xls]B__2618"/>
      <sheetName val="[Spt-BH.xls][Spt-BH.xls]B__2619"/>
      <sheetName val="[Spt-BH.xls][Spt-BH.xls]_Sp_920"/>
      <sheetName val="[Spt-BH.xls][Spt-BH.xls]B__2608"/>
      <sheetName val="[Spt-BH.xls][Spt-BH.xls]B__2609"/>
      <sheetName val="[Spt-BH.xls][Spt-BH.xls]B__2610"/>
      <sheetName val="[Spt-BH.xls][Spt-BH.xls]B__2611"/>
      <sheetName val="[Spt-BH.xls][Spt-BH.xls]B__2612"/>
      <sheetName val="[Spt-BH.xls][Spt-BH.xls]B__2613"/>
      <sheetName val="[Spt-BH.xls][Spt-BH.xls]_Sp_918"/>
      <sheetName val="[Spt-BH.xls][Spt-BH.xls]_Sp_921"/>
      <sheetName val="[Spt-BH.xls][Spt-BH.xls]_Sp_922"/>
      <sheetName val="[Spt-BH.xls][Spt-BH.xls]_Sp_923"/>
      <sheetName val="[Spt-BH.xls][Spt-BH.xls]_Sp_926"/>
      <sheetName val="[Spt-BH.xls][Spt-BH.xls]_Sp_925"/>
      <sheetName val="[Spt-BH.xls][Spt-BH.xls]_Sp_927"/>
      <sheetName val="[Spt-BH.xls][Spt-BH.xls]B__2620"/>
      <sheetName val="[Spt-BH.xls][Spt-BH.xls]B__2621"/>
      <sheetName val="[Spt-BH.xls][Spt-BH.xls]B__2622"/>
      <sheetName val="[Spt-BH.xls][Spt-BH.xls]B__2623"/>
      <sheetName val="[Spt-BH.xls][Spt-BH.xls]B__2624"/>
      <sheetName val="[Spt-BH.xls][Spt-BH.xls]B__2625"/>
      <sheetName val="[Spt-BH.xls][Spt-BH.xls]_Sp_928"/>
      <sheetName val="[Spt-BH.xls][Spt-BH.xls]_Sp_931"/>
      <sheetName val="[Spt-BH.xls][Spt-BH.xls]_Sp_932"/>
      <sheetName val="[Spt-BH.xls][Spt-BH.xls]_Sp_934"/>
      <sheetName val="[Spt-BH.xls][Spt-BH.xls]_Sp_935"/>
      <sheetName val="[Spt-BH.xls][Spt-BH.xls]_Sp_936"/>
      <sheetName val="[Spt-BH.xls][Spt-BH.xls]_Sp_937"/>
      <sheetName val="[Spt-BH.xls][Spt-BH.xls]_Sp_938"/>
      <sheetName val="[Spt-BH.xls][Spt-BH.xls]B__2639"/>
      <sheetName val="[Spt-BH.xls][Spt-BH.xls]B__2640"/>
      <sheetName val="[Spt-BH.xls][Spt-BH.xls]_Sp_946"/>
      <sheetName val="[Spt-BH.xls][Spt-BH.xls]B__2641"/>
      <sheetName val="[Spt-BH.xls][Spt-BH.xls]B__2642"/>
      <sheetName val="[Spt-BH.xls]B____x005f_x0004______214"/>
      <sheetName val="[Spt-BH.xls]B___x005f_x0000__x000_211"/>
      <sheetName val="[Spt-BH.xls][Spt-BH.xls]B__2643"/>
      <sheetName val="[Spt-BH.xls][Spt-BH.xls]B__2632"/>
      <sheetName val="[Spt-BH.xls][Spt-BH.xls]B__2633"/>
      <sheetName val="[Spt-BH.xls][Spt-BH.xls]_Sp_941"/>
      <sheetName val="[Spt-BH.xls][Spt-BH.xls]B__2634"/>
      <sheetName val="[Spt-BH.xls][Spt-BH.xls]B__2635"/>
      <sheetName val="[Spt-BH.xls][Spt-BH.xls]B__2644"/>
      <sheetName val="[Spt-BH.xls][Spt-BH.xls]_Sp_942"/>
      <sheetName val="[Spt-BH.xls][Spt-BH_xls]B__2499"/>
      <sheetName val="[Spt-BH.xls][Spt-BH_xls]B__2500"/>
      <sheetName val="[Spt-BH.xls][Spt-BH_xls]B__2501"/>
      <sheetName val="[Spt-BH.xls][Spt-BH_xls]B__2502"/>
      <sheetName val="[Spt-BH.xls][Spt-BH_xls]_Sp_823"/>
      <sheetName val="[Spt-BH.xls][Spt-BH_xls]B__2503"/>
      <sheetName val="[Spt-BH.xls][Spt-BH_xls]B__2504"/>
      <sheetName val="[Spt-BH.xls][Spt-BH_xls]B__2505"/>
      <sheetName val="[Spt-BH.xls][Spt-BH_xls]_Sp_824"/>
      <sheetName val="[Spt-BH.xls][Spt-BH_xls]B__2506"/>
      <sheetName val="[Spt-BH.xls][Spt-BH_xls]B__2507"/>
      <sheetName val="[Spt-BH.xls][Spt-BH_xls]B__2508"/>
      <sheetName val="[Spt-BH.xls][Spt-BH_xls]B__2509"/>
      <sheetName val="[Spt-BH.xls][Spt-BH_xls]_Sp_825"/>
      <sheetName val="[Spt-BH.xls][Spt-BH.xls]_Sp_940"/>
      <sheetName val="[Spt-BH.xls][Spt-BH.xls]B__2636"/>
      <sheetName val="[Spt-BH.xls][Spt-BH.xls]B__2637"/>
      <sheetName val="[Spt-BH.xls][Spt-BH.xls]B__2638"/>
      <sheetName val="[Spt-BH.xls][Spt-BH.xls]_Sp_943"/>
      <sheetName val="[Spt-BH.xls][Spt-BH.xls]_Sp_944"/>
      <sheetName val="[Spt-BH.xls][Spt-BH.xls]_Sp_945"/>
      <sheetName val="[Spt-BH.xls][Spt-BH.xls]_Sp_951"/>
      <sheetName val="[Spt-BH.xls][Spt-BH.xls]B__2659"/>
      <sheetName val="[Spt-BH.xls][Spt-BH.xls]B__2660"/>
      <sheetName val="[Spt-BH.xls][Spt-BH.xls]_Sp_955"/>
      <sheetName val="[Spt-BH.xls][Spt-BH.xls]B__2661"/>
      <sheetName val="[Spt-BH.xls][Spt-BH.xls]B__2662"/>
      <sheetName val="[Spt-BH.xls][Spt-BH.xls]B__2663"/>
      <sheetName val="[Spt-BH.xls][Spt-BH.xls]B__2672"/>
      <sheetName val="[Spt-BH.xls][Spt-BH.xls]B__2673"/>
      <sheetName val="[Spt-BH.xls][Spt-BH.xls]_Sp_957"/>
      <sheetName val="[Spt-BH.xls][Spt-BH.xls]B__2674"/>
      <sheetName val="[Spt-BH.xls][Spt-BH.xls]B__2675"/>
      <sheetName val="[Spt-BH.xls]B____x005f_x0004______217"/>
      <sheetName val="[Spt-BH.xls]B___x005f_x0000__x000_214"/>
      <sheetName val="[Spt-BH.xls][Spt-BH.xls]B__2676"/>
      <sheetName val="[Spt-BH.xls][Spt-BH.xls]B__2677"/>
      <sheetName val="[Spt-BH.xls][Spt-BH.xls]B__2664"/>
      <sheetName val="[Spt-BH.xls][Spt-BH.xls]B__2665"/>
      <sheetName val="[Spt-BH.xls][Spt-BH.xls]_Sp_956"/>
      <sheetName val="[Spt-BH.xls][Spt-BH_xls]B__2540"/>
      <sheetName val="[Spt-BH.xls][Spt-BH_xls]B__2541"/>
      <sheetName val="[Spt-BH.xls][Spt-BH_xls]B__2542"/>
      <sheetName val="[Spt-BH.xls][Spt-BH_xls]B__2543"/>
      <sheetName val="[Spt-BH.xls][Spt-BH_xls]_Sp_836"/>
      <sheetName val="[Spt-BH.xls][Spt-BH_xls]B__2544"/>
      <sheetName val="[Spt-BH.xls][Spt-BH_xls]B__2545"/>
      <sheetName val="[Spt-BH.xls][Spt-BH_xls]B__2546"/>
      <sheetName val="[Spt-BH.xls][Spt-BH_xls]_Sp_837"/>
      <sheetName val="[Spt-BH.xls][Spt-BH_xls]B__2547"/>
      <sheetName val="[Spt-BH.xls][Spt-BH_xls]B__2548"/>
      <sheetName val="[Spt-BH.xls][Spt-BH_xls]B__2549"/>
      <sheetName val="[Spt-BH.xls][Spt-BH_xls]B__2550"/>
      <sheetName val="[Spt-BH.xls][Spt-BH_xls]_Sp_838"/>
      <sheetName val="[Spt-BH.xls][Spt-BH.xls]_Sp_952"/>
      <sheetName val="[Spt-BH.xls][Spt-BH_xls]B__2551"/>
      <sheetName val="[Spt-BH.xls][Spt-BH_xls]B__2552"/>
      <sheetName val="[Spt-BH.xls][Spt-BH_xls]_Sp_839"/>
      <sheetName val="[Spt-BH.xls][Spt-BH_xls]B__2553"/>
      <sheetName val="[Spt-BH.xls][Spt-BH_xls]B__2554"/>
      <sheetName val="[Spt-BH.xls][Spt-BH_xls]_Sp_840"/>
      <sheetName val="[Spt-BH.xls][Spt-BH.xls]_Sp_947"/>
      <sheetName val="[Spt-BH.xls][Spt-BH.xls]B__2645"/>
      <sheetName val="[Spt-BH.xls][Spt-BH.xls]B__2646"/>
      <sheetName val="[Spt-BH.xls][Spt-BH.xls]B__2647"/>
      <sheetName val="[Spt-BH.xls][Spt-BH.xls]B__2648"/>
      <sheetName val="[Spt-BH.xls][Spt-BH.xls]B__2649"/>
      <sheetName val="[Spt-BH.xls]B____x005f_x0004______215"/>
      <sheetName val="[Spt-BH.xls]B___x005f_x0000__x000_212"/>
      <sheetName val="[Spt-BH.xls][Spt-BH.xls]B__2650"/>
      <sheetName val="[Spt-BH.xls][Spt-BH.xls]B__2651"/>
      <sheetName val="[Spt-BH.xls][Spt-BH_xls]B__2510"/>
      <sheetName val="[Spt-BH.xls][Spt-BH_xls]B__2511"/>
      <sheetName val="[Spt-BH.xls][Spt-BH_xls]B__2512"/>
      <sheetName val="[Spt-BH.xls][Spt-BH_xls]B__2513"/>
      <sheetName val="[Spt-BH.xls][Spt-BH_xls]_Sp_826"/>
      <sheetName val="[Spt-BH.xls][Spt-BH_xls]B__2514"/>
      <sheetName val="[Spt-BH.xls][Spt-BH_xls]B__2515"/>
      <sheetName val="[Spt-BH.xls][Spt-BH_xls]B__2516"/>
      <sheetName val="[Spt-BH.xls][Spt-BH_xls]_Sp_827"/>
      <sheetName val="[Spt-BH.xls][Spt-BH_xls]B__2517"/>
      <sheetName val="[Spt-BH.xls][Spt-BH_xls]B__2518"/>
      <sheetName val="[Spt-BH.xls][Spt-BH_xls]B__2519"/>
      <sheetName val="[Spt-BH.xls][Spt-BH_xls]B__2520"/>
      <sheetName val="[Spt-BH.xls][Spt-BH_xls]_Sp_828"/>
      <sheetName val="[Spt-BH.xls][Spt-BH.xls]_Sp_948"/>
      <sheetName val="[Spt-BH.xls][Spt-BH_xls]B__2521"/>
      <sheetName val="[Spt-BH.xls][Spt-BH_xls]B__2522"/>
      <sheetName val="[Spt-BH.xls][Spt-BH_xls]_Sp_829"/>
      <sheetName val="[Spt-BH.xls][Spt-BH_xls]B__2523"/>
      <sheetName val="[Spt-BH.xls][Spt-BH_xls]B__2524"/>
      <sheetName val="[Spt-BH.xls][Spt-BH_xls]_Sp_830"/>
      <sheetName val="[Spt-BH.xls][Spt-BH.xls]_Sp_949"/>
      <sheetName val="[Spt-BH.xls][Spt-BH.xls]B__2652"/>
      <sheetName val="[Spt-BH.xls][Spt-BH.xls]B__2653"/>
      <sheetName val="[Spt-BH.xls][Spt-BH.xls]B__2654"/>
      <sheetName val="[Spt-BH.xls][Spt-BH.xls]B__2655"/>
      <sheetName val="[Spt-BH.xls][Spt-BH.xls]B__2656"/>
      <sheetName val="[Spt-BH.xls]B____x005f_x0004______216"/>
      <sheetName val="[Spt-BH.xls]B___x005f_x0000__x000_213"/>
      <sheetName val="[Spt-BH.xls][Spt-BH.xls]B__2657"/>
      <sheetName val="[Spt-BH.xls][Spt-BH.xls]B__2658"/>
      <sheetName val="[Spt-BH.xls][Spt-BH_xls]B__2525"/>
      <sheetName val="[Spt-BH.xls][Spt-BH_xls]B__2526"/>
      <sheetName val="[Spt-BH.xls][Spt-BH_xls]B__2527"/>
      <sheetName val="[Spt-BH.xls][Spt-BH_xls]B__2528"/>
      <sheetName val="[Spt-BH.xls][Spt-BH_xls]_Sp_831"/>
      <sheetName val="[Spt-BH.xls][Spt-BH_xls]B__2529"/>
      <sheetName val="[Spt-BH.xls][Spt-BH_xls]B__2530"/>
      <sheetName val="[Spt-BH.xls][Spt-BH_xls]B__2531"/>
      <sheetName val="[Spt-BH.xls][Spt-BH_xls]_Sp_832"/>
      <sheetName val="[Spt-BH.xls][Spt-BH_xls]B__2532"/>
      <sheetName val="[Spt-BH.xls][Spt-BH_xls]B__2533"/>
      <sheetName val="[Spt-BH.xls][Spt-BH_xls]B__2534"/>
      <sheetName val="[Spt-BH.xls][Spt-BH_xls]B__2535"/>
      <sheetName val="[Spt-BH.xls][Spt-BH_xls]_Sp_833"/>
      <sheetName val="[Spt-BH.xls][Spt-BH.xls]_Sp_950"/>
      <sheetName val="[Spt-BH.xls][Spt-BH_xls]B__2536"/>
      <sheetName val="[Spt-BH.xls][Spt-BH_xls]B__2537"/>
      <sheetName val="[Spt-BH.xls][Spt-BH_xls]_Sp_834"/>
      <sheetName val="[Spt-BH.xls][Spt-BH_xls]B__2538"/>
      <sheetName val="[Spt-BH.xls][Spt-BH_xls]B__2539"/>
      <sheetName val="[Spt-BH.xls][Spt-BH_xls]_Sp_835"/>
      <sheetName val="[Spt-BH.xls][Spt-BH.xls]_Sp_953"/>
      <sheetName val="[Spt-BH.xls][Spt-BH.xls]B__2666"/>
      <sheetName val="[Spt-BH.xls][Spt-BH.xls]B__2667"/>
      <sheetName val="[Spt-BH.xls][Spt-BH.xls]B__2668"/>
      <sheetName val="[Spt-BH.xls][Spt-BH.xls]B__2669"/>
      <sheetName val="[Spt-BH.xls][Spt-BH.xls]B__2670"/>
      <sheetName val="[Spt-BH.xls][Spt-BH.xls]B__2671"/>
      <sheetName val="[Spt-BH.xls][Spt-BH.xls]_Sp_954"/>
      <sheetName val="[Spt-BH.xls][Spt-BH.xls]B__2678"/>
      <sheetName val="[Spt-BH.xls][Spt-BH.xls]B__2679"/>
      <sheetName val="[Spt-BH.xls][Spt-BH.xls]B__2680"/>
      <sheetName val="[Spt-BH.xls][Spt-BH.xls]B__2681"/>
      <sheetName val="[Spt-BH.xls][Spt-BH.xls]B__2682"/>
      <sheetName val="[Spt-BH.xls][Spt-BH.xls]_Sp_958"/>
      <sheetName val="[Spt-BH.xls][Spt-BH.xls]B__2683"/>
      <sheetName val="[Spt-BH.xls][Spt-BH.xls]_Sp_959"/>
      <sheetName val="[Spt-BH.xls]B____x005f_x0004______218"/>
      <sheetName val="[Spt-BH.xls]B___x005f_x0000__x000_215"/>
      <sheetName val="[Spt-BH.xls][Spt-BH.xls]B__2684"/>
      <sheetName val="[Spt-BH.xls][Spt-BH_xls]B__2555"/>
      <sheetName val="[Spt-BH.xls][Spt-BH_xls]B__2556"/>
      <sheetName val="[Spt-BH.xls][Spt-BH_xls]B__2557"/>
      <sheetName val="[Spt-BH.xls][Spt-BH_xls]B__2558"/>
      <sheetName val="[Spt-BH.xls][Spt-BH_xls]_Sp_841"/>
      <sheetName val="[Spt-BH.xls][Spt-BH_xls]B__2559"/>
      <sheetName val="[Spt-BH.xls][Spt-BH_xls]B__2560"/>
      <sheetName val="[Spt-BH.xls][Spt-BH_xls]B__2561"/>
      <sheetName val="[Spt-BH.xls][Spt-BH_xls]_Sp_842"/>
      <sheetName val="[Spt-BH.xls][Spt-BH_xls]B__2562"/>
      <sheetName val="[Spt-BH.xls][Spt-BH_xls]B__2563"/>
      <sheetName val="[Spt-BH.xls][Spt-BH_xls]B__2564"/>
      <sheetName val="[Spt-BH.xls][Spt-BH_xls]B__2565"/>
      <sheetName val="[Spt-BH.xls][Spt-BH_xls]_Sp_843"/>
      <sheetName val="[Spt-BH.xls][Spt-BH_xls]B__2566"/>
      <sheetName val="[Spt-BH.xls][Spt-BH_xls]B__2567"/>
      <sheetName val="[Spt-BH.xls][Spt-BH_xls]_Sp_844"/>
      <sheetName val="[Spt-BH.xls][Spt-BH_xls]B__2568"/>
      <sheetName val="[Spt-BH.xls][Spt-BH_xls]B__2569"/>
      <sheetName val="[Spt-BH.xls][Spt-BH_xls]_Sp_845"/>
      <sheetName val="ACAD_Finishes1"/>
      <sheetName val="Site_Details1"/>
      <sheetName val="Site_Area_Statement1"/>
      <sheetName val="ACAD_Finishes2"/>
      <sheetName val="Site_Details2"/>
      <sheetName val="Site_Area_Statement2"/>
      <sheetName val="SP&amp;ST_제출가2"/>
      <sheetName val="PL_Inst_RA_124"/>
      <sheetName val="_AT-1-220_4"/>
      <sheetName val="_BC-2204"/>
      <sheetName val="DETAILED__BOQ4"/>
      <sheetName val="ACAD_Finishes3"/>
      <sheetName val="Site_Details3"/>
      <sheetName val="Site_Area_Statement3"/>
      <sheetName val="SP&amp;ST_제출가3"/>
      <sheetName val="[Spt-BH.xls][Spt-BH.xls]_Sp_967"/>
      <sheetName val="[Spt-BH.xls][Spt-BH.xls]_Sp_965"/>
      <sheetName val="[Spt-BH.xls][Spt-BH.xls]_Sp_966"/>
      <sheetName val="[Spt-BH.xls][Spt-BH.xls]_Sp_968"/>
      <sheetName val="[Spt-BH.xls][Spt-BH.xls]B__2698"/>
      <sheetName val="[Spt-BH.xls][Spt-BH.xls]B__2699"/>
      <sheetName val="[Spt-BH.xls][Spt-BH.xls]B__2700"/>
      <sheetName val="[Spt-BH.xls][Spt-BH.xls]B__2701"/>
      <sheetName val="[Spt-BH.xls][Spt-BH.xls]B__2702"/>
      <sheetName val="[Spt-BH.xls][Spt-BH.xls]B__2703"/>
      <sheetName val="[Spt-BH.xls][Spt-BH.xls]_Sp_970"/>
      <sheetName val="[Spt-BH.xls][Spt-BH.xls]_Sp_969"/>
      <sheetName val="[Spt-BH.xls][Spt-BH.xls]B__2704"/>
      <sheetName val="[Spt-BH.xls][Spt-BH.xls]B__2705"/>
      <sheetName val="[Spt-BH.xls][Spt-BH.xls]_Sp_972"/>
      <sheetName val="[Spt-BH.xls][Spt-BH.xls]B__2706"/>
      <sheetName val="[Spt-BH.xls][Spt-BH.xls]B__2707"/>
      <sheetName val="[Spt-BH.xls][Spt-BH.xls]B__2708"/>
      <sheetName val="[Spt-BH.xls][Spt-BH.xls]B__2709"/>
      <sheetName val="[Spt-BH.xls][Spt-BH.xls]_Sp_971"/>
      <sheetName val="[Spt-BH.xls][Spt-BH.xls]B__2710"/>
      <sheetName val="[Spt-BH.xls][Spt-BH.xls]B__2711"/>
      <sheetName val="[Spt-BH.xls][Spt-BH.xls]B__2712"/>
      <sheetName val="[Spt-BH.xls][Spt-BH.xls]B__2713"/>
      <sheetName val="[Spt-BH.xls][Spt-BH.xls]B__2714"/>
      <sheetName val="[Spt-BH.xls][Spt-BH.xls]B__2715"/>
      <sheetName val="[Spt-BH.xls][Spt-BH.xls]_Sp_973"/>
      <sheetName val="[Spt-BH.xls][Spt-BH_xls]B__2585"/>
      <sheetName val="[Spt-BH.xls][Spt-BH_xls]B__2586"/>
      <sheetName val="[Spt-BH.xls][Spt-BH_xls]_Sp_851"/>
      <sheetName val="[Spt-BH.xls][Spt-BH_xls]B__2587"/>
      <sheetName val="[Spt-BH.xls][Spt-BH_xls]B__2588"/>
      <sheetName val="[Spt-BH.xls][Spt-BH_xls]_Sp_852"/>
      <sheetName val="[Spt-BH.xls][Spt-BH.xls]_Sp_974"/>
      <sheetName val="[Spt-BH.xls][Spt-BH.xls]_Sp_975"/>
      <sheetName val="[Spt-BH.xls][Spt-BH.xls]_Sp_976"/>
      <sheetName val="[Spt-BH.xls][Spt-BH.xls]B__2716"/>
      <sheetName val="[Spt-BH.xls][Spt-BH.xls]B__2717"/>
      <sheetName val="[Spt-BH.xls][Spt-BH.xls]_Sp_978"/>
      <sheetName val="[Spt-BH.xls][Spt-BH.xls]B__2718"/>
      <sheetName val="[Spt-BH.xls][Spt-BH.xls]B__2719"/>
      <sheetName val="[Spt-BH.xls][Spt-BH.xls]B__2720"/>
      <sheetName val="[Spt-BH.xls][Spt-BH.xls]B__2721"/>
      <sheetName val="[Spt-BH.xls][Spt-BH.xls]_Sp_977"/>
      <sheetName val="[Spt-BH.xls][Spt-BH.xls]B__2723"/>
      <sheetName val="[Spt-BH.xls][Spt-BH.xls]B__2724"/>
      <sheetName val="[Spt-BH.xls][Spt-BH.xls]_Sp_980"/>
      <sheetName val="[Spt-BH.xls][Spt-BH.xls]B__2725"/>
      <sheetName val="[Spt-BH.xls][Spt-BH.xls]B__2726"/>
      <sheetName val="[Spt-BH.xls]B____x005f_x0004______220"/>
      <sheetName val="[Spt-BH.xls]B___x005f_x0000__x000_217"/>
      <sheetName val="[Spt-BH.xls][Spt-BH.xls]B__2727"/>
      <sheetName val="[Spt-BH.xls][Spt-BH.xls]B__2728"/>
      <sheetName val="[Spt-BH.xls][Spt-BH.xls]B__2722"/>
      <sheetName val="[Spt-BH.xls][Spt-BH.xls]_Sp_979"/>
      <sheetName val="[Spt-BH.xls][Spt-BH_xls]B__2589"/>
      <sheetName val="[Spt-BH.xls][Spt-BH_xls]B__2590"/>
      <sheetName val="[Spt-BH.xls][Spt-BH_xls]B__2591"/>
      <sheetName val="[Spt-BH.xls][Spt-BH_xls]B__2592"/>
      <sheetName val="[Spt-BH.xls][Spt-BH_xls]_Sp_853"/>
      <sheetName val="[Spt-BH.xls][Spt-BH_xls]B__2593"/>
      <sheetName val="[Spt-BH.xls][Spt-BH_xls]B__2594"/>
      <sheetName val="[Spt-BH.xls][Spt-BH_xls]B__2595"/>
      <sheetName val="[Spt-BH.xls][Spt-BH_xls]_Sp_854"/>
      <sheetName val="[Spt-BH.xls][Spt-BH_xls]B__2596"/>
      <sheetName val="[Spt-BH.xls][Spt-BH_xls]B__2597"/>
      <sheetName val="[Spt-BH.xls][Spt-BH_xls]B__2598"/>
      <sheetName val="[Spt-BH.xls][Spt-BH_xls]B__2599"/>
      <sheetName val="[Spt-BH.xls][Spt-BH_xls]_Sp_855"/>
      <sheetName val="[Spt-BH.xls][Spt-BH_xls]B__2600"/>
      <sheetName val="[Spt-BH.xls][Spt-BH_xls]B__2601"/>
      <sheetName val="[Spt-BH.xls][Spt-BH_xls]_Sp_856"/>
      <sheetName val="[Spt-BH.xls][Spt-BH_xls]B__2602"/>
      <sheetName val="[Spt-BH.xls][Spt-BH_xls]B__2603"/>
      <sheetName val="[Spt-BH.xls][Spt-BH_xls]_Sp_857"/>
      <sheetName val="[Spt-BH.xls][Spt-BH.xls]B__2730"/>
      <sheetName val="[Spt-BH.xls][Spt-BH.xls]B__2731"/>
      <sheetName val="[Spt-BH.xls][Spt-BH.xls]_Sp_994"/>
      <sheetName val="[Spt-BH.xls][Spt-BH.xls]B__2732"/>
      <sheetName val="[Spt-BH.xls][Spt-BH.xls]B__2733"/>
      <sheetName val="[Spt-BH.xls]B____x005f_x0004______221"/>
      <sheetName val="[Spt-BH.xls]B___x005f_x0000__x000_218"/>
      <sheetName val="[Spt-BH.xls][Spt-BH.xls]B__2734"/>
      <sheetName val="[Spt-BH.xls][Spt-BH.xls]B__2735"/>
      <sheetName val="[Spt-BH.xls][Spt-BH.xls]B__2729"/>
      <sheetName val="[Spt-BH.xls][Spt-BH.xls]_Sp_981"/>
      <sheetName val="[Spt-BH.xls][Spt-BH_xls]B__2604"/>
      <sheetName val="[Spt-BH.xls][Spt-BH_xls]B__2605"/>
      <sheetName val="[Spt-BH.xls][Spt-BH_xls]B__2606"/>
      <sheetName val="[Spt-BH.xls][Spt-BH_xls]B__2607"/>
      <sheetName val="[Spt-BH.xls][Spt-BH_xls]_Sp_858"/>
      <sheetName val="[Spt-BH.xls][Spt-BH_xls]B__2608"/>
      <sheetName val="[Spt-BH.xls][Spt-BH_xls]B__2609"/>
      <sheetName val="[Spt-BH.xls][Spt-BH_xls]B__2610"/>
      <sheetName val="[Spt-BH.xls][Spt-BH_xls]_Sp_859"/>
      <sheetName val="[Spt-BH.xls][Spt-BH_xls]B__2611"/>
      <sheetName val="[Spt-BH.xls][Spt-BH_xls]B__2612"/>
      <sheetName val="[Spt-BH.xls][Spt-BH_xls]B__2613"/>
      <sheetName val="[Spt-BH.xls][Spt-BH_xls]B__2614"/>
      <sheetName val="[Spt-BH.xls][Spt-BH_xls]_Sp_860"/>
      <sheetName val="[Spt-BH.xls][Spt-BH_xls]B__2615"/>
      <sheetName val="[Spt-BH.xls][Spt-BH_xls]B__2616"/>
      <sheetName val="[Spt-BH.xls][Spt-BH_xls]_Sp_861"/>
      <sheetName val="[Spt-BH.xls][Spt-BH_xls]B__2617"/>
      <sheetName val="[Spt-BH.xls][Spt-BH_xls]B__2618"/>
      <sheetName val="[Spt-BH.xls][Spt-BH_xls]_Sp_862"/>
      <sheetName val="[Spt-BH.xls][Spt-BH.xls]B__2767"/>
      <sheetName val="[Spt-BH.xls][Spt-BH.xls]B__2768"/>
      <sheetName val="[Spt-BH.xls][Spt-BH.xls]_Sp_996"/>
      <sheetName val="[Spt-BH.xls][Spt-BH.xls]B__2769"/>
      <sheetName val="[Spt-BH.xls][Spt-BH.xls]B__2770"/>
      <sheetName val="[Spt-BH.xls][Spt-BH.xls]B__2771"/>
      <sheetName val="[Spt-BH.xls][Spt-BH.xls]B__2772"/>
      <sheetName val="[Spt-BH.xls][Spt-BH.xls]_Sp_995"/>
      <sheetName val="[Spt-BH.xls][Spt-BH.xls]B__2774"/>
      <sheetName val="[Spt-BH.xls][Spt-BH.xls]B__2775"/>
      <sheetName val="[Spt-BH.xls][Spt-BH.xls]_Sp_998"/>
      <sheetName val="[Spt-BH.xls][Spt-BH.xls]B__2776"/>
      <sheetName val="[Spt-BH.xls][Spt-BH.xls]B__2777"/>
      <sheetName val="[Spt-BH.xls]B____x005f_x0004______223"/>
      <sheetName val="[Spt-BH.xls]B___x005f_x0000__x000_220"/>
      <sheetName val="[Spt-BH.xls][Spt-BH.xls]B__2778"/>
      <sheetName val="[Spt-BH.xls][Spt-BH.xls]B__2779"/>
      <sheetName val="[Spt-BH.xls][Spt-BH.xls]B__2773"/>
      <sheetName val="[Spt-BH.xls][Spt-BH.xls]_Sp_997"/>
      <sheetName val="[Spt-BH.xls][Spt-BH_xls]B__2634"/>
      <sheetName val="[Spt-BH.xls][Spt-BH_xls]B__2635"/>
      <sheetName val="[Spt-BH.xls][Spt-BH_xls]B__2636"/>
      <sheetName val="[Spt-BH.xls][Spt-BH_xls]B__2637"/>
      <sheetName val="[Spt-BH.xls][Spt-BH_xls]_Sp_868"/>
      <sheetName val="[Spt-BH.xls][Spt-BH_xls]B__2638"/>
      <sheetName val="[Spt-BH.xls][Spt-BH_xls]B__2639"/>
      <sheetName val="[Spt-BH.xls][Spt-BH_xls]B__2640"/>
      <sheetName val="[Spt-BH.xls][Spt-BH_xls]_Sp_869"/>
      <sheetName val="[Spt-BH.xls][Spt-BH_xls]B__2641"/>
      <sheetName val="[Spt-BH.xls][Spt-BH_xls]B__2642"/>
      <sheetName val="[Spt-BH.xls][Spt-BH_xls]B__2643"/>
      <sheetName val="[Spt-BH.xls][Spt-BH_xls]B__2644"/>
      <sheetName val="[Spt-BH.xls][Spt-BH_xls]_Sp_870"/>
      <sheetName val="[Spt-BH.xls][Spt-BH_xls]B__2645"/>
      <sheetName val="[Spt-BH.xls][Spt-BH_xls]B__2646"/>
      <sheetName val="[Spt-BH.xls][Spt-BH_xls]_Sp_871"/>
      <sheetName val="[Spt-BH.xls][Spt-BH_xls]B__2647"/>
      <sheetName val="[Spt-BH.xls][Spt-BH_xls]B__2648"/>
      <sheetName val="[Spt-BH.xls][Spt-BH_xls]_Sp_872"/>
      <sheetName val="[Spt-BH.xls][Spt-BH.xls]_Sp_982"/>
      <sheetName val="[Spt-BH.xls][Spt-BH.xls]B__2736"/>
      <sheetName val="[Spt-BH.xls][Spt-BH.xls]B__2737"/>
      <sheetName val="[Spt-BH.xls][Spt-BH.xls]B__2738"/>
      <sheetName val="[Spt-BH.xls][Spt-BH.xls]B__2739"/>
      <sheetName val="[Spt-BH.xls][Spt-BH.xls]B__2740"/>
      <sheetName val="[Spt-BH.xls][Spt-BH.xls]B__2741"/>
      <sheetName val="[Spt-BH.xls][Spt-BH.xls]_Sp_983"/>
      <sheetName val="[Spt-BH.xls]B____x005f_x0004______222"/>
      <sheetName val="[Spt-BH.xls]B___x005f_x0000__x000_219"/>
      <sheetName val="[Spt-BH.xls][Spt-BH.xls]B__2742"/>
      <sheetName val="[Spt-BH.xls][Spt-BH_xls]B__2619"/>
      <sheetName val="[Spt-BH.xls][Spt-BH_xls]B__2620"/>
      <sheetName val="[Spt-BH.xls][Spt-BH_xls]B__2621"/>
      <sheetName val="[Spt-BH.xls][Spt-BH_xls]B__2622"/>
      <sheetName val="[Spt-BH.xls][Spt-BH_xls]_Sp_863"/>
      <sheetName val="[Spt-BH.xls][Spt-BH_xls]B__2623"/>
      <sheetName val="[Spt-BH.xls][Spt-BH_xls]B__2624"/>
      <sheetName val="[Spt-BH.xls][Spt-BH_xls]B__2625"/>
      <sheetName val="[Spt-BH.xls][Spt-BH_xls]_Sp_864"/>
      <sheetName val="[Spt-BH.xls][Spt-BH_xls]B__2626"/>
      <sheetName val="[Spt-BH.xls][Spt-BH_xls]B__2627"/>
      <sheetName val="[Spt-BH.xls][Spt-BH_xls]B__2628"/>
      <sheetName val="[Spt-BH.xls][Spt-BH_xls]B__2629"/>
      <sheetName val="[Spt-BH.xls][Spt-BH_xls]_Sp_865"/>
      <sheetName val="[Spt-BH.xls][Spt-BH_xls]B__2630"/>
      <sheetName val="[Spt-BH.xls][Spt-BH_xls]B__2631"/>
      <sheetName val="[Spt-BH.xls][Spt-BH_xls]_Sp_866"/>
      <sheetName val="[Spt-BH.xls][Spt-BH_xls]B__2632"/>
      <sheetName val="[Spt-BH.xls][Spt-BH_xls]B__2633"/>
      <sheetName val="[Spt-BH.xls][Spt-BH_xls]_Sp_867"/>
      <sheetName val="[Spt-BH.xls][Spt-BH.xls]_Sp_985"/>
      <sheetName val="[Spt-BH.xls][Spt-BH.xls]_Sp_984"/>
      <sheetName val="[Spt-BH.xls][Spt-BH.xls]B__2743"/>
      <sheetName val="[Spt-BH.xls][Spt-BH.xls]B__2744"/>
      <sheetName val="[Spt-BH.xls][Spt-BH.xls]_Sp_989"/>
      <sheetName val="[Spt-BH.xls][Spt-BH.xls]B__2745"/>
      <sheetName val="[Spt-BH.xls][Spt-BH.xls]B__2746"/>
      <sheetName val="[Spt-BH.xls][Spt-BH.xls]B__2747"/>
      <sheetName val="[Spt-BH.xls][Spt-BH.xls]B__2748"/>
      <sheetName val="[Spt-BH.xls][Spt-BH.xls]_Sp_986"/>
      <sheetName val="[Spt-BH.xls][Spt-BH.xls]B__2755"/>
      <sheetName val="[Spt-BH.xls][Spt-BH.xls]B__2756"/>
      <sheetName val="[Spt-BH.xls][Spt-BH.xls]_Sp_991"/>
      <sheetName val="[Spt-BH.xls][Spt-BH.xls]B__2757"/>
      <sheetName val="[Spt-BH.xls][Spt-BH.xls]B__2758"/>
      <sheetName val="[Spt-BH.xls][Spt-BH.xls]B__2759"/>
      <sheetName val="[Spt-BH.xls][Spt-BH.xls]B__2760"/>
      <sheetName val="[Spt-BH.xls][Spt-BH.xls]_Sp_990"/>
      <sheetName val="[Spt-BH.xls][Spt-BH.xls]_Sp_987"/>
      <sheetName val="[Spt-BH.xls][Spt-BH.xls]B__2749"/>
      <sheetName val="[Spt-BH.xls][Spt-BH.xls]B__2750"/>
      <sheetName val="[Spt-BH.xls][Spt-BH.xls]B__2751"/>
      <sheetName val="[Spt-BH.xls][Spt-BH.xls]B__2752"/>
      <sheetName val="[Spt-BH.xls][Spt-BH.xls]B__2753"/>
      <sheetName val="[Spt-BH.xls][Spt-BH.xls]B__2754"/>
      <sheetName val="[Spt-BH.xls][Spt-BH.xls]_Sp_988"/>
      <sheetName val="[Spt-BH.xls][Spt-BH.xls]_Sp_992"/>
      <sheetName val="[Spt-BH.xls][Spt-BH.xls]B__2761"/>
      <sheetName val="[Spt-BH.xls][Spt-BH.xls]B__2762"/>
      <sheetName val="[Spt-BH.xls][Spt-BH.xls]B__2763"/>
      <sheetName val="[Spt-BH.xls][Spt-BH.xls]B__2764"/>
      <sheetName val="[Spt-BH.xls][Spt-BH.xls]B__2765"/>
      <sheetName val="[Spt-BH.xls][Spt-BH.xls]B__2766"/>
      <sheetName val="[Spt-BH.xls][Spt-BH.xls]_Sp_993"/>
      <sheetName val="[Spt-BH.xls][Spt-BH.xls]_S_1000"/>
      <sheetName val="[Spt-BH.xls][Spt-BH.xls]B__2780"/>
      <sheetName val="[Spt-BH.xls][Spt-BH.xls]B__2781"/>
      <sheetName val="[Spt-BH.xls][Spt-BH.xls]_S_1002"/>
      <sheetName val="[Spt-BH.xls][Spt-BH.xls]B__2782"/>
      <sheetName val="[Spt-BH.xls][Spt-BH.xls]B__2783"/>
      <sheetName val="[Spt-BH.xls][Spt-BH.xls]B__2784"/>
      <sheetName val="[Spt-BH.xls][Spt-BH.xls]B__2785"/>
      <sheetName val="[Spt-BH.xls][Spt-BH.xls]_S_1001"/>
      <sheetName val="[Spt-BH.xls][Spt-BH.xls]B__2786"/>
      <sheetName val="[Spt-BH.xls][Spt-BH.xls]B__2787"/>
      <sheetName val="[Spt-BH.xls][Spt-BH.xls]_S_1004"/>
      <sheetName val="[Spt-BH.xls][Spt-BH.xls]B__2788"/>
      <sheetName val="[Spt-BH.xls][Spt-BH.xls]B__2789"/>
      <sheetName val="[Spt-BH.xls][Spt-BH.xls]B__2790"/>
      <sheetName val="[Spt-BH.xls][Spt-BH.xls]B__2791"/>
      <sheetName val="[Spt-BH.xls][Spt-BH.xls]_S_1003"/>
      <sheetName val="B@___x005f_x005f_x005f_x0004_@___$_"/>
      <sheetName val="Debits_as_on_12_04_0826"/>
      <sheetName val="LT_Motor_catalog11"/>
      <sheetName val="Cable_cat11"/>
      <sheetName val="PRRM_Dashboard28"/>
      <sheetName val="Direct_cost_shed_A-2_26"/>
      <sheetName val="Staff_Forecast_spread26"/>
      <sheetName val="Index_26"/>
      <sheetName val="Email_Approval_Template26"/>
      <sheetName val="1_Executive_Summary26"/>
      <sheetName val="2_Risk_Assessment_Analysis26"/>
      <sheetName val="3_Pre-Approval26"/>
      <sheetName val="4_CIS26"/>
      <sheetName val="5_Change_Order26"/>
      <sheetName val="5_1__Re-book_De-book_order26"/>
      <sheetName val="6_Contract_Re-estimates26"/>
      <sheetName val="7a_BG_Approval_Form26"/>
      <sheetName val="7b_BG_Email_Approval_Template26"/>
      <sheetName val="8_LAD_Approval_Form26"/>
      <sheetName val="9_LOI_Checklist26"/>
      <sheetName val="10_RPS_Information_Form26"/>
      <sheetName val="11_Proj_Cashflow_26"/>
      <sheetName val="11_1_Cash-flow_Chart26"/>
      <sheetName val="Threshold_Calculator26"/>
      <sheetName val="Version_Control26"/>
      <sheetName val="Prebid_Review26"/>
      <sheetName val="DJC_Parameters26"/>
      <sheetName val="Selling_Summary26"/>
      <sheetName val="1-BAS_(cost)26"/>
      <sheetName val="Controller_Configuration26"/>
      <sheetName val="IO_Summary26"/>
      <sheetName val="2-FAS_(cost)26"/>
      <sheetName val="Cost_Summary26"/>
      <sheetName val="3-PA_(cost)26"/>
      <sheetName val="Approved_Make26"/>
      <sheetName val="Basis_of_offer26"/>
      <sheetName val="High_Level_Summary26"/>
      <sheetName val="4-ACS__(cost)26"/>
      <sheetName val="5-CCTV__(cost)26"/>
      <sheetName val="6-FFT__(cost)26"/>
      <sheetName val="7-_Service_Retrofit__(cost)26"/>
      <sheetName val="8-Service_PSA,O&amp;M__(cost)26"/>
      <sheetName val="9-_Service_L&amp;M__(cost)26"/>
      <sheetName val="non_fixed_DJC_26"/>
      <sheetName val="10-UPG_(cost)26"/>
      <sheetName val="11-ESG__(cost)26"/>
      <sheetName val="12-Products_(cost)26"/>
      <sheetName val="13-VAV__(cost)26"/>
      <sheetName val="14-REF_(cost)26"/>
      <sheetName val="15_-_Local_Chiller_(cost)26"/>
      <sheetName val="Selling-Local_Chiller26"/>
      <sheetName val="Material_Cost_JCS26"/>
      <sheetName val="Costing_USD_Chiller26"/>
      <sheetName val="Selling-USD_Chiller26"/>
      <sheetName val="PRICE_MATRIX_-JCIPL26"/>
      <sheetName val="COST_SUMMARY-_JCIPL26"/>
      <sheetName val="6_-FFT-JCIPL26"/>
      <sheetName val="7-Ser_Retro_-JCIPL26"/>
      <sheetName val="8-Ser_PSA,_O&amp;M_-JCIPL26"/>
      <sheetName val="9-Ser_L&amp;M_-JCIPL26"/>
      <sheetName val="10-UPG_JCIPL26"/>
      <sheetName val="11-ESG_JCIPL26"/>
      <sheetName val="12-Products_JCIPL26"/>
      <sheetName val="13-VAV_JCIPL26"/>
      <sheetName val="14-REF_JCMRL_26"/>
      <sheetName val="Proj__DJC-JCIPL26"/>
      <sheetName val="_L0_DDC_126"/>
      <sheetName val="L0_DDC-226"/>
      <sheetName val="L16_DDC-326"/>
      <sheetName val="L16_DDC-526"/>
      <sheetName val="L17_DDC-626"/>
      <sheetName val="L17_DDC-7_26"/>
      <sheetName val="L18_DDC-826"/>
      <sheetName val="2-AutoDialer_Sys26"/>
      <sheetName val="1-BAS1_(cost)26"/>
      <sheetName val="2-BAS2_(cost)26"/>
      <sheetName val="Deviations-Project_Risks26"/>
      <sheetName val="IO_Schedule26"/>
      <sheetName val="STILT_FLOOR"/>
      <sheetName val="[Spt-BH_xls]B____x005f_x0004________2"/>
      <sheetName val="[Spt-BH_xls]B___x005f_x0000__x005f_x0004__2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B_____7"/>
      <sheetName val="[Spt-BH_xls][Spt-BH_xls]_Spt__2"/>
      <sheetName val="PCS_DATA"/>
      <sheetName val="[Spt-BH_xls][Spt-BH_xls]_Spt__3"/>
      <sheetName val="[Spt-BH_xls]B@["/>
      <sheetName val="[Spt-BH_xls][Spt-BH_xls]B@[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B____11"/>
      <sheetName val="[Spt-BH_xls][Spt-BH_xls]B____12"/>
      <sheetName val="[Spt-BH_xls][Spt-BH_xls]B____13"/>
      <sheetName val="[Spt-BH_xls][Spt-BH_xls]_Spt__4"/>
      <sheetName val="[Spt-BH_xls][Spt-BH_xls]B____14"/>
      <sheetName val="Debits_as_on_12_04_0827"/>
      <sheetName val="LT_Motor_catalog12"/>
      <sheetName val="Cable_cat12"/>
      <sheetName val="PRRM_Dashboard29"/>
      <sheetName val="Direct_cost_shed_A-2_27"/>
      <sheetName val="Staff_Forecast_spread27"/>
      <sheetName val="Index_27"/>
      <sheetName val="Email_Approval_Template27"/>
      <sheetName val="1_Executive_Summary27"/>
      <sheetName val="2_Risk_Assessment_Analysis27"/>
      <sheetName val="3_Pre-Approval27"/>
      <sheetName val="4_CIS27"/>
      <sheetName val="5_Change_Order27"/>
      <sheetName val="5_1__Re-book_De-book_order27"/>
      <sheetName val="6_Contract_Re-estimates27"/>
      <sheetName val="7a_BG_Approval_Form27"/>
      <sheetName val="7b_BG_Email_Approval_Template27"/>
      <sheetName val="8_LAD_Approval_Form27"/>
      <sheetName val="9_LOI_Checklist27"/>
      <sheetName val="10_RPS_Information_Form27"/>
      <sheetName val="11_Proj_Cashflow_27"/>
      <sheetName val="11_1_Cash-flow_Chart27"/>
      <sheetName val="Threshold_Calculator27"/>
      <sheetName val="Version_Control27"/>
      <sheetName val="Prebid_Review27"/>
      <sheetName val="DJC_Parameters27"/>
      <sheetName val="Selling_Summary27"/>
      <sheetName val="1-BAS_(cost)27"/>
      <sheetName val="Controller_Configuration27"/>
      <sheetName val="IO_Summary27"/>
      <sheetName val="2-FAS_(cost)27"/>
      <sheetName val="Cost_Summary27"/>
      <sheetName val="3-PA_(cost)27"/>
      <sheetName val="Approved_Make27"/>
      <sheetName val="Basis_of_offer27"/>
      <sheetName val="High_Level_Summary27"/>
      <sheetName val="4-ACS__(cost)27"/>
      <sheetName val="5-CCTV__(cost)27"/>
      <sheetName val="6-FFT__(cost)27"/>
      <sheetName val="7-_Service_Retrofit__(cost)27"/>
      <sheetName val="8-Service_PSA,O&amp;M__(cost)27"/>
      <sheetName val="9-_Service_L&amp;M__(cost)27"/>
      <sheetName val="non_fixed_DJC_27"/>
      <sheetName val="10-UPG_(cost)27"/>
      <sheetName val="11-ESG__(cost)27"/>
      <sheetName val="12-Products_(cost)27"/>
      <sheetName val="13-VAV__(cost)27"/>
      <sheetName val="14-REF_(cost)27"/>
      <sheetName val="15_-_Local_Chiller_(cost)27"/>
      <sheetName val="Selling-Local_Chiller27"/>
      <sheetName val="Material_Cost_JCS27"/>
      <sheetName val="Costing_USD_Chiller27"/>
      <sheetName val="Selling-USD_Chiller27"/>
      <sheetName val="PRICE_MATRIX_-JCIPL27"/>
      <sheetName val="COST_SUMMARY-_JCIPL27"/>
      <sheetName val="6_-FFT-JCIPL27"/>
      <sheetName val="7-Ser_Retro_-JCIPL27"/>
      <sheetName val="8-Ser_PSA,_O&amp;M_-JCIPL27"/>
      <sheetName val="9-Ser_L&amp;M_-JCIPL27"/>
      <sheetName val="10-UPG_JCIPL27"/>
      <sheetName val="11-ESG_JCIPL27"/>
      <sheetName val="12-Products_JCIPL27"/>
      <sheetName val="13-VAV_JCIPL27"/>
      <sheetName val="14-REF_JCMRL_27"/>
      <sheetName val="Proj__DJC-JCIPL27"/>
      <sheetName val="_L0_DDC_127"/>
      <sheetName val="L0_DDC-227"/>
      <sheetName val="L16_DDC-327"/>
      <sheetName val="L16_DDC-527"/>
      <sheetName val="L17_DDC-627"/>
      <sheetName val="L17_DDC-7_27"/>
      <sheetName val="L18_DDC-827"/>
      <sheetName val="2-AutoDialer_Sys27"/>
      <sheetName val="1-BAS1_(cost)27"/>
      <sheetName val="2-BAS2_(cost)27"/>
      <sheetName val="Deviations-Project_Risks27"/>
      <sheetName val="IO_Schedule27"/>
      <sheetName val="foot-slab_reinft1"/>
      <sheetName val="MASTER_RATE_ANALYSIS1"/>
      <sheetName val="STILT_FLOOR1"/>
      <sheetName val="[Spt-BH_xls][Spt-BH_xls]B@[?_x1"/>
      <sheetName val="[Spt-BH_xls]B____x005f_x0004________1"/>
      <sheetName val="[Spt-BH_xls]B___x005f_x0000__x005f_x0004__1"/>
      <sheetName val="[Spt-BH_xls][Spt-BH_xls]B_____1"/>
      <sheetName val="[Spt-BH_xls][Spt-BH_xls]B____15"/>
      <sheetName val="[Spt-BH_xls][Spt-BH_xls]B____16"/>
      <sheetName val="[Spt-BH_xls][Spt-BH_xls]B____17"/>
      <sheetName val="[Spt-BH_xls][Spt-BH_xls]B____18"/>
      <sheetName val="[Spt-BH_xls][Spt-BH_xls]B____19"/>
      <sheetName val="[Spt-BH_xls][Spt-BH_xls]_Spt__1"/>
      <sheetName val="PCS_DATA1"/>
      <sheetName val="[Spt-BH_xls][Spt-BH_xls]_Spt__5"/>
      <sheetName val="[Spt-BH_xls]B@[1"/>
      <sheetName val="[Spt-BH_xls][Spt-BH_xls]B@[1"/>
      <sheetName val="[Spt-BH_xls]B____x005f_x0004________4"/>
      <sheetName val="[Spt-BH_xls]B___x005f_x0000__x005f_x0004__4"/>
      <sheetName val="[Spt-BH_xls][Spt-BH_xls]B____20"/>
      <sheetName val="[Spt-BH_xls][Spt-BH_xls]B____21"/>
      <sheetName val="[Spt-BH_xls][Spt-BH_xls]B____22"/>
      <sheetName val="[Spt-BH_xls][Spt-BH_xls]B____23"/>
      <sheetName val="[Spt-BH_xls][Spt-BH_xls]B____24"/>
      <sheetName val="[Spt-BH_xls][Spt-BH_xls]B____25"/>
      <sheetName val="[Spt-BH_xls][Spt-BH_xls]_Spt__6"/>
      <sheetName val="[Spt-BH_xls][Spt-BH_xls]B____26"/>
      <sheetName val="BID"/>
      <sheetName val="Data.Project"/>
      <sheetName val="Data_Project"/>
      <sheetName val="Data_Project1"/>
      <sheetName val="MAIN SUMMARY"/>
      <sheetName val="Summ- FAC SHED"/>
      <sheetName val=" BOQ- FAC SHED"/>
      <sheetName val="BOQ-Dism works "/>
      <sheetName val="Boq-plu &amp;san"/>
      <sheetName val="Cash2"/>
      <sheetName val="Z"/>
      <sheetName val="newsales"/>
      <sheetName val="Civil Works"/>
      <sheetName val="[Spt-BH.xls][Spt-BH.xls]_S_1005"/>
      <sheetName val="[Spt-BH.xls][Spt-BH.xls]_S_1009"/>
      <sheetName val="[Spt-BH.xls][Spt-BH.xls]B__2799"/>
      <sheetName val="[Spt-BH.xls][Spt-BH.xls]B__2800"/>
      <sheetName val="[Spt-BH.xls][Spt-BH.xls]B__2801"/>
      <sheetName val="[Spt-BH.xls][Spt-BH.xls]B__2802"/>
      <sheetName val="[Spt-BH.xls][Spt-BH.xls]B__2803"/>
      <sheetName val="[Spt-BH.xls][Spt-BH.xls]B__2804"/>
      <sheetName val="[Spt-BH.xls][Spt-BH.xls]_S_1010"/>
      <sheetName val="[Spt-BH.xls]B____x005f_x0004______226"/>
      <sheetName val="[Spt-BH.xls]B___x005f_x0000__x000_223"/>
      <sheetName val="[Spt-BH.xls][Spt-BH.xls]B__2805"/>
      <sheetName val="[Spt-BH.xls][Spt-BH_xls]B__2664"/>
      <sheetName val="[Spt-BH.xls][Spt-BH_xls]B__2665"/>
      <sheetName val="[Spt-BH.xls][Spt-BH_xls]B__2666"/>
      <sheetName val="[Spt-BH.xls][Spt-BH_xls]B__2667"/>
      <sheetName val="[Spt-BH.xls][Spt-BH_xls]_Sp_878"/>
      <sheetName val="[Spt-BH.xls][Spt-BH_xls]B__2668"/>
      <sheetName val="[Spt-BH.xls][Spt-BH_xls]B__2669"/>
      <sheetName val="[Spt-BH.xls][Spt-BH_xls]B__2670"/>
      <sheetName val="[Spt-BH.xls][Spt-BH_xls]_Sp_879"/>
      <sheetName val="[Spt-BH.xls][Spt-BH_xls]B__2671"/>
      <sheetName val="[Spt-BH.xls][Spt-BH_xls]B__2672"/>
      <sheetName val="[Spt-BH.xls][Spt-BH_xls]B__2673"/>
      <sheetName val="[Spt-BH.xls][Spt-BH_xls]B__2674"/>
      <sheetName val="[Spt-BH.xls][Spt-BH_xls]_Sp_880"/>
      <sheetName val="[Spt-BH.xls][Spt-BH_xls]B__2675"/>
      <sheetName val="[Spt-BH.xls][Spt-BH_xls]B__2676"/>
      <sheetName val="[Spt-BH.xls][Spt-BH_xls]_Sp_881"/>
      <sheetName val="[Spt-BH.xls][Spt-BH_xls]B__2677"/>
      <sheetName val="[Spt-BH.xls][Spt-BH_xls]B__2678"/>
      <sheetName val="[Spt-BH.xls][Spt-BH_xls]_Sp_882"/>
      <sheetName val="[Spt-BH.xls]B____x005f_x0004______224"/>
      <sheetName val="[Spt-BH.xls]B___x005f_x0000__x000_221"/>
      <sheetName val="[Spt-BH.xls][Spt-BH.xls]B__2792"/>
      <sheetName val="[Spt-BH.xls][Spt-BH_xls]B__2649"/>
      <sheetName val="[Spt-BH.xls][Spt-BH_xls]B__2650"/>
      <sheetName val="[Spt-BH.xls][Spt-BH_xls]B__2651"/>
      <sheetName val="[Spt-BH.xls][Spt-BH_xls]B__2652"/>
      <sheetName val="[Spt-BH.xls][Spt-BH_xls]_Sp_873"/>
      <sheetName val="[Spt-BH.xls][Spt-BH_xls]B__2653"/>
      <sheetName val="[Spt-BH.xls][Spt-BH_xls]B__2654"/>
      <sheetName val="[Spt-BH.xls][Spt-BH_xls]B__2655"/>
      <sheetName val="[Spt-BH.xls][Spt-BH_xls]_Sp_874"/>
      <sheetName val="[Spt-BH.xls][Spt-BH_xls]B__2656"/>
      <sheetName val="[Spt-BH.xls][Spt-BH_xls]B__2657"/>
      <sheetName val="[Spt-BH.xls][Spt-BH_xls]B__2658"/>
      <sheetName val="[Spt-BH.xls][Spt-BH_xls]B__2659"/>
      <sheetName val="[Spt-BH.xls][Spt-BH_xls]_Sp_875"/>
      <sheetName val="[Spt-BH.xls][Spt-BH_xls]B__2660"/>
      <sheetName val="[Spt-BH.xls][Spt-BH_xls]B__2661"/>
      <sheetName val="[Spt-BH.xls][Spt-BH_xls]_Sp_876"/>
      <sheetName val="[Spt-BH.xls][Spt-BH_xls]B__2662"/>
      <sheetName val="[Spt-BH.xls][Spt-BH_xls]B__2663"/>
      <sheetName val="[Spt-BH.xls][Spt-BH_xls]_Sp_877"/>
      <sheetName val="[Spt-BH.xls][Spt-BH.xls]_S_1006"/>
      <sheetName val="[Spt-BH.xls][Spt-BH.xls]B__2793"/>
      <sheetName val="[Spt-BH.xls][Spt-BH.xls]B__2794"/>
      <sheetName val="[Spt-BH.xls][Spt-BH.xls]B__2795"/>
      <sheetName val="[Spt-BH.xls][Spt-BH.xls]B__2796"/>
      <sheetName val="[Spt-BH.xls][Spt-BH.xls]B__2797"/>
      <sheetName val="[Spt-BH.xls][Spt-BH.xls]_S_1007"/>
      <sheetName val="[Spt-BH.xls][Spt-BH.xls]B__2798"/>
      <sheetName val="[Spt-BH.xls][Spt-BH.xls]_S_1008"/>
      <sheetName val="[Spt-BH.xls]B____x005f_x0004______225"/>
      <sheetName val="[Spt-BH.xls]B___x005f_x0000__x000_222"/>
      <sheetName val="[Spt-BH.xls][Spt-BH.xls]B__2839"/>
      <sheetName val="[Spt-BH.xls][Spt-BH.xls]B__2840"/>
      <sheetName val="[Spt-BH.xls][Spt-BH.xls]_S_1023"/>
      <sheetName val="[Spt-BH.xls][Spt-BH.xls]B__2841"/>
      <sheetName val="[Spt-BH.xls][Spt-BH.xls]B__2842"/>
      <sheetName val="[Spt-BH.xls][Spt-BH.xls]B__2843"/>
      <sheetName val="[Spt-BH.xls][Spt-BH.xls]B__2844"/>
      <sheetName val="[Spt-BH.xls][Spt-BH.xls]_S_1022"/>
      <sheetName val="[Spt-BH.xls][Spt-BH.xls]B__2846"/>
      <sheetName val="[Spt-BH.xls][Spt-BH.xls]B__2847"/>
      <sheetName val="[Spt-BH.xls][Spt-BH.xls]_S_1025"/>
      <sheetName val="[Spt-BH.xls][Spt-BH.xls]B__2848"/>
      <sheetName val="[Spt-BH.xls][Spt-BH.xls]B__2849"/>
      <sheetName val="[Spt-BH.xls]B____x005f_x0004______230"/>
      <sheetName val="[Spt-BH.xls]B___x005f_x0000__x000_227"/>
      <sheetName val="[Spt-BH.xls][Spt-BH.xls]B__2850"/>
      <sheetName val="[Spt-BH.xls][Spt-BH.xls]B__2851"/>
      <sheetName val="[Spt-BH.xls][Spt-BH.xls]B__2845"/>
      <sheetName val="[Spt-BH.xls][Spt-BH.xls]_S_1024"/>
      <sheetName val="[Spt-BH.xls][Spt-BH_xls]B__2724"/>
      <sheetName val="[Spt-BH.xls][Spt-BH_xls]B__2725"/>
      <sheetName val="[Spt-BH.xls][Spt-BH_xls]B__2726"/>
      <sheetName val="[Spt-BH.xls][Spt-BH_xls]B__2727"/>
      <sheetName val="[Spt-BH.xls][Spt-BH_xls]_Sp_898"/>
      <sheetName val="[Spt-BH.xls][Spt-BH_xls]B__2728"/>
      <sheetName val="[Spt-BH.xls][Spt-BH_xls]B__2729"/>
      <sheetName val="[Spt-BH.xls][Spt-BH_xls]B__2730"/>
      <sheetName val="[Spt-BH.xls][Spt-BH_xls]_Sp_899"/>
      <sheetName val="[Spt-BH.xls][Spt-BH_xls]B__2731"/>
      <sheetName val="[Spt-BH.xls][Spt-BH_xls]B__2732"/>
      <sheetName val="[Spt-BH.xls][Spt-BH_xls]B__2733"/>
      <sheetName val="[Spt-BH.xls][Spt-BH_xls]B__2734"/>
      <sheetName val="[Spt-BH.xls][Spt-BH_xls]_Sp_900"/>
      <sheetName val="[Spt-BH.xls][Spt-BH_xls]B__2735"/>
      <sheetName val="[Spt-BH.xls][Spt-BH_xls]B__2736"/>
      <sheetName val="[Spt-BH.xls][Spt-BH_xls]_Sp_901"/>
      <sheetName val="[Spt-BH.xls][Spt-BH_xls]B__2737"/>
      <sheetName val="[Spt-BH.xls][Spt-BH_xls]B__2738"/>
      <sheetName val="[Spt-BH.xls][Spt-BH_xls]_Sp_902"/>
      <sheetName val="[Spt-BH.xls][Spt-BH.xls]B__2853"/>
      <sheetName val="[Spt-BH.xls][Spt-BH.xls]B__2854"/>
      <sheetName val="[Spt-BH.xls][Spt-BH.xls]_S_1027"/>
      <sheetName val="[Spt-BH.xls][Spt-BH.xls]B__2855"/>
      <sheetName val="[Spt-BH.xls][Spt-BH.xls]B__2856"/>
      <sheetName val="[Spt-BH.xls]B____x005f_x0004______231"/>
      <sheetName val="[Spt-BH.xls]B___x005f_x0000__x000_228"/>
      <sheetName val="[Spt-BH.xls][Spt-BH.xls]B__2857"/>
      <sheetName val="[Spt-BH.xls][Spt-BH.xls]B__2858"/>
      <sheetName val="[Spt-BH.xls][Spt-BH.xls]B__2852"/>
      <sheetName val="[Spt-BH.xls][Spt-BH.xls]_S_1026"/>
      <sheetName val="[Spt-BH.xls][Spt-BH_xls]B__2739"/>
      <sheetName val="[Spt-BH.xls][Spt-BH_xls]B__2740"/>
      <sheetName val="[Spt-BH.xls][Spt-BH_xls]B__2741"/>
      <sheetName val="[Spt-BH.xls][Spt-BH_xls]B__2742"/>
      <sheetName val="[Spt-BH.xls][Spt-BH_xls]_Sp_903"/>
      <sheetName val="[Spt-BH.xls][Spt-BH_xls]B__2743"/>
      <sheetName val="[Spt-BH.xls][Spt-BH_xls]B__2744"/>
      <sheetName val="[Spt-BH.xls][Spt-BH_xls]B__2745"/>
      <sheetName val="[Spt-BH.xls][Spt-BH_xls]_Sp_904"/>
      <sheetName val="[Spt-BH.xls][Spt-BH_xls]B__2746"/>
      <sheetName val="[Spt-BH.xls][Spt-BH_xls]B__2747"/>
      <sheetName val="[Spt-BH.xls][Spt-BH_xls]B__2748"/>
      <sheetName val="[Spt-BH.xls][Spt-BH_xls]B__2749"/>
      <sheetName val="[Spt-BH.xls][Spt-BH_xls]_Sp_905"/>
      <sheetName val="[Spt-BH.xls][Spt-BH_xls]B__2750"/>
      <sheetName val="[Spt-BH.xls][Spt-BH_xls]B__2751"/>
      <sheetName val="[Spt-BH.xls][Spt-BH_xls]_Sp_906"/>
      <sheetName val="[Spt-BH.xls][Spt-BH_xls]B__2752"/>
      <sheetName val="[Spt-BH.xls][Spt-BH_xls]B__2753"/>
      <sheetName val="[Spt-BH.xls][Spt-BH_xls]_Sp_907"/>
      <sheetName val="[Spt-BH.xls][Spt-BH.xls]_S_1030"/>
      <sheetName val="[Spt-BH.xls][Spt-BH.xls]B__2866"/>
      <sheetName val="[Spt-BH.xls][Spt-BH.xls]B__2867"/>
      <sheetName val="[Spt-BH.xls][Spt-BH.xls]_S_1032"/>
      <sheetName val="[Spt-BH.xls][Spt-BH.xls]B__2868"/>
      <sheetName val="[Spt-BH.xls][Spt-BH.xls]B__2869"/>
      <sheetName val="[Spt-BH.xls][Spt-BH.xls]B__2870"/>
      <sheetName val="[Spt-BH.xls][Spt-BH.xls]B__2871"/>
      <sheetName val="[Spt-BH.xls][Spt-BH.xls]_S_1031"/>
      <sheetName val="[Spt-BH.xls][Spt-BH.xls]B__2873"/>
      <sheetName val="[Spt-BH.xls][Spt-BH.xls]B__2874"/>
      <sheetName val="[Spt-BH.xls][Spt-BH.xls]_S_1035"/>
      <sheetName val="[Spt-BH.xls][Spt-BH.xls]B__2875"/>
      <sheetName val="[Spt-BH.xls][Spt-BH.xls]B__2876"/>
      <sheetName val="[Spt-BH.xls]B____x005f_x0004______233"/>
      <sheetName val="[Spt-BH.xls]B___x005f_x0000__x000_230"/>
      <sheetName val="[Spt-BH.xls][Spt-BH.xls]B__2877"/>
      <sheetName val="[Spt-BH.xls][Spt-BH.xls]B__2878"/>
      <sheetName val="[Spt-BH.xls][Spt-BH.xls]B__2872"/>
      <sheetName val="[Spt-BH.xls][Spt-BH.xls]_S_1033"/>
      <sheetName val="[Spt-BH.xls][Spt-BH_xls]B__2769"/>
      <sheetName val="[Spt-BH.xls][Spt-BH_xls]B__2770"/>
      <sheetName val="[Spt-BH.xls][Spt-BH_xls]B__2771"/>
      <sheetName val="[Spt-BH.xls][Spt-BH_xls]B__2772"/>
      <sheetName val="[Spt-BH.xls][Spt-BH_xls]_Sp_913"/>
      <sheetName val="[Spt-BH.xls][Spt-BH_xls]B__2773"/>
      <sheetName val="[Spt-BH.xls][Spt-BH_xls]B__2774"/>
      <sheetName val="[Spt-BH.xls][Spt-BH_xls]B__2775"/>
      <sheetName val="[Spt-BH.xls][Spt-BH_xls]_Sp_914"/>
      <sheetName val="[Spt-BH.xls][Spt-BH_xls]B__2776"/>
      <sheetName val="[Spt-BH.xls][Spt-BH_xls]B__2777"/>
      <sheetName val="[Spt-BH.xls][Spt-BH_xls]B__2778"/>
      <sheetName val="[Spt-BH.xls][Spt-BH_xls]B__2779"/>
      <sheetName val="[Spt-BH.xls][Spt-BH_xls]_Sp_915"/>
      <sheetName val="[Spt-BH.xls][Spt-BH_xls]B__2780"/>
      <sheetName val="[Spt-BH.xls][Spt-BH_xls]B__2781"/>
      <sheetName val="[Spt-BH.xls][Spt-BH_xls]_Sp_916"/>
      <sheetName val="[Spt-BH.xls][Spt-BH_xls]B__2782"/>
      <sheetName val="[Spt-BH.xls][Spt-BH_xls]B__2783"/>
      <sheetName val="[Spt-BH.xls][Spt-BH_xls]_Sp_917"/>
      <sheetName val="[Spt-BH.xls][Spt-BH.xls]_S_1028"/>
      <sheetName val="[Spt-BH.xls][Spt-BH.xls]B__2859"/>
      <sheetName val="[Spt-BH.xls][Spt-BH.xls]B__2860"/>
      <sheetName val="[Spt-BH.xls][Spt-BH.xls]B__2861"/>
      <sheetName val="[Spt-BH.xls][Spt-BH.xls]B__2862"/>
      <sheetName val="[Spt-BH.xls][Spt-BH.xls]B__2863"/>
      <sheetName val="[Spt-BH.xls][Spt-BH.xls]B__2864"/>
      <sheetName val="[Spt-BH.xls][Spt-BH.xls]_S_1029"/>
      <sheetName val="[Spt-BH.xls]B____x005f_x0004______232"/>
      <sheetName val="[Spt-BH.xls]B___x005f_x0000__x000_229"/>
      <sheetName val="[Spt-BH.xls][Spt-BH.xls]B__2865"/>
      <sheetName val="[Spt-BH.xls][Spt-BH_xls]B__2754"/>
      <sheetName val="[Spt-BH.xls][Spt-BH_xls]B__2755"/>
      <sheetName val="[Spt-BH.xls][Spt-BH_xls]B__2756"/>
      <sheetName val="[Spt-BH.xls][Spt-BH_xls]B__2757"/>
      <sheetName val="[Spt-BH.xls][Spt-BH_xls]_Sp_908"/>
      <sheetName val="[Spt-BH.xls][Spt-BH_xls]B__2758"/>
      <sheetName val="[Spt-BH.xls][Spt-BH_xls]B__2759"/>
      <sheetName val="[Spt-BH.xls][Spt-BH_xls]B__2760"/>
      <sheetName val="[Spt-BH.xls][Spt-BH_xls]_Sp_909"/>
      <sheetName val="[Spt-BH.xls][Spt-BH_xls]B__2761"/>
      <sheetName val="[Spt-BH.xls][Spt-BH_xls]B__2762"/>
      <sheetName val="[Spt-BH.xls][Spt-BH_xls]B__2763"/>
      <sheetName val="[Spt-BH.xls][Spt-BH_xls]B__2764"/>
      <sheetName val="[Spt-BH.xls][Spt-BH_xls]_Sp_910"/>
      <sheetName val="[Spt-BH.xls][Spt-BH_xls]B__2765"/>
      <sheetName val="[Spt-BH.xls][Spt-BH_xls]B__2766"/>
      <sheetName val="[Spt-BH.xls][Spt-BH_xls]_Sp_911"/>
      <sheetName val="[Spt-BH.xls][Spt-BH_xls]B__2767"/>
      <sheetName val="[Spt-BH.xls][Spt-BH_xls]B__2768"/>
      <sheetName val="[Spt-BH.xls][Spt-BH_xls]_Sp_912"/>
      <sheetName val="[Spt-BH.xls][Spt-BH.xls]_S_1034"/>
      <sheetName val="[Spt-BH.xls][Spt-BH.xls]B__3005"/>
      <sheetName val="[Spt-BH.xls][Spt-BH.xls]B__3012"/>
      <sheetName val="[Spt-BH.xls][Spt-BH.xls]B__3013"/>
      <sheetName val="[Spt-BH.xls][Spt-BH.xls]_S_1078"/>
      <sheetName val="[Spt-BH.xls][Spt-BH.xls]B__3014"/>
      <sheetName val="[Spt-BH.xls][Spt-BH.xls]B__3015"/>
      <sheetName val="[Spt-BH.xls]B____x005f_x0004______244"/>
      <sheetName val="[Spt-BH.xls][Spt-BH.xls]_S_1074"/>
      <sheetName val="[Spt-BH.xls][Spt-BH.xls]B__3006"/>
      <sheetName val="[Spt-BH.xls][Spt-BH.xls]_S_1076"/>
      <sheetName val="[Spt-BH.xls][Spt-BH.xls]B__3007"/>
      <sheetName val="[Spt-BH.xls][Spt-BH.xls]B__3008"/>
      <sheetName val="[Spt-BH.xls][Spt-BH.xls]B__3009"/>
      <sheetName val="[Spt-BH.xls]B___x005f_x0000__x000_240"/>
      <sheetName val="[Spt-BH.xls][Spt-BH.xls]B__3016"/>
      <sheetName val="[Spt-BH.xls][Spt-BH.xls]B__3017"/>
      <sheetName val="[Spt-BH.xls][Spt-BH.xls]B__3010"/>
      <sheetName val="[Spt-BH.xls][Spt-BH.xls]B__3011"/>
      <sheetName val="[Spt-BH.xls][Spt-BH.xls]_S_1077"/>
      <sheetName val="[Spt-BH.xls][Spt-BH_xls]B__2885"/>
      <sheetName val="[Spt-BH.xls][Spt-BH_xls]B__2886"/>
      <sheetName val="[Spt-BH.xls][Spt-BH_xls]B__2887"/>
      <sheetName val="[Spt-BH.xls][Spt-BH_xls]B__2888"/>
      <sheetName val="[Spt-BH.xls][Spt-BH_xls]_Sp_951"/>
      <sheetName val="[Spt-BH.xls][Spt-BH_xls]B__2889"/>
      <sheetName val="[Spt-BH.xls][Spt-BH_xls]B__2890"/>
      <sheetName val="[Spt-BH.xls][Spt-BH_xls]B__2891"/>
      <sheetName val="[Spt-BH.xls][Spt-BH_xls]_Sp_952"/>
      <sheetName val="[Spt-BH.xls][Spt-BH_xls]B__2892"/>
      <sheetName val="[Spt-BH.xls][Spt-BH_xls]B__2893"/>
      <sheetName val="[Spt-BH.xls][Spt-BH_xls]B__2894"/>
      <sheetName val="[Spt-BH.xls][Spt-BH_xls]B__2895"/>
      <sheetName val="[Spt-BH.xls][Spt-BH_xls]_Sp_953"/>
      <sheetName val="[Spt-BH.xls][Spt-BH.xls]_S_1075"/>
      <sheetName val="[Spt-BH.xls][Spt-BH_xls]B__2896"/>
      <sheetName val="[Spt-BH.xls][Spt-BH_xls]B__2897"/>
      <sheetName val="[Spt-BH.xls][Spt-BH_xls]_Sp_954"/>
      <sheetName val="[Spt-BH.xls][Spt-BH_xls]B__2898"/>
      <sheetName val="[Spt-BH.xls][Spt-BH_xls]B__2899"/>
      <sheetName val="[Spt-BH.xls][Spt-BH_xls]_Sp_955"/>
      <sheetName val="[Spt-BH.xls][Spt-BH.xls]B__2999"/>
      <sheetName val="[Spt-BH.xls][Spt-BH.xls]B__3000"/>
      <sheetName val="[Spt-BH.xls][Spt-BH.xls]B__3001"/>
      <sheetName val="[Spt-BH.xls][Spt-BH.xls]B__3002"/>
      <sheetName val="[Spt-BH.xls][Spt-BH.xls]_S_1072"/>
      <sheetName val="[Spt-BH.xls][Spt-BH.xls]B__3003"/>
      <sheetName val="[Spt-BH.xls][Spt-BH.xls]B__3004"/>
      <sheetName val="[Spt-BH.xls][Spt-BH.xls]_S_1073"/>
      <sheetName val="[Spt-BH.xls][Spt-BH.xls]B__2950"/>
      <sheetName val="[Spt-BH.xls][Spt-BH.xls]B__2951"/>
      <sheetName val="[Spt-BH.xls][Spt-BH.xls]_S_1056"/>
      <sheetName val="[Spt-BH.xls][Spt-BH.xls]B__2952"/>
      <sheetName val="[Spt-BH.xls][Spt-BH.xls]B__2953"/>
      <sheetName val="[Spt-BH.xls]B____x005f_x0004______237"/>
      <sheetName val="[Spt-BH.xls][Spt-BH.xls]B__2943"/>
      <sheetName val="[Spt-BH.xls][Spt-BH.xls]B__2944"/>
      <sheetName val="[Spt-BH.xls][Spt-BH.xls]_S_1054"/>
      <sheetName val="[Spt-BH.xls][Spt-BH.xls]B__2945"/>
      <sheetName val="[Spt-BH.xls][Spt-BH.xls]B__2946"/>
      <sheetName val="[Spt-BH.xls][Spt-BH.xls]B__2947"/>
      <sheetName val="[Spt-BH.xls][Spt-BH.xls]_S_1052"/>
      <sheetName val="[Spt-BH.xls][Spt-BH.xls]B__2948"/>
      <sheetName val="[Spt-BH.xls]B___x005f_x0000__x000_233"/>
      <sheetName val="[Spt-BH.xls][Spt-BH.xls]B__2954"/>
      <sheetName val="[Spt-BH.xls][Spt-BH.xls]B__2955"/>
      <sheetName val="[Spt-BH.xls][Spt-BH.xls]B__2949"/>
      <sheetName val="[Spt-BH.xls][Spt-BH.xls]_S_1055"/>
      <sheetName val="[Spt-BH.xls][Spt-BH_xls]B__2825"/>
      <sheetName val="[Spt-BH.xls][Spt-BH_xls]B__2826"/>
      <sheetName val="[Spt-BH.xls][Spt-BH_xls]B__2827"/>
      <sheetName val="[Spt-BH.xls][Spt-BH_xls]B__2828"/>
      <sheetName val="[Spt-BH.xls][Spt-BH_xls]_Sp_931"/>
      <sheetName val="[Spt-BH.xls][Spt-BH_xls]B__2829"/>
      <sheetName val="[Spt-BH.xls][Spt-BH_xls]B__2830"/>
      <sheetName val="[Spt-BH.xls][Spt-BH_xls]B__2831"/>
      <sheetName val="[Spt-BH.xls][Spt-BH_xls]_Sp_932"/>
      <sheetName val="[Spt-BH.xls][Spt-BH_xls]B__2832"/>
      <sheetName val="[Spt-BH.xls][Spt-BH_xls]B__2833"/>
      <sheetName val="[Spt-BH.xls][Spt-BH_xls]B__2834"/>
      <sheetName val="[Spt-BH.xls][Spt-BH_xls]B__2835"/>
      <sheetName val="[Spt-BH.xls][Spt-BH_xls]_Sp_933"/>
      <sheetName val="[Spt-BH.xls][Spt-BH.xls]_S_1053"/>
      <sheetName val="[Spt-BH.xls][Spt-BH_xls]B__2836"/>
      <sheetName val="[Spt-BH.xls][Spt-BH_xls]B__2837"/>
      <sheetName val="[Spt-BH.xls][Spt-BH_xls]_Sp_934"/>
      <sheetName val="[Spt-BH.xls][Spt-BH_xls]B__2838"/>
      <sheetName val="[Spt-BH.xls][Spt-BH_xls]B__2839"/>
      <sheetName val="[Spt-BH.xls][Spt-BH_xls]_Sp_935"/>
      <sheetName val="[Spt-BH.xls][Spt-BH.xls]B__2910"/>
      <sheetName val="[Spt-BH.xls][Spt-BH.xls]B__2911"/>
      <sheetName val="[Spt-BH.xls][Spt-BH.xls]_S_1043"/>
      <sheetName val="[Spt-BH.xls][Spt-BH.xls]B__2912"/>
      <sheetName val="[Spt-BH.xls][Spt-BH.xls]B__2913"/>
      <sheetName val="[Spt-BH.xls][Spt-BH.xls]B__2880"/>
      <sheetName val="[Spt-BH.xls][Spt-BH.xls]B__2881"/>
      <sheetName val="[Spt-BH.xls][Spt-BH.xls]B__2882"/>
      <sheetName val="[Spt-BH.xls][Spt-BH.xls]B__2883"/>
      <sheetName val="[Spt-BH.xls][Spt-BH.xls]B__2879"/>
      <sheetName val="[Spt-BH.xls][Spt-BH.xls]B__2891"/>
      <sheetName val="[Spt-BH.xls][Spt-BH.xls]B__2892"/>
      <sheetName val="[Spt-BH.xls][Spt-BH.xls]_S_1037"/>
      <sheetName val="[Spt-BH.xls][Spt-BH.xls]B__2893"/>
      <sheetName val="[Spt-BH.xls][Spt-BH.xls]B__2894"/>
      <sheetName val="[Spt-BH.xls][Spt-BH.xls]B__2884"/>
      <sheetName val="[Spt-BH.xls][Spt-BH.xls]B__2885"/>
      <sheetName val="[Spt-BH.xls][Spt-BH.xls]B__2886"/>
      <sheetName val="[Spt-BH.xls][Spt-BH.xls]B__2887"/>
      <sheetName val="[Spt-BH.xls][Spt-BH.xls]B__2888"/>
      <sheetName val="[Spt-BH.xls][Spt-BH.xls]B__2889"/>
      <sheetName val="[Spt-BH.xls][Spt-BH.xls]B__2895"/>
      <sheetName val="[Spt-BH.xls][Spt-BH.xls]B__2896"/>
      <sheetName val="[Spt-BH.xls][Spt-BH.xls]B__2890"/>
      <sheetName val="[Spt-BH.xls][Spt-BH.xls]_S_1036"/>
      <sheetName val="[Spt-BH.xls][Spt-BH.xls]B__2897"/>
      <sheetName val="[Spt-BH.xls][Spt-BH.xls]B__2898"/>
      <sheetName val="[Spt-BH.xls][Spt-BH.xls]_S_1041"/>
      <sheetName val="[Spt-BH.xls][Spt-BH.xls]B__2899"/>
      <sheetName val="[Spt-BH.xls][Spt-BH.xls]B__2900"/>
      <sheetName val="[Spt-BH.xls][Spt-BH.xls]B__2901"/>
      <sheetName val="[Spt-BH.xls][Spt-BH.xls]B__2914"/>
      <sheetName val="[Spt-BH.xls][Spt-BH.xls]B__2915"/>
      <sheetName val="[Spt-BH.xls][Spt-BH.xls]B__2902"/>
      <sheetName val="[Spt-BH.xls][Spt-BH.xls]B__2903"/>
      <sheetName val="[Spt-BH.xls][Spt-BH.xls]_S_1042"/>
      <sheetName val="[Spt-BH.xls][Spt-BH.xls]_S_1038"/>
      <sheetName val="[Spt-BH.xls][Spt-BH.xls]B__2904"/>
      <sheetName val="[Spt-BH.xls][Spt-BH.xls]B__2905"/>
      <sheetName val="[Spt-BH.xls][Spt-BH.xls]B__2906"/>
      <sheetName val="[Spt-BH.xls][Spt-BH.xls]B__2907"/>
      <sheetName val="[Spt-BH.xls][Spt-BH.xls]_S_1039"/>
      <sheetName val="[Spt-BH.xls][Spt-BH.xls]B__2908"/>
      <sheetName val="[Spt-BH.xls][Spt-BH.xls]B__2909"/>
      <sheetName val="[Spt-BH.xls][Spt-BH.xls]_S_1040"/>
      <sheetName val="[Spt-BH.xls][Spt-BH.xls]B__2916"/>
      <sheetName val="[Spt-BH.xls][Spt-BH.xls]B__2917"/>
      <sheetName val="[Spt-BH.xls][Spt-BH.xls]_S_1046"/>
      <sheetName val="[Spt-BH.xls][Spt-BH.xls]B__2918"/>
      <sheetName val="[Spt-BH.xls][Spt-BH.xls]B__2919"/>
      <sheetName val="[Spt-BH.xls][Spt-BH.xls]_S_1044"/>
      <sheetName val="[Spt-BH.xls][Spt-BH.xls]B__2920"/>
      <sheetName val="[Spt-BH.xls][Spt-BH.xls]B__2921"/>
      <sheetName val="[Spt-BH.xls][Spt-BH.xls]_S_1045"/>
      <sheetName val="[Spt-BH.xls][Spt-BH.xls]B__2936"/>
      <sheetName val="[Spt-BH.xls][Spt-BH.xls]B__2937"/>
      <sheetName val="[Spt-BH.xls][Spt-BH.xls]B__2938"/>
      <sheetName val="[Spt-BH.xls][Spt-BH.xls]B__2939"/>
      <sheetName val="[Spt-BH.xls]B____x005f_x0004______234"/>
      <sheetName val="[Spt-BH.xls][Spt-BH.xls]B__2940"/>
      <sheetName val="[Spt-BH.xls][Spt-BH.xls]B__2922"/>
      <sheetName val="[Spt-BH.xls][Spt-BH.xls]B__2923"/>
      <sheetName val="[Spt-BH.xls][Spt-BH.xls]_S_1050"/>
      <sheetName val="[Spt-BH.xls][Spt-BH.xls]B__2924"/>
      <sheetName val="[Spt-BH.xls][Spt-BH.xls]B__2925"/>
      <sheetName val="[Spt-BH.xls][Spt-BH.xls]B__2941"/>
      <sheetName val="[Spt-BH.xls][Spt-BH.xls]B__2926"/>
      <sheetName val="[Spt-BH.xls][Spt-BH.xls]B__2927"/>
      <sheetName val="[Spt-BH.xls][Spt-BH.xls]B__2928"/>
      <sheetName val="[Spt-BH.xls][Spt-BH.xls]_S_1051"/>
      <sheetName val="[Spt-BH.xls][Spt-BH_xls]B__2784"/>
      <sheetName val="[Spt-BH.xls][Spt-BH_xls]B__2785"/>
      <sheetName val="[Spt-BH.xls][Spt-BH_xls]B__2786"/>
      <sheetName val="[Spt-BH.xls][Spt-BH_xls]B__2787"/>
      <sheetName val="[Spt-BH.xls][Spt-BH_xls]B__2788"/>
      <sheetName val="[Spt-BH.xls][Spt-BH_xls]B__2789"/>
      <sheetName val="[Spt-BH.xls][Spt-BH_xls]B__2790"/>
      <sheetName val="[Spt-BH.xls][Spt-BH_xls]_Sp_918"/>
      <sheetName val="[Spt-BH.xls][Spt-BH.xls]_S_1047"/>
      <sheetName val="[Spt-BH.xls][Spt-BH_xls]B__2791"/>
      <sheetName val="[Spt-BH.xls][Spt-BH_xls]B__2792"/>
      <sheetName val="[Spt-BH.xls][Spt-BH_xls]_Sp_919"/>
      <sheetName val="[Spt-BH.xls][Spt-BH_xls]B__2793"/>
      <sheetName val="[Spt-BH.xls][Spt-BH_xls]B__2794"/>
      <sheetName val="[Spt-BH.xls][Spt-BH_xls]_Sp_920"/>
      <sheetName val="[Spt-BH.xls]B____x005f_x0004______236"/>
      <sheetName val="[Spt-BH.xls]B___x005f_x0000__x000_232"/>
      <sheetName val="[Spt-BH.xls][Spt-BH.xls]B__2942"/>
      <sheetName val="[Spt-BH.xls][Spt-BH_xls]B__2810"/>
      <sheetName val="[Spt-BH.xls][Spt-BH_xls]B__2811"/>
      <sheetName val="[Spt-BH.xls][Spt-BH_xls]B__2812"/>
      <sheetName val="[Spt-BH.xls][Spt-BH_xls]B__2813"/>
      <sheetName val="[Spt-BH.xls][Spt-BH_xls]_Sp_926"/>
      <sheetName val="[Spt-BH.xls][Spt-BH_xls]B__2814"/>
      <sheetName val="[Spt-BH.xls][Spt-BH_xls]B__2815"/>
      <sheetName val="[Spt-BH.xls][Spt-BH_xls]B__2816"/>
      <sheetName val="[Spt-BH.xls][Spt-BH_xls]_Sp_927"/>
      <sheetName val="[Spt-BH.xls][Spt-BH_xls]B__2817"/>
      <sheetName val="[Spt-BH.xls][Spt-BH_xls]B__2818"/>
      <sheetName val="[Spt-BH.xls][Spt-BH_xls]B__2819"/>
      <sheetName val="[Spt-BH.xls][Spt-BH_xls]B__2820"/>
      <sheetName val="[Spt-BH.xls][Spt-BH_xls]_Sp_928"/>
      <sheetName val="[Spt-BH.xls][Spt-BH_xls]B__2821"/>
      <sheetName val="[Spt-BH.xls][Spt-BH_xls]B__2822"/>
      <sheetName val="[Spt-BH.xls][Spt-BH_xls]_Sp_929"/>
      <sheetName val="[Spt-BH.xls][Spt-BH_xls]B__2823"/>
      <sheetName val="[Spt-BH.xls][Spt-BH_xls]B__2824"/>
      <sheetName val="[Spt-BH.xls][Spt-BH_xls]_Sp_930"/>
      <sheetName val="[Spt-BH.xls][Spt-BH.xls]B__2929"/>
      <sheetName val="[Spt-BH.xls][Spt-BH.xls]B__2930"/>
      <sheetName val="[Spt-BH.xls][Spt-BH.xls]B__2931"/>
      <sheetName val="[Spt-BH.xls][Spt-BH.xls]B__2932"/>
      <sheetName val="[Spt-BH.xls][Spt-BH.xls]B__2933"/>
      <sheetName val="[Spt-BH.xls][Spt-BH.xls]_S_1048"/>
      <sheetName val="[Spt-BH.xls][Spt-BH.xls]B__2934"/>
      <sheetName val="[Spt-BH.xls][Spt-BH.xls]_S_1049"/>
      <sheetName val="[Spt-BH.xls]B____x005f_x0004______235"/>
      <sheetName val="[Spt-BH.xls]B___x005f_x0000__x000_231"/>
      <sheetName val="[Spt-BH.xls][Spt-BH.xls]B__2935"/>
      <sheetName val="[Spt-BH.xls][Spt-BH_xls]B__2795"/>
      <sheetName val="[Spt-BH.xls][Spt-BH_xls]B__2796"/>
      <sheetName val="[Spt-BH.xls][Spt-BH_xls]B__2797"/>
      <sheetName val="[Spt-BH.xls][Spt-BH_xls]B__2798"/>
      <sheetName val="[Spt-BH.xls][Spt-BH_xls]_Sp_921"/>
      <sheetName val="[Spt-BH.xls][Spt-BH_xls]B__2799"/>
      <sheetName val="[Spt-BH.xls][Spt-BH_xls]B__2800"/>
      <sheetName val="[Spt-BH.xls][Spt-BH_xls]B__2801"/>
      <sheetName val="[Spt-BH.xls][Spt-BH_xls]_Sp_922"/>
      <sheetName val="[Spt-BH.xls][Spt-BH_xls]B__2802"/>
      <sheetName val="[Spt-BH.xls][Spt-BH_xls]B__2803"/>
      <sheetName val="[Spt-BH.xls][Spt-BH_xls]B__2804"/>
      <sheetName val="[Spt-BH.xls][Spt-BH_xls]B__2805"/>
      <sheetName val="[Spt-BH.xls][Spt-BH_xls]_Sp_923"/>
      <sheetName val="[Spt-BH.xls][Spt-BH_xls]B__2806"/>
      <sheetName val="[Spt-BH.xls][Spt-BH_xls]B__2807"/>
      <sheetName val="[Spt-BH.xls][Spt-BH_xls]_Sp_924"/>
      <sheetName val="[Spt-BH.xls][Spt-BH_xls]B__2808"/>
      <sheetName val="[Spt-BH.xls][Spt-BH_xls]B__2809"/>
      <sheetName val="[Spt-BH.xls][Spt-BH_xls]_Sp_925"/>
      <sheetName val="[Spt-BH.xls][Spt-BH.xls]B__2956"/>
      <sheetName val="[Spt-BH.xls][Spt-BH.xls]B__2957"/>
      <sheetName val="[Spt-BH.xls][Spt-BH.xls]_S_1065"/>
      <sheetName val="[Spt-BH.xls][Spt-BH.xls]B__2958"/>
      <sheetName val="[Spt-BH.xls][Spt-BH.xls]B__2959"/>
      <sheetName val="[Spt-BH.xls][Spt-BH.xls]B__2960"/>
      <sheetName val="[Spt-BH.xls][Spt-BH.xls]B__2961"/>
      <sheetName val="[Spt-BH.xls][Spt-BH.xls]_S_1057"/>
      <sheetName val="[Spt-BH.xls][Spt-BH.xls]B__2988"/>
      <sheetName val="[Spt-BH.xls][Spt-BH.xls]B__2989"/>
      <sheetName val="[Spt-BH.xls][Spt-BH.xls]_S_1069"/>
      <sheetName val="[Spt-BH.xls][Spt-BH.xls]B__2990"/>
      <sheetName val="[Spt-BH.xls][Spt-BH.xls]B__2991"/>
      <sheetName val="[Spt-BH.xls]B____x005f_x0004______241"/>
      <sheetName val="[Spt-BH.xls][Spt-BH.xls]B__2981"/>
      <sheetName val="[Spt-BH.xls][Spt-BH.xls]B__2982"/>
      <sheetName val="[Spt-BH.xls][Spt-BH.xls]_S_1067"/>
      <sheetName val="[Spt-BH.xls][Spt-BH.xls]B__2983"/>
      <sheetName val="[Spt-BH.xls][Spt-BH.xls]B__2984"/>
      <sheetName val="[Spt-BH.xls][Spt-BH.xls]B__2985"/>
      <sheetName val="[Spt-BH.xls][Spt-BH.xls]B__2986"/>
      <sheetName val="[Spt-BH.xls]B___x005f_x0000__x000_237"/>
      <sheetName val="[Spt-BH.xls][Spt-BH.xls]B__2992"/>
      <sheetName val="[Spt-BH.xls][Spt-BH.xls]B__2993"/>
      <sheetName val="[Spt-BH.xls][Spt-BH.xls]B__2987"/>
      <sheetName val="[Spt-BH.xls][Spt-BH.xls]_S_1068"/>
      <sheetName val="[Spt-BH.xls][Spt-BH_xls]B__2870"/>
      <sheetName val="[Spt-BH.xls][Spt-BH_xls]B__2871"/>
      <sheetName val="[Spt-BH.xls][Spt-BH_xls]B__2872"/>
      <sheetName val="[Spt-BH.xls][Spt-BH_xls]B__2873"/>
      <sheetName val="[Spt-BH.xls][Spt-BH_xls]_Sp_946"/>
      <sheetName val="[Spt-BH.xls][Spt-BH_xls]B__2874"/>
      <sheetName val="[Spt-BH.xls][Spt-BH_xls]B__2875"/>
      <sheetName val="[Spt-BH.xls][Spt-BH_xls]B__2876"/>
      <sheetName val="[Spt-BH.xls][Spt-BH_xls]_Sp_947"/>
      <sheetName val="[Spt-BH.xls][Spt-BH_xls]B__2877"/>
      <sheetName val="[Spt-BH.xls][Spt-BH_xls]B__2878"/>
      <sheetName val="[Spt-BH.xls][Spt-BH_xls]B__2879"/>
      <sheetName val="[Spt-BH.xls][Spt-BH_xls]B__2880"/>
      <sheetName val="[Spt-BH.xls][Spt-BH_xls]_Sp_948"/>
      <sheetName val="[Spt-BH.xls][Spt-BH.xls]_S_1066"/>
      <sheetName val="[Spt-BH.xls][Spt-BH_xls]B__2881"/>
      <sheetName val="[Spt-BH.xls][Spt-BH_xls]B__2882"/>
      <sheetName val="[Spt-BH.xls][Spt-BH_xls]_Sp_949"/>
      <sheetName val="[Spt-BH.xls][Spt-BH_xls]B__2883"/>
      <sheetName val="[Spt-BH.xls][Spt-BH_xls]B__2884"/>
      <sheetName val="[Spt-BH.xls][Spt-BH_xls]_Sp_950"/>
      <sheetName val="[Spt-BH.xls][Spt-BH.xls]_S_1058"/>
      <sheetName val="[Spt-BH.xls][Spt-BH.xls]B__2962"/>
      <sheetName val="[Spt-BH.xls][Spt-BH.xls]B__2963"/>
      <sheetName val="[Spt-BH.xls][Spt-BH.xls]B__2964"/>
      <sheetName val="[Spt-BH.xls][Spt-BH.xls]B__2965"/>
      <sheetName val="[Spt-BH.xls][Spt-BH.xls]B__2966"/>
      <sheetName val="[Spt-BH.xls][Spt-BH.xls]B__2967"/>
      <sheetName val="[Spt-BH.xls][Spt-BH.xls]_S_1059"/>
      <sheetName val="[Spt-BH.xls]B____x005f_x0004______238"/>
      <sheetName val="[Spt-BH.xls]B___x005f_x0000__x000_234"/>
      <sheetName val="[Spt-BH.xls]B____x005f_x0004______239"/>
      <sheetName val="[Spt-BH.xls]B___x005f_x0000__x000_235"/>
      <sheetName val="[Spt-BH.xls][Spt-BH_xls]B__2840"/>
      <sheetName val="[Spt-BH.xls][Spt-BH_xls]B__2841"/>
      <sheetName val="[Spt-BH.xls][Spt-BH_xls]B__2842"/>
      <sheetName val="[Spt-BH.xls][Spt-BH_xls]B__2843"/>
      <sheetName val="[Spt-BH.xls][Spt-BH_xls]_Sp_936"/>
      <sheetName val="[Spt-BH.xls][Spt-BH_xls]B__2844"/>
      <sheetName val="[Spt-BH.xls][Spt-BH_xls]B__2845"/>
      <sheetName val="[Spt-BH.xls][Spt-BH_xls]B__2846"/>
      <sheetName val="[Spt-BH.xls][Spt-BH_xls]_Sp_937"/>
      <sheetName val="[Spt-BH.xls][Spt-BH_xls]B__2847"/>
      <sheetName val="[Spt-BH.xls][Spt-BH_xls]B__2848"/>
      <sheetName val="[Spt-BH.xls][Spt-BH_xls]B__2849"/>
      <sheetName val="[Spt-BH.xls][Spt-BH_xls]B__2850"/>
      <sheetName val="[Spt-BH.xls][Spt-BH_xls]_Sp_938"/>
      <sheetName val="[Spt-BH.xls][Spt-BH_xls]B__2851"/>
      <sheetName val="[Spt-BH.xls][Spt-BH_xls]B__2852"/>
      <sheetName val="[Spt-BH.xls][Spt-BH_xls]_Sp_939"/>
      <sheetName val="[Spt-BH.xls][Spt-BH_xls]B__2853"/>
      <sheetName val="[Spt-BH.xls][Spt-BH_xls]B__2854"/>
      <sheetName val="[Spt-BH.xls][Spt-BH_xls]_Sp_940"/>
      <sheetName val="[Spt-BH.xls][Spt-BH.xls]B__2968"/>
      <sheetName val="[Spt-BH.xls][Spt-BH.xls]B__2969"/>
      <sheetName val="[Spt-BH.xls][Spt-BH.xls]B__2970"/>
      <sheetName val="[Spt-BH.xls][Spt-BH.xls]B__2971"/>
      <sheetName val="[Spt-BH.xls][Spt-BH.xls]_S_1061"/>
      <sheetName val="[Spt-BH.xls][Spt-BH.xls]B__2972"/>
      <sheetName val="[Spt-BH.xls][Spt-BH.xls]B__2973"/>
      <sheetName val="[Spt-BH.xls][Spt-BH.xls]_S_1062"/>
      <sheetName val="[Spt-BH.xls][Spt-BH.xls]_S_1060"/>
      <sheetName val="[Spt-BH.xls][Spt-BH.xls]_S_1063"/>
      <sheetName val="[Spt-BH.xls]B____x005f_x0004______240"/>
      <sheetName val="[Spt-BH.xls][Spt-BH.xls]B__2974"/>
      <sheetName val="[Spt-BH.xls][Spt-BH.xls]B__2975"/>
      <sheetName val="[Spt-BH.xls][Spt-BH.xls]B__2976"/>
      <sheetName val="[Spt-BH.xls][Spt-BH.xls]B__2977"/>
      <sheetName val="[Spt-BH.xls][Spt-BH.xls]B__2978"/>
      <sheetName val="[Spt-BH.xls][Spt-BH.xls]B__2979"/>
      <sheetName val="[Spt-BH.xls]B___x005f_x0000__x000_236"/>
      <sheetName val="[Spt-BH.xls][Spt-BH.xls]B__2980"/>
      <sheetName val="[Spt-BH.xls][Spt-BH_xls]B__2855"/>
      <sheetName val="[Spt-BH.xls][Spt-BH_xls]B__2856"/>
      <sheetName val="[Spt-BH.xls][Spt-BH_xls]B__2857"/>
      <sheetName val="[Spt-BH.xls][Spt-BH_xls]B__2858"/>
      <sheetName val="[Spt-BH.xls][Spt-BH_xls]_Sp_941"/>
      <sheetName val="[Spt-BH.xls][Spt-BH_xls]B__2859"/>
      <sheetName val="[Spt-BH.xls][Spt-BH_xls]B__2860"/>
      <sheetName val="[Spt-BH.xls][Spt-BH_xls]B__2861"/>
      <sheetName val="[Spt-BH.xls][Spt-BH_xls]_Sp_942"/>
      <sheetName val="[Spt-BH.xls][Spt-BH_xls]B__2862"/>
      <sheetName val="[Spt-BH.xls][Spt-BH_xls]B__2863"/>
      <sheetName val="[Spt-BH.xls][Spt-BH_xls]B__2864"/>
      <sheetName val="[Spt-BH.xls][Spt-BH_xls]B__2865"/>
      <sheetName val="[Spt-BH.xls][Spt-BH_xls]_Sp_943"/>
      <sheetName val="[Spt-BH.xls][Spt-BH.xls]_S_1064"/>
      <sheetName val="[Spt-BH.xls][Spt-BH_xls]B__2866"/>
      <sheetName val="[Spt-BH.xls][Spt-BH_xls]B__2867"/>
      <sheetName val="[Spt-BH.xls][Spt-BH_xls]_Sp_944"/>
      <sheetName val="[Spt-BH.xls][Spt-BH_xls]B__2868"/>
      <sheetName val="[Spt-BH.xls][Spt-BH_xls]B__2869"/>
      <sheetName val="[Spt-BH.xls][Spt-BH_xls]_Sp_945"/>
      <sheetName val="[Spt-BH.xls][Spt-BH.xls]_S_1071"/>
      <sheetName val="[Spt-BH.xls]B____x005f_x0004______243"/>
      <sheetName val="[Spt-BH.xls]B___x005f_x0000__x000_239"/>
      <sheetName val="[Spt-BH.xls][Spt-BH.xls]_S_1070"/>
      <sheetName val="[Spt-BH.xls][Spt-BH.xls]B__2994"/>
      <sheetName val="[Spt-BH.xls][Spt-BH.xls]B__2995"/>
      <sheetName val="[Spt-BH.xls][Spt-BH.xls]B__2996"/>
      <sheetName val="[Spt-BH.xls][Spt-BH.xls]B__2997"/>
      <sheetName val="[Spt-BH.xls]B____x005f_x0004______242"/>
      <sheetName val="[Spt-BH.xls]B___x005f_x0000__x000_238"/>
      <sheetName val="[Spt-BH.xls][Spt-BH.xls]B__2998"/>
      <sheetName val="[Spt-BH.xls][Spt-BH.xls]B__3018"/>
      <sheetName val="[Spt-BH.xls][Spt-BH.xls]B__3025"/>
      <sheetName val="[Spt-BH.xls][Spt-BH.xls]B__3026"/>
      <sheetName val="[Spt-BH.xls][Spt-BH.xls]_S_1083"/>
      <sheetName val="[Spt-BH.xls][Spt-BH.xls]B__3027"/>
      <sheetName val="[Spt-BH.xls][Spt-BH.xls]B__3028"/>
      <sheetName val="[Spt-BH.xls]B____x005f_x0004______245"/>
      <sheetName val="[Spt-BH.xls][Spt-BH.xls]B__3019"/>
      <sheetName val="[Spt-BH.xls][Spt-BH.xls]_S_1080"/>
      <sheetName val="[Spt-BH.xls][Spt-BH.xls]B__3020"/>
      <sheetName val="[Spt-BH.xls][Spt-BH.xls]B__3021"/>
      <sheetName val="[Spt-BH.xls][Spt-BH.xls]B__3022"/>
      <sheetName val="[Spt-BH.xls]B___x005f_x0000__x000_241"/>
      <sheetName val="[Spt-BH.xls][Spt-BH.xls]B__3029"/>
      <sheetName val="[Spt-BH.xls][Spt-BH.xls]B__3030"/>
      <sheetName val="[Spt-BH.xls][Spt-BH.xls]B__3023"/>
      <sheetName val="[Spt-BH.xls][Spt-BH.xls]B__3024"/>
      <sheetName val="[Spt-BH.xls][Spt-BH.xls]_S_1081"/>
      <sheetName val="[Spt-BH.xls][Spt-BH_xls]B__2900"/>
      <sheetName val="[Spt-BH.xls][Spt-BH_xls]B__2901"/>
      <sheetName val="[Spt-BH.xls][Spt-BH_xls]B__2902"/>
      <sheetName val="[Spt-BH.xls][Spt-BH_xls]B__2903"/>
      <sheetName val="[Spt-BH.xls][Spt-BH_xls]_Sp_956"/>
      <sheetName val="[Spt-BH.xls][Spt-BH_xls]B__2904"/>
      <sheetName val="[Spt-BH.xls][Spt-BH_xls]B__2905"/>
      <sheetName val="[Spt-BH.xls][Spt-BH_xls]B__2906"/>
      <sheetName val="[Spt-BH.xls][Spt-BH_xls]_Sp_957"/>
      <sheetName val="[Spt-BH.xls][Spt-BH_xls]B__2907"/>
      <sheetName val="[Spt-BH.xls][Spt-BH_xls]B__2908"/>
      <sheetName val="[Spt-BH.xls][Spt-BH_xls]B__2909"/>
      <sheetName val="[Spt-BH.xls][Spt-BH_xls]B__2910"/>
      <sheetName val="[Spt-BH.xls][Spt-BH_xls]_Sp_958"/>
      <sheetName val="[Spt-BH.xls][Spt-BH.xls]_S_1079"/>
      <sheetName val="[Spt-BH.xls][Spt-BH_xls]B__2911"/>
      <sheetName val="[Spt-BH.xls][Spt-BH_xls]B__2912"/>
      <sheetName val="[Spt-BH.xls][Spt-BH_xls]_Sp_959"/>
      <sheetName val="[Spt-BH.xls][Spt-BH_xls]B__2913"/>
      <sheetName val="[Spt-BH.xls][Spt-BH_xls]B__2914"/>
      <sheetName val="[Spt-BH.xls][Spt-BH_xls]_Sp_960"/>
      <sheetName val="[Spt-BH.xls][Spt-BH.xls]_S_1082"/>
      <sheetName val="[Spt-BH.xls][Spt-BH.xls]_S_1084"/>
      <sheetName val="[Spt-BH.xls][Spt-BH.xls]_S_1085"/>
      <sheetName val="[Spt-BH.xls][Spt-BH.xls]B__3031"/>
      <sheetName val="[Spt-BH.xls][Spt-BH.xls]B__3032"/>
      <sheetName val="[Spt-BH.xls][Spt-BH.xls]_S_1087"/>
      <sheetName val="[Spt-BH.xls][Spt-BH.xls]B__3033"/>
      <sheetName val="[Spt-BH.xls][Spt-BH.xls]B__3034"/>
      <sheetName val="[Spt-BH.xls][Spt-BH.xls]B__3035"/>
      <sheetName val="[Spt-BH.xls][Spt-BH.xls]B__3036"/>
      <sheetName val="[Spt-BH.xls][Spt-BH.xls]_S_1086"/>
      <sheetName val="[Spt-BH.xls][Spt-BH.xls]B__3038"/>
      <sheetName val="[Spt-BH.xls][Spt-BH.xls]B__3039"/>
      <sheetName val="[Spt-BH.xls][Spt-BH.xls]_S_1089"/>
      <sheetName val="[Spt-BH.xls][Spt-BH.xls]B__3040"/>
      <sheetName val="[Spt-BH.xls][Spt-BH.xls]B__3041"/>
      <sheetName val="[Spt-BH.xls]B____x005f_x0004______246"/>
      <sheetName val="[Spt-BH.xls]B___x005f_x0000__x000_242"/>
      <sheetName val="[Spt-BH.xls][Spt-BH.xls]B__3042"/>
      <sheetName val="[Spt-BH.xls][Spt-BH.xls]B__3043"/>
      <sheetName val="[Spt-BH.xls][Spt-BH.xls]B__3037"/>
      <sheetName val="[Spt-BH.xls][Spt-BH.xls]_S_1088"/>
      <sheetName val="[Spt-BH.xls][Spt-BH_xls]B__2915"/>
      <sheetName val="[Spt-BH.xls][Spt-BH_xls]B__2916"/>
      <sheetName val="[Spt-BH.xls][Spt-BH_xls]B__2917"/>
      <sheetName val="[Spt-BH.xls][Spt-BH_xls]B__2918"/>
      <sheetName val="[Spt-BH.xls][Spt-BH_xls]_Sp_961"/>
      <sheetName val="[Spt-BH.xls][Spt-BH_xls]B__2919"/>
      <sheetName val="[Spt-BH.xls][Spt-BH_xls]B__2920"/>
      <sheetName val="[Spt-BH.xls][Spt-BH_xls]B__2921"/>
      <sheetName val="[Spt-BH.xls][Spt-BH_xls]_Sp_962"/>
      <sheetName val="[Spt-BH.xls][Spt-BH_xls]B__2922"/>
      <sheetName val="[Spt-BH.xls][Spt-BH_xls]B__2923"/>
      <sheetName val="[Spt-BH.xls][Spt-BH_xls]B__2924"/>
      <sheetName val="[Spt-BH.xls][Spt-BH_xls]B__2925"/>
      <sheetName val="[Spt-BH.xls][Spt-BH_xls]_Sp_963"/>
      <sheetName val="[Spt-BH.xls][Spt-BH_xls]B__2926"/>
      <sheetName val="[Spt-BH.xls][Spt-BH_xls]B__2927"/>
      <sheetName val="[Spt-BH.xls][Spt-BH_xls]_Sp_964"/>
      <sheetName val="[Spt-BH.xls][Spt-BH_xls]B__2928"/>
      <sheetName val="[Spt-BH.xls][Spt-BH_xls]B__2929"/>
      <sheetName val="[Spt-BH.xls][Spt-BH_xls]_Sp_965"/>
      <sheetName val="[Spt-BH.xls][Spt-BH.xls]B__3050"/>
      <sheetName val="[Spt-BH.xls][Spt-BH.xls]B__3051"/>
      <sheetName val="[Spt-BH.xls][Spt-BH.xls]_S_1093"/>
      <sheetName val="[Spt-BH.xls][Spt-BH.xls]B__3052"/>
      <sheetName val="[Spt-BH.xls][Spt-BH.xls]B__3053"/>
      <sheetName val="[Spt-BH.xls][Spt-BH.xls]_S_1090"/>
      <sheetName val="[Spt-BH.xls][Spt-BH.xls]B__3044"/>
      <sheetName val="[Spt-BH.xls][Spt-BH.xls]B__3045"/>
      <sheetName val="[Spt-BH.xls][Spt-BH.xls]_S_1092"/>
      <sheetName val="[Spt-BH.xls][Spt-BH.xls]B__3046"/>
      <sheetName val="[Spt-BH.xls][Spt-BH.xls]B__3047"/>
      <sheetName val="[Spt-BH.xls][Spt-BH.xls]B__3048"/>
      <sheetName val="[Spt-BH.xls][Spt-BH.xls]B__3049"/>
      <sheetName val="[Spt-BH.xls][Spt-BH.xls]_S_1091"/>
      <sheetName val="[Spt-BH.xls][Spt-BH.xls]B__3054"/>
      <sheetName val="[Spt-BH.xls][Spt-BH.xls]B__3055"/>
      <sheetName val="[Spt-BH.xls][Spt-BH.xls]_S_1098"/>
      <sheetName val="[Spt-BH.xls][Spt-BH.xls]B__3056"/>
      <sheetName val="[Spt-BH.xls][Spt-BH.xls]B__3057"/>
      <sheetName val="[Spt-BH.xls][Spt-BH.xls]B__3067"/>
      <sheetName val="[Spt-BH.xls][Spt-BH.xls]B__3068"/>
      <sheetName val="[Spt-BH.xls][Spt-BH.xls]_S_1100"/>
      <sheetName val="[Spt-BH.xls][Spt-BH.xls]B__3069"/>
      <sheetName val="[Spt-BH.xls][Spt-BH.xls]B__3070"/>
      <sheetName val="[Spt-BH.xls]B____x005f_x0004______247"/>
      <sheetName val="[Spt-BH.xls]B___x005f_x0000__x000_243"/>
      <sheetName val="[Spt-BH.xls][Spt-BH.xls]B__3071"/>
      <sheetName val="[Spt-BH.xls][Spt-BH.xls]B__3072"/>
      <sheetName val="[Spt-BH.xls][Spt-BH.xls]B__3058"/>
      <sheetName val="[Spt-BH.xls][Spt-BH.xls]B__3059"/>
      <sheetName val="[Spt-BH.xls][Spt-BH.xls]B__3060"/>
      <sheetName val="[Spt-BH.xls][Spt-BH.xls]_S_1094"/>
      <sheetName val="[Spt-BH.xls][Spt-BH.xls]_S_1099"/>
      <sheetName val="[Spt-BH.xls][Spt-BH_xls]B__2930"/>
      <sheetName val="[Spt-BH.xls][Spt-BH_xls]B__2931"/>
      <sheetName val="[Spt-BH.xls][Spt-BH_xls]B__2932"/>
      <sheetName val="[Spt-BH.xls][Spt-BH_xls]B__2933"/>
      <sheetName val="[Spt-BH.xls][Spt-BH_xls]_Sp_966"/>
      <sheetName val="[Spt-BH.xls][Spt-BH_xls]B__2934"/>
      <sheetName val="[Spt-BH.xls][Spt-BH_xls]B__2935"/>
      <sheetName val="[Spt-BH.xls][Spt-BH_xls]B__2936"/>
      <sheetName val="[Spt-BH.xls][Spt-BH_xls]_Sp_967"/>
      <sheetName val="[Spt-BH.xls][Spt-BH_xls]B__2937"/>
      <sheetName val="[Spt-BH.xls][Spt-BH_xls]B__2938"/>
      <sheetName val="[Spt-BH.xls][Spt-BH_xls]B__2939"/>
      <sheetName val="[Spt-BH.xls][Spt-BH_xls]B__2940"/>
      <sheetName val="[Spt-BH.xls][Spt-BH_xls]_Sp_968"/>
      <sheetName val="[Spt-BH.xls][Spt-BH_xls]B__2941"/>
      <sheetName val="[Spt-BH.xls][Spt-BH_xls]B__2942"/>
      <sheetName val="[Spt-BH.xls][Spt-BH_xls]_Sp_969"/>
      <sheetName val="[Spt-BH.xls][Spt-BH_xls]B__2943"/>
      <sheetName val="[Spt-BH.xls][Spt-BH_xls]B__2944"/>
      <sheetName val="[Spt-BH.xls][Spt-BH_xls]_Sp_970"/>
      <sheetName val="[Spt-BH.xls][Spt-BH.xls]_S_1095"/>
      <sheetName val="[Spt-BH.xls][Spt-BH.xls]B__3061"/>
      <sheetName val="[Spt-BH.xls][Spt-BH.xls]B__3062"/>
      <sheetName val="[Spt-BH.xls][Spt-BH.xls]_S_1097"/>
      <sheetName val="[Spt-BH.xls][Spt-BH.xls]B__3063"/>
      <sheetName val="[Spt-BH.xls][Spt-BH.xls]B__3064"/>
      <sheetName val="[Spt-BH.xls][Spt-BH.xls]B__3065"/>
      <sheetName val="[Spt-BH.xls][Spt-BH.xls]B__3066"/>
      <sheetName val="[Spt-BH.xls][Spt-BH.xls]_S_1096"/>
      <sheetName val="[Spt-BH.xls][Spt-BH.xls]_S_1137"/>
      <sheetName val="[Spt-BH.xls][Spt-BH.xls]B__3204"/>
      <sheetName val="[Spt-BH.xls][Spt-BH.xls]B__3205"/>
      <sheetName val="[Spt-BH.xls][Spt-BH.xls]_S_1139"/>
      <sheetName val="[Spt-BH.xls][Spt-BH.xls]B__3206"/>
      <sheetName val="[Spt-BH.xls][Spt-BH.xls]B__3207"/>
      <sheetName val="[Spt-BH.xls][Spt-BH.xls]B__3208"/>
      <sheetName val="[Spt-BH.xls][Spt-BH.xls]B__3209"/>
      <sheetName val="[Spt-BH.xls][Spt-BH.xls]B__3097"/>
      <sheetName val="[Spt-BH.xls][Spt-BH.xls]B__3098"/>
      <sheetName val="[Spt-BH.xls][Spt-BH.xls]_S_1102"/>
      <sheetName val="[Spt-BH.xls]B____x005f_x0004______248"/>
      <sheetName val="[Spt-BH.xls]B___x005f_x0000__x000_244"/>
      <sheetName val="[Spt-BH.xls][Spt-BH.xls]B__3073"/>
      <sheetName val="[Spt-BH.xls][Spt-BH.xls]B__3074"/>
      <sheetName val="[Spt-BH.xls][Spt-BH.xls]B__3075"/>
      <sheetName val="[Spt-BH.xls]B____x005f_x0004______249"/>
      <sheetName val="[Spt-BH.xls]B___x005f_x0000__x000_245"/>
      <sheetName val="[Spt-BH.xls][Spt-BH.xls]B__3076"/>
      <sheetName val="[Spt-BH.xls][Spt-BH.xls]B__3077"/>
      <sheetName val="[Spt-BH.xls][Spt-BH.xls]B__3091"/>
      <sheetName val="[Spt-BH.xls][Spt-BH.xls]B__3092"/>
      <sheetName val="[Spt-BH.xls][Spt-BH.xls]_S_1101"/>
      <sheetName val="[Spt-BH.xls][Spt-BH.xls]B__3093"/>
      <sheetName val="[Spt-BH.xls][Spt-BH.xls]B__3094"/>
      <sheetName val="[Spt-BH.xls]B____x005f_x0004______250"/>
      <sheetName val="[Spt-BH.xls][Spt-BH.xls]B__3078"/>
      <sheetName val="[Spt-BH.xls][Spt-BH.xls]B__3079"/>
      <sheetName val="[Spt-BH.xls][Spt-BH.xls]B__3080"/>
      <sheetName val="[Spt-BH.xls][Spt-BH.xls]B__3081"/>
      <sheetName val="[Spt-BH.xls][Spt-BH.xls]B__3082"/>
      <sheetName val="[Spt-BH.xls]B___x005f_x0000__x000_246"/>
      <sheetName val="[Spt-BH.xls][Spt-BH.xls]B__3095"/>
      <sheetName val="[Spt-BH.xls][Spt-BH.xls]B__3096"/>
      <sheetName val="[Spt-BH.xls][Spt-BH.xls]B__3083"/>
      <sheetName val="[Spt-BH.xls][Spt-BH.xls]B__3084"/>
      <sheetName val="[Spt-BH.xls][Spt-BH.xls]B__3085"/>
      <sheetName val="[Spt-BH.xls][Spt-BH.xls]B__3086"/>
      <sheetName val="[Spt-BH.xls][Spt-BH.xls]B__3087"/>
      <sheetName val="[Spt-BH.xls][Spt-BH.xls]B__3088"/>
      <sheetName val="[Spt-BH.xls][Spt-BH.xls]B__3089"/>
      <sheetName val="[Spt-BH.xls][Spt-BH.xls]B__3090"/>
      <sheetName val="[Spt-BH.xls][Spt-BH.xls]_S_1103"/>
      <sheetName val="[Spt-BH.xls][Spt-BH.xls]B__3113"/>
      <sheetName val="[Spt-BH.xls][Spt-BH.xls]B__3114"/>
      <sheetName val="[Spt-BH.xls][Spt-BH.xls]_S_1109"/>
      <sheetName val="[Spt-BH.xls][Spt-BH.xls]B__3115"/>
      <sheetName val="[Spt-BH.xls][Spt-BH.xls]B__3116"/>
      <sheetName val="[Spt-BH.xls]B____x005f_x0004______251"/>
      <sheetName val="[Spt-BH.xls][Spt-BH.xls]B__3099"/>
      <sheetName val="[Spt-BH.xls][Spt-BH.xls]B__3100"/>
      <sheetName val="[Spt-BH.xls][Spt-BH.xls]_S_1107"/>
      <sheetName val="[Spt-BH.xls][Spt-BH.xls]B__3101"/>
      <sheetName val="[Spt-BH.xls][Spt-BH.xls]B__3102"/>
      <sheetName val="[Spt-BH.xls][Spt-BH.xls]B__3103"/>
      <sheetName val="[Spt-BH.xls]B___x005f_x0000__x000_247"/>
      <sheetName val="[Spt-BH.xls][Spt-BH.xls]B__3117"/>
      <sheetName val="[Spt-BH.xls][Spt-BH.xls]B__3118"/>
      <sheetName val="[Spt-BH.xls][Spt-BH.xls]B__3104"/>
      <sheetName val="[Spt-BH.xls][Spt-BH.xls]B__3105"/>
      <sheetName val="[Spt-BH.xls][Spt-BH.xls]_S_1108"/>
      <sheetName val="[Spt-BH.xls][Spt-BH_xls]B__2945"/>
      <sheetName val="[Spt-BH.xls][Spt-BH_xls]B__2946"/>
      <sheetName val="[Spt-BH.xls][Spt-BH_xls]B__2947"/>
      <sheetName val="[Spt-BH.xls][Spt-BH_xls]B__2948"/>
      <sheetName val="[Spt-BH.xls][Spt-BH_xls]_Sp_971"/>
      <sheetName val="[Spt-BH.xls][Spt-BH_xls]B__2949"/>
      <sheetName val="[Spt-BH.xls][Spt-BH_xls]B__2950"/>
      <sheetName val="[Spt-BH.xls][Spt-BH_xls]B__2951"/>
      <sheetName val="[Spt-BH.xls][Spt-BH_xls]_Sp_972"/>
      <sheetName val="[Spt-BH.xls][Spt-BH_xls]B__2952"/>
      <sheetName val="[Spt-BH.xls][Spt-BH_xls]B__2953"/>
      <sheetName val="[Spt-BH.xls][Spt-BH_xls]B__2954"/>
      <sheetName val="[Spt-BH.xls][Spt-BH_xls]B__2955"/>
      <sheetName val="[Spt-BH.xls][Spt-BH_xls]_Sp_973"/>
      <sheetName val="[Spt-BH.xls][Spt-BH.xls]_S_1104"/>
      <sheetName val="[Spt-BH.xls][Spt-BH_xls]B__2956"/>
      <sheetName val="[Spt-BH.xls][Spt-BH_xls]B__2957"/>
      <sheetName val="[Spt-BH.xls][Spt-BH_xls]_Sp_974"/>
      <sheetName val="[Spt-BH.xls][Spt-BH_xls]B__2958"/>
      <sheetName val="[Spt-BH.xls][Spt-BH_xls]B__2959"/>
      <sheetName val="[Spt-BH.xls][Spt-BH_xls]_Sp_975"/>
      <sheetName val="[Spt-BH.xls][Spt-BH.xls]B__3120"/>
      <sheetName val="[Spt-BH.xls][Spt-BH.xls]B__3121"/>
      <sheetName val="[Spt-BH.xls][Spt-BH.xls]_S_1116"/>
      <sheetName val="[Spt-BH.xls][Spt-BH.xls]B__3122"/>
      <sheetName val="[Spt-BH.xls][Spt-BH.xls]B__3123"/>
      <sheetName val="[Spt-BH.xls]B____x005f_x0004______253"/>
      <sheetName val="[Spt-BH.xls]B___x005f_x0000__x000_249"/>
      <sheetName val="[Spt-BH.xls][Spt-BH.xls]B__3124"/>
      <sheetName val="[Spt-BH.xls][Spt-BH.xls]B__3125"/>
      <sheetName val="[Spt-BH.xls][Spt-BH.xls]B__3119"/>
      <sheetName val="[Spt-BH.xls][Spt-BH.xls]_S_1110"/>
      <sheetName val="[Spt-BH.xls][Spt-BH_xls]B__2975"/>
      <sheetName val="[Spt-BH.xls][Spt-BH_xls]B__2976"/>
      <sheetName val="[Spt-BH.xls][Spt-BH_xls]B__2977"/>
      <sheetName val="[Spt-BH.xls][Spt-BH_xls]B__2978"/>
      <sheetName val="[Spt-BH.xls][Spt-BH_xls]_Sp_981"/>
      <sheetName val="[Spt-BH.xls][Spt-BH_xls]B__2979"/>
      <sheetName val="[Spt-BH.xls][Spt-BH_xls]B__2980"/>
      <sheetName val="[Spt-BH.xls][Spt-BH_xls]B__2981"/>
      <sheetName val="[Spt-BH.xls][Spt-BH_xls]_Sp_982"/>
      <sheetName val="[Spt-BH.xls][Spt-BH_xls]B__2982"/>
      <sheetName val="[Spt-BH.xls][Spt-BH_xls]B__2983"/>
      <sheetName val="[Spt-BH.xls][Spt-BH_xls]B__2984"/>
      <sheetName val="[Spt-BH.xls][Spt-BH_xls]B__2985"/>
      <sheetName val="[Spt-BH.xls][Spt-BH_xls]_Sp_983"/>
      <sheetName val="[Spt-BH.xls][Spt-BH_xls]B__2986"/>
      <sheetName val="[Spt-BH.xls][Spt-BH_xls]B__2987"/>
      <sheetName val="[Spt-BH.xls][Spt-BH_xls]_Sp_984"/>
      <sheetName val="[Spt-BH.xls][Spt-BH_xls]B__2988"/>
      <sheetName val="[Spt-BH.xls][Spt-BH_xls]B__2989"/>
      <sheetName val="[Spt-BH.xls][Spt-BH_xls]_Sp_985"/>
      <sheetName val="[Spt-BH.xls][Spt-BH.xls]B__3106"/>
      <sheetName val="[Spt-BH.xls][Spt-BH.xls]B__3107"/>
      <sheetName val="[Spt-BH.xls][Spt-BH.xls]B__3108"/>
      <sheetName val="[Spt-BH.xls][Spt-BH.xls]B__3109"/>
      <sheetName val="[Spt-BH.xls][Spt-BH.xls]_S_1105"/>
      <sheetName val="[Spt-BH.xls][Spt-BH.xls]B__3110"/>
      <sheetName val="[Spt-BH.xls][Spt-BH.xls]B__3111"/>
      <sheetName val="[Spt-BH.xls][Spt-BH.xls]_S_1106"/>
      <sheetName val="[Spt-BH.xls]B____x005f_x0004______252"/>
      <sheetName val="[Spt-BH.xls]B___x005f_x0000__x000_248"/>
      <sheetName val="[Spt-BH.xls][Spt-BH.xls]B__3112"/>
      <sheetName val="[Spt-BH.xls][Spt-BH_xls]B__2960"/>
      <sheetName val="[Spt-BH.xls][Spt-BH_xls]B__2961"/>
      <sheetName val="[Spt-BH.xls][Spt-BH_xls]B__2962"/>
      <sheetName val="[Spt-BH.xls][Spt-BH_xls]B__2963"/>
      <sheetName val="[Spt-BH.xls][Spt-BH_xls]_Sp_976"/>
      <sheetName val="[Spt-BH.xls][Spt-BH_xls]B__2964"/>
      <sheetName val="[Spt-BH.xls][Spt-BH_xls]B__2965"/>
      <sheetName val="[Spt-BH.xls][Spt-BH_xls]B__2966"/>
      <sheetName val="[Spt-BH.xls][Spt-BH_xls]_Sp_977"/>
      <sheetName val="[Spt-BH.xls][Spt-BH_xls]B__2967"/>
      <sheetName val="[Spt-BH.xls][Spt-BH_xls]B__2968"/>
      <sheetName val="[Spt-BH.xls][Spt-BH_xls]B__2969"/>
      <sheetName val="[Spt-BH.xls][Spt-BH_xls]B__2970"/>
      <sheetName val="[Spt-BH.xls][Spt-BH_xls]_Sp_978"/>
      <sheetName val="[Spt-BH.xls][Spt-BH_xls]B__2971"/>
      <sheetName val="[Spt-BH.xls][Spt-BH_xls]B__2972"/>
      <sheetName val="[Spt-BH.xls][Spt-BH_xls]_Sp_979"/>
      <sheetName val="[Spt-BH.xls][Spt-BH_xls]B__2973"/>
      <sheetName val="[Spt-BH.xls][Spt-BH_xls]B__2974"/>
      <sheetName val="[Spt-BH.xls][Spt-BH_xls]_Sp_980"/>
      <sheetName val="[Spt-BH.xls][Spt-BH.xls]B__3139"/>
      <sheetName val="[Spt-BH.xls][Spt-BH.xls]B__3140"/>
      <sheetName val="[Spt-BH.xls][Spt-BH.xls]_S_1118"/>
      <sheetName val="[Spt-BH.xls][Spt-BH.xls]B__3141"/>
      <sheetName val="[Spt-BH.xls][Spt-BH.xls]B__3142"/>
      <sheetName val="[Spt-BH.xls]B____x005f_x0004______254"/>
      <sheetName val="[Spt-BH.xls]B___x005f_x0000__x000_250"/>
      <sheetName val="[Spt-BH.xls][Spt-BH.xls]B__3143"/>
      <sheetName val="[Spt-BH.xls][Spt-BH.xls]B__3144"/>
      <sheetName val="[Spt-BH.xls][Spt-BH.xls]B__3126"/>
      <sheetName val="[Spt-BH.xls][Spt-BH.xls]_S_1117"/>
      <sheetName val="[Spt-BH.xls][Spt-BH_xls]B__2990"/>
      <sheetName val="[Spt-BH.xls][Spt-BH_xls]B__2991"/>
      <sheetName val="[Spt-BH.xls][Spt-BH_xls]B__2992"/>
      <sheetName val="[Spt-BH.xls][Spt-BH_xls]B__2993"/>
      <sheetName val="[Spt-BH.xls][Spt-BH_xls]_Sp_986"/>
      <sheetName val="[Spt-BH.xls][Spt-BH_xls]B__2994"/>
      <sheetName val="[Spt-BH.xls][Spt-BH_xls]B__2995"/>
      <sheetName val="[Spt-BH.xls][Spt-BH_xls]B__2996"/>
      <sheetName val="[Spt-BH.xls][Spt-BH_xls]_Sp_987"/>
      <sheetName val="[Spt-BH.xls][Spt-BH_xls]B__2997"/>
      <sheetName val="[Spt-BH.xls][Spt-BH_xls]B__2998"/>
      <sheetName val="[Spt-BH.xls][Spt-BH_xls]B__2999"/>
      <sheetName val="[Spt-BH.xls][Spt-BH_xls]B__3000"/>
      <sheetName val="[Spt-BH.xls][Spt-BH_xls]_Sp_988"/>
      <sheetName val="[Spt-BH.xls][Spt-BH_xls]B__3001"/>
      <sheetName val="[Spt-BH.xls][Spt-BH_xls]B__3002"/>
      <sheetName val="[Spt-BH.xls][Spt-BH_xls]_Sp_989"/>
      <sheetName val="[Spt-BH.xls][Spt-BH_xls]B__3003"/>
      <sheetName val="[Spt-BH.xls][Spt-BH_xls]B__3004"/>
      <sheetName val="[Spt-BH.xls][Spt-BH_xls]_Sp_990"/>
      <sheetName val="[Spt-BH.xls][Spt-BH.xls]_S_1111"/>
      <sheetName val="[Spt-BH.xls][Spt-BH.xls]B__3127"/>
      <sheetName val="[Spt-BH.xls][Spt-BH.xls]B__3128"/>
      <sheetName val="[Spt-BH.xls][Spt-BH.xls]B__3129"/>
      <sheetName val="[Spt-BH.xls][Spt-BH.xls]B__3130"/>
      <sheetName val="[Spt-BH.xls][Spt-BH.xls]B__3131"/>
      <sheetName val="[Spt-BH.xls][Spt-BH.xls]B__3132"/>
      <sheetName val="[Spt-BH.xls][Spt-BH.xls]_S_1112"/>
      <sheetName val="[Spt-BH.xls][Spt-BH.xls]_S_1113"/>
      <sheetName val="[Spt-BH.xls][Spt-BH.xls]_S_1114"/>
      <sheetName val="[Spt-BH.xls][Spt-BH.xls]B__3133"/>
      <sheetName val="[Spt-BH.xls][Spt-BH.xls]B__3134"/>
      <sheetName val="[Spt-BH.xls][Spt-BH.xls]B__3135"/>
      <sheetName val="[Spt-BH.xls][Spt-BH.xls]B__3136"/>
      <sheetName val="[Spt-BH.xls][Spt-BH.xls]B__3137"/>
      <sheetName val="[Spt-BH.xls][Spt-BH.xls]B__3138"/>
      <sheetName val="[Spt-BH.xls][Spt-BH.xls]_S_1115"/>
      <sheetName val="[Spt-BH.xls][Spt-BH.xls]B__3145"/>
      <sheetName val="[Spt-BH.xls][Spt-BH.xls]B__3146"/>
      <sheetName val="[Spt-BH.xls][Spt-BH.xls]_S_1120"/>
      <sheetName val="[Spt-BH.xls][Spt-BH.xls]B__3147"/>
      <sheetName val="[Spt-BH.xls][Spt-BH.xls]B__3148"/>
      <sheetName val="[Spt-BH.xls][Spt-BH.xls]B__3149"/>
      <sheetName val="[Spt-BH.xls][Spt-BH.xls]B__3150"/>
      <sheetName val="[Spt-BH.xls][Spt-BH.xls]_S_1119"/>
      <sheetName val="[Spt-BH.xls][Spt-BH.xls]B__3151"/>
      <sheetName val="[Spt-BH.xls][Spt-BH.xls]B__3152"/>
      <sheetName val="[Spt-BH.xls][Spt-BH.xls]_S_1121"/>
      <sheetName val="[Spt-BH.xls][Spt-BH.xls]B__3153"/>
      <sheetName val="[Spt-BH.xls][Spt-BH.xls]B__3154"/>
      <sheetName val="[Spt-BH.xls][Spt-BH.xls]B__3157"/>
      <sheetName val="[Spt-BH.xls][Spt-BH.xls]B__3158"/>
      <sheetName val="[Spt-BH.xls][Spt-BH.xls]B__3155"/>
      <sheetName val="[Spt-BH.xls][Spt-BH.xls]B__3156"/>
      <sheetName val="[Spt-BH.xls][Spt-BH.xls]_S_1125"/>
      <sheetName val="[Spt-BH.xls][Spt-BH.xls]B__3165"/>
      <sheetName val="[Spt-BH.xls][Spt-BH.xls]B__3166"/>
      <sheetName val="[Spt-BH.xls][Spt-BH.xls]_S_1127"/>
      <sheetName val="[Spt-BH.xls][Spt-BH.xls]B__3167"/>
      <sheetName val="[Spt-BH.xls][Spt-BH.xls]B__3168"/>
      <sheetName val="[Spt-BH.xls][Spt-BH.xls]B__3169"/>
      <sheetName val="[Spt-BH.xls][Spt-BH.xls]B__3170"/>
      <sheetName val="[Spt-BH.xls][Spt-BH.xls]_S_1122"/>
      <sheetName val="[Spt-BH.xls][Spt-BH.xls]_S_1126"/>
      <sheetName val="[Spt-BH.xls][Spt-BH.xls]_S_1123"/>
      <sheetName val="[Spt-BH.xls][Spt-BH.xls]B__3159"/>
      <sheetName val="[Spt-BH.xls][Spt-BH.xls]B__3160"/>
      <sheetName val="[Spt-BH.xls][Spt-BH.xls]B__3161"/>
      <sheetName val="[Spt-BH.xls][Spt-BH.xls]B__3162"/>
      <sheetName val="[Spt-BH.xls][Spt-BH.xls]B__3163"/>
      <sheetName val="[Spt-BH.xls][Spt-BH.xls]B__3164"/>
      <sheetName val="[Spt-BH.xls][Spt-BH.xls]_S_1124"/>
      <sheetName val="[Spt-BH.xls][Spt-BH.xls]B__3172"/>
      <sheetName val="[Spt-BH.xls][Spt-BH.xls]B__3173"/>
      <sheetName val="[Spt-BH.xls][Spt-BH.xls]_S_1133"/>
      <sheetName val="[Spt-BH.xls][Spt-BH.xls]B__3174"/>
      <sheetName val="[Spt-BH.xls][Spt-BH.xls]B__3175"/>
      <sheetName val="[Spt-BH.xls]B____x005f_x0004______255"/>
      <sheetName val="[Spt-BH.xls]B___x005f_x0000__x000_251"/>
      <sheetName val="[Spt-BH.xls][Spt-BH.xls]B__3176"/>
      <sheetName val="[Spt-BH.xls][Spt-BH.xls]B__3177"/>
      <sheetName val="[Spt-BH.xls][Spt-BH.xls]_S_1128"/>
      <sheetName val="[Spt-BH.xls][Spt-BH_xls]B__3005"/>
      <sheetName val="[Spt-BH.xls][Spt-BH_xls]B__3006"/>
      <sheetName val="[Spt-BH.xls][Spt-BH_xls]B__3007"/>
      <sheetName val="[Spt-BH.xls][Spt-BH_xls]B__3008"/>
      <sheetName val="[Spt-BH.xls][Spt-BH_xls]_Sp_991"/>
      <sheetName val="[Spt-BH.xls][Spt-BH_xls]B__3009"/>
      <sheetName val="[Spt-BH.xls][Spt-BH_xls]B__3010"/>
      <sheetName val="[Spt-BH.xls][Spt-BH_xls]B__3011"/>
      <sheetName val="[Spt-BH.xls][Spt-BH_xls]_Sp_992"/>
      <sheetName val="[Spt-BH.xls][Spt-BH_xls]B__3012"/>
      <sheetName val="[Spt-BH.xls][Spt-BH_xls]B__3013"/>
      <sheetName val="[Spt-BH.xls][Spt-BH_xls]B__3014"/>
      <sheetName val="[Spt-BH.xls][Spt-BH_xls]B__3015"/>
      <sheetName val="[Spt-BH.xls][Spt-BH_xls]_Sp_993"/>
      <sheetName val="[Spt-BH.xls][Spt-BH.xls]B__3171"/>
      <sheetName val="[Spt-BH.xls][Spt-BH_xls]B__3016"/>
      <sheetName val="[Spt-BH.xls][Spt-BH_xls]B__3017"/>
      <sheetName val="[Spt-BH.xls][Spt-BH_xls]_Sp_994"/>
      <sheetName val="[Spt-BH.xls][Spt-BH_xls]B__3018"/>
      <sheetName val="[Spt-BH.xls][Spt-BH_xls]B__3019"/>
      <sheetName val="[Spt-BH.xls][Spt-BH_xls]_Sp_995"/>
      <sheetName val="[Spt-BH.xls][Spt-BH.xls]_S_1130"/>
      <sheetName val="[Spt-BH.xls][Spt-BH.xls]_S_1129"/>
      <sheetName val="[Spt-BH.xls][Spt-BH.xls]B__3178"/>
      <sheetName val="[Spt-BH.xls][Spt-BH.xls]B__3179"/>
      <sheetName val="[Spt-BH.xls][Spt-BH.xls]B__3180"/>
      <sheetName val="[Spt-BH.xls][Spt-BH.xls]B__3181"/>
      <sheetName val="[Spt-BH.xls][Spt-BH.xls]B__3182"/>
      <sheetName val="[Spt-BH.xls][Spt-BH.xls]B__3183"/>
      <sheetName val="[Spt-BH.xls][Spt-BH.xls]B__3198"/>
      <sheetName val="[Spt-BH.xls][Spt-BH.xls]B__3199"/>
      <sheetName val="[Spt-BH.xls][Spt-BH.xls]B__3200"/>
      <sheetName val="[Spt-BH.xls][Spt-BH.xls]B__3201"/>
      <sheetName val="[Spt-BH.xls]B____x005f_x0004______257"/>
      <sheetName val="[Spt-BH.xls]B___x005f_x0000__x000_253"/>
      <sheetName val="[Spt-BH.xls][Spt-BH.xls]B__3202"/>
      <sheetName val="[Spt-BH.xls][Spt-BH.xls]B__3191"/>
      <sheetName val="[Spt-BH.xls][Spt-BH.xls]B__3192"/>
      <sheetName val="[Spt-BH.xls][Spt-BH.xls]_S_1135"/>
      <sheetName val="[Spt-BH.xls][Spt-BH.xls]B__3193"/>
      <sheetName val="[Spt-BH.xls][Spt-BH.xls]B__3194"/>
      <sheetName val="[Spt-BH.xls][Spt-BH.xls]B__3195"/>
      <sheetName val="[Spt-BH.xls][Spt-BH.xls]B__3203"/>
      <sheetName val="[Spt-BH.xls][Spt-BH.xls]B__3196"/>
      <sheetName val="[Spt-BH.xls][Spt-BH.xls]B__3197"/>
      <sheetName val="[Spt-BH.xls][Spt-BH.xls]_S_1136"/>
      <sheetName val="[Spt-BH.xls][Spt-BH_xls]B__3035"/>
      <sheetName val="[Spt-BH.xls][Spt-BH_xls]B__3036"/>
      <sheetName val="[Spt-BH.xls][Spt-BH_xls]B__3037"/>
      <sheetName val="[Spt-BH.xls][Spt-BH_xls]B__3038"/>
      <sheetName val="[Spt-BH.xls][Spt-BH_xls]_S_1001"/>
      <sheetName val="[Spt-BH.xls][Spt-BH_xls]B__3039"/>
      <sheetName val="[Spt-BH.xls][Spt-BH_xls]B__3040"/>
      <sheetName val="[Spt-BH.xls][Spt-BH_xls]B__3041"/>
      <sheetName val="[Spt-BH.xls][Spt-BH_xls]_S_1002"/>
      <sheetName val="[Spt-BH.xls][Spt-BH_xls]B__3042"/>
      <sheetName val="[Spt-BH.xls][Spt-BH_xls]B__3043"/>
      <sheetName val="[Spt-BH.xls][Spt-BH_xls]B__3044"/>
      <sheetName val="[Spt-BH.xls][Spt-BH_xls]B__3045"/>
      <sheetName val="[Spt-BH.xls][Spt-BH_xls]_S_1003"/>
      <sheetName val="[Spt-BH.xls][Spt-BH.xls]_S_1134"/>
      <sheetName val="[Spt-BH.xls][Spt-BH_xls]B__3046"/>
      <sheetName val="[Spt-BH.xls][Spt-BH_xls]B__3047"/>
      <sheetName val="[Spt-BH.xls][Spt-BH_xls]_S_1004"/>
      <sheetName val="[Spt-BH.xls][Spt-BH_xls]B__3048"/>
      <sheetName val="[Spt-BH.xls][Spt-BH_xls]B__3049"/>
      <sheetName val="[Spt-BH.xls][Spt-BH_xls]_S_1005"/>
      <sheetName val="[Spt-BH.xls][Spt-BH.xls]_S_1131"/>
      <sheetName val="[Spt-BH.xls]B____x005f_x0004______256"/>
      <sheetName val="[Spt-BH.xls]B___x005f_x0000__x000_252"/>
      <sheetName val="[Spt-BH.xls][Spt-BH.xls]B__3184"/>
      <sheetName val="[Spt-BH.xls][Spt-BH.xls]B__3185"/>
      <sheetName val="[Spt-BH.xls][Spt-BH.xls]B__3186"/>
      <sheetName val="[Spt-BH.xls][Spt-BH.xls]B__3187"/>
      <sheetName val="[Spt-BH.xls][Spt-BH.xls]B__3188"/>
      <sheetName val="[Spt-BH.xls][Spt-BH.xls]B__3189"/>
      <sheetName val="[Spt-BH.xls][Spt-BH.xls]B__3190"/>
      <sheetName val="[Spt-BH.xls][Spt-BH_xls]B__3020"/>
      <sheetName val="[Spt-BH.xls][Spt-BH_xls]B__3021"/>
      <sheetName val="[Spt-BH.xls][Spt-BH_xls]B__3022"/>
      <sheetName val="[Spt-BH.xls][Spt-BH_xls]B__3023"/>
      <sheetName val="[Spt-BH.xls][Spt-BH_xls]_Sp_996"/>
      <sheetName val="[Spt-BH.xls][Spt-BH_xls]B__3024"/>
      <sheetName val="[Spt-BH.xls][Spt-BH_xls]B__3025"/>
      <sheetName val="[Spt-BH.xls][Spt-BH_xls]B__3026"/>
      <sheetName val="[Spt-BH.xls][Spt-BH_xls]_Sp_997"/>
      <sheetName val="[Spt-BH.xls][Spt-BH_xls]B__3027"/>
      <sheetName val="[Spt-BH.xls][Spt-BH_xls]B__3028"/>
      <sheetName val="[Spt-BH.xls][Spt-BH_xls]B__3029"/>
      <sheetName val="[Spt-BH.xls][Spt-BH_xls]B__3030"/>
      <sheetName val="[Spt-BH.xls][Spt-BH_xls]_Sp_998"/>
      <sheetName val="[Spt-BH.xls][Spt-BH.xls]_S_1132"/>
      <sheetName val="[Spt-BH.xls][Spt-BH_xls]B__3031"/>
      <sheetName val="[Spt-BH.xls][Spt-BH_xls]B__3032"/>
      <sheetName val="[Spt-BH.xls][Spt-BH_xls]_Sp_999"/>
      <sheetName val="[Spt-BH.xls][Spt-BH_xls]B__3033"/>
      <sheetName val="[Spt-BH.xls][Spt-BH_xls]B__3034"/>
      <sheetName val="[Spt-BH.xls][Spt-BH_xls]_S_1000"/>
      <sheetName val="[Spt-BH.xls][Spt-BH.xls]_S_1138"/>
      <sheetName val="[Spt-BH.xls][Spt-BH.xls]B__3211"/>
      <sheetName val="[Spt-BH.xls][Spt-BH.xls]B__3212"/>
      <sheetName val="[Spt-BH.xls][Spt-BH.xls]_S_1141"/>
      <sheetName val="[Spt-BH.xls][Spt-BH.xls]B__3213"/>
      <sheetName val="[Spt-BH.xls][Spt-BH.xls]B__3214"/>
      <sheetName val="[Spt-BH.xls]B____x005f_x0004______258"/>
      <sheetName val="[Spt-BH.xls]B___x005f_x0000__x000_254"/>
      <sheetName val="[Spt-BH.xls][Spt-BH.xls]B__3215"/>
      <sheetName val="[Spt-BH.xls][Spt-BH.xls]B__3216"/>
      <sheetName val="[Spt-BH.xls][Spt-BH.xls]B__3210"/>
      <sheetName val="[Spt-BH.xls][Spt-BH.xls]_S_1140"/>
      <sheetName val="[Spt-BH.xls][Spt-BH_xls]B__3050"/>
      <sheetName val="[Spt-BH.xls][Spt-BH_xls]B__3051"/>
      <sheetName val="[Spt-BH.xls][Spt-BH_xls]B__3052"/>
      <sheetName val="[Spt-BH.xls][Spt-BH_xls]B__3053"/>
      <sheetName val="[Spt-BH.xls][Spt-BH_xls]_S_1006"/>
      <sheetName val="[Spt-BH.xls][Spt-BH_xls]B__3054"/>
      <sheetName val="[Spt-BH.xls][Spt-BH_xls]B__3055"/>
      <sheetName val="[Spt-BH.xls][Spt-BH_xls]B__3056"/>
      <sheetName val="[Spt-BH.xls][Spt-BH_xls]_S_1007"/>
      <sheetName val="[Spt-BH.xls][Spt-BH_xls]B__3057"/>
      <sheetName val="[Spt-BH.xls][Spt-BH_xls]B__3058"/>
      <sheetName val="[Spt-BH.xls][Spt-BH_xls]B__3059"/>
      <sheetName val="[Spt-BH.xls][Spt-BH_xls]B__3060"/>
      <sheetName val="[Spt-BH.xls][Spt-BH_xls]_S_1008"/>
      <sheetName val="[Spt-BH.xls][Spt-BH_xls]B__3061"/>
      <sheetName val="[Spt-BH.xls][Spt-BH_xls]B__3062"/>
      <sheetName val="[Spt-BH.xls][Spt-BH_xls]_S_1009"/>
      <sheetName val="[Spt-BH.xls][Spt-BH_xls]B__3063"/>
      <sheetName val="[Spt-BH.xls][Spt-BH_xls]B__3064"/>
      <sheetName val="[Spt-BH.xls][Spt-BH_xls]_S_1010"/>
      <sheetName val="[Spt-BH.xls][Spt-BH.xls]_S_1147"/>
      <sheetName val="[Spt-BH.xls][Spt-BH.xls]_S_1142"/>
      <sheetName val="[Spt-BH.xls][Spt-BH.xls]B__3230"/>
      <sheetName val="[Spt-BH.xls][Spt-BH.xls]B__3231"/>
      <sheetName val="[Spt-BH.xls][Spt-BH.xls]_S_1149"/>
      <sheetName val="[Spt-BH.xls][Spt-BH.xls]B__3232"/>
      <sheetName val="[Spt-BH.xls][Spt-BH.xls]B__3233"/>
      <sheetName val="[Spt-BH.xls]B____x005f_x0004______259"/>
      <sheetName val="[Spt-BH.xls]B___x005f_x0000__x000_255"/>
      <sheetName val="[Spt-BH.xls][Spt-BH.xls]B__3234"/>
      <sheetName val="[Spt-BH.xls][Spt-BH.xls]B__3217"/>
      <sheetName val="[Spt-BH.xls][Spt-BH.xls]B__3218"/>
      <sheetName val="[Spt-BH.xls][Spt-BH.xls]B__3219"/>
      <sheetName val="[Spt-BH.xls][Spt-BH.xls]B__3220"/>
      <sheetName val="[Spt-BH.xls][Spt-BH.xls]B__3235"/>
      <sheetName val="[Spt-BH.xls][Spt-BH.xls]_S_1143"/>
      <sheetName val="[Spt-BH.xls][Spt-BH.xls]B__3221"/>
      <sheetName val="[Spt-BH.xls][Spt-BH.xls]B__3222"/>
      <sheetName val="[Spt-BH.xls][Spt-BH.xls]B__3223"/>
      <sheetName val="[Spt-BH.xls][Spt-BH.xls]_S_1148"/>
      <sheetName val="[Spt-BH.xls][Spt-BH_xls]B__3065"/>
      <sheetName val="[Spt-BH.xls][Spt-BH_xls]B__3066"/>
      <sheetName val="[Spt-BH.xls][Spt-BH_xls]B__3067"/>
      <sheetName val="[Spt-BH.xls][Spt-BH_xls]B__3068"/>
      <sheetName val="[Spt-BH.xls][Spt-BH_xls]_S_1011"/>
      <sheetName val="[Spt-BH.xls][Spt-BH_xls]B__3069"/>
      <sheetName val="[Spt-BH.xls][Spt-BH_xls]B__3070"/>
      <sheetName val="[Spt-BH.xls][Spt-BH_xls]B__3071"/>
      <sheetName val="[Spt-BH.xls][Spt-BH_xls]_S_1012"/>
      <sheetName val="[Spt-BH.xls][Spt-BH_xls]B__3072"/>
      <sheetName val="[Spt-BH.xls][Spt-BH_xls]B__3073"/>
      <sheetName val="[Spt-BH.xls][Spt-BH_xls]B__3074"/>
      <sheetName val="[Spt-BH.xls][Spt-BH_xls]B__3075"/>
      <sheetName val="[Spt-BH.xls][Spt-BH_xls]_S_1013"/>
      <sheetName val="[Spt-BH.xls][Spt-BH.xls]_S_1144"/>
      <sheetName val="[Spt-BH.xls][Spt-BH_xls]B__3076"/>
      <sheetName val="[Spt-BH.xls][Spt-BH_xls]B__3077"/>
      <sheetName val="[Spt-BH.xls][Spt-BH_xls]_S_1014"/>
      <sheetName val="[Spt-BH.xls][Spt-BH_xls]B__3078"/>
      <sheetName val="[Spt-BH.xls][Spt-BH_xls]B__3079"/>
      <sheetName val="[Spt-BH.xls][Spt-BH_xls]_S_1015"/>
      <sheetName val="[Spt-BH.xls][Spt-BH.xls]_S_1145"/>
      <sheetName val="[Spt-BH.xls][Spt-BH.xls]B__3224"/>
      <sheetName val="[Spt-BH.xls][Spt-BH.xls]B__3225"/>
      <sheetName val="[Spt-BH.xls][Spt-BH.xls]B__3226"/>
      <sheetName val="[Spt-BH.xls][Spt-BH.xls]B__3227"/>
      <sheetName val="[Spt-BH.xls][Spt-BH.xls]B__3228"/>
      <sheetName val="[Spt-BH.xls][Spt-BH.xls]B__3229"/>
      <sheetName val="[Spt-BH.xls][Spt-BH.xls]_S_1146"/>
      <sheetName val="[Spt-BH.xls][Spt-BH.xls]B__3237"/>
      <sheetName val="[Spt-BH.xls][Spt-BH.xls]B__3238"/>
      <sheetName val="[Spt-BH.xls][Spt-BH.xls]_S_1159"/>
      <sheetName val="[Spt-BH.xls][Spt-BH.xls]B__3239"/>
      <sheetName val="[Spt-BH.xls][Spt-BH.xls]B__3240"/>
      <sheetName val="[Spt-BH.xls]B____x005f_x0004______260"/>
      <sheetName val="[Spt-BH.xls]B___x005f_x0000__x000_256"/>
      <sheetName val="[Spt-BH.xls][Spt-BH.xls]B__3241"/>
      <sheetName val="[Spt-BH.xls][Spt-BH.xls]B__3242"/>
      <sheetName val="[Spt-BH.xls][Spt-BH.xls]B__3236"/>
      <sheetName val="[Spt-BH.xls][Spt-BH.xls]_S_1150"/>
      <sheetName val="[Spt-BH.xls][Spt-BH_xls]B__3080"/>
      <sheetName val="[Spt-BH.xls][Spt-BH_xls]B__3081"/>
      <sheetName val="[Spt-BH.xls][Spt-BH_xls]B__3082"/>
      <sheetName val="[Spt-BH.xls][Spt-BH_xls]B__3083"/>
      <sheetName val="[Spt-BH.xls][Spt-BH_xls]_S_1016"/>
      <sheetName val="[Spt-BH.xls][Spt-BH_xls]B__3084"/>
      <sheetName val="[Spt-BH.xls][Spt-BH_xls]B__3085"/>
      <sheetName val="[Spt-BH.xls][Spt-BH_xls]B__3086"/>
      <sheetName val="[Spt-BH.xls][Spt-BH_xls]_S_1017"/>
      <sheetName val="[Spt-BH.xls][Spt-BH_xls]B__3087"/>
      <sheetName val="[Spt-BH.xls][Spt-BH_xls]B__3088"/>
      <sheetName val="[Spt-BH.xls][Spt-BH_xls]B__3089"/>
      <sheetName val="[Spt-BH.xls][Spt-BH_xls]B__3090"/>
      <sheetName val="[Spt-BH.xls][Spt-BH_xls]_S_1018"/>
      <sheetName val="[Spt-BH.xls][Spt-BH_xls]B__3091"/>
      <sheetName val="[Spt-BH.xls][Spt-BH_xls]B__3092"/>
      <sheetName val="[Spt-BH.xls][Spt-BH_xls]_S_1019"/>
      <sheetName val="[Spt-BH.xls][Spt-BH_xls]B__3093"/>
      <sheetName val="[Spt-BH.xls][Spt-BH_xls]B__3094"/>
      <sheetName val="[Spt-BH.xls][Spt-BH_xls]_S_1020"/>
      <sheetName val="[Spt-BH.xls][Spt-BH.xls]B__3268"/>
      <sheetName val="[Spt-BH.xls][Spt-BH.xls]B__3269"/>
      <sheetName val="[Spt-BH.xls][Spt-BH.xls]_S_1161"/>
      <sheetName val="[Spt-BH.xls][Spt-BH.xls]B__3270"/>
      <sheetName val="[Spt-BH.xls][Spt-BH.xls]B__3271"/>
      <sheetName val="[Spt-BH.xls][Spt-BH.xls]B__3272"/>
      <sheetName val="[Spt-BH.xls][Spt-BH.xls]B__3273"/>
      <sheetName val="[Spt-BH.xls][Spt-BH.xls]_S_1160"/>
      <sheetName val="[Spt-BH.xls][Spt-BH.xls]_S_1151"/>
      <sheetName val="[Spt-BH.xls][Spt-BH.xls]B__3243"/>
      <sheetName val="[Spt-BH.xls][Spt-BH.xls]B__3244"/>
      <sheetName val="[Spt-BH.xls][Spt-BH.xls]B__3245"/>
      <sheetName val="[Spt-BH.xls][Spt-BH.xls]B__3246"/>
      <sheetName val="[Spt-BH.xls][Spt-BH.xls]B__3247"/>
      <sheetName val="[Spt-BH.xls][Spt-BH.xls]B__3248"/>
      <sheetName val="[Spt-BH.xls][Spt-BH.xls]_S_1152"/>
      <sheetName val="[Spt-BH.xls][Spt-BH.xls]_S_1153"/>
      <sheetName val="[Spt-BH.xls][Spt-BH.xls]B__3249"/>
      <sheetName val="[Spt-BH.xls][Spt-BH.xls]B__3250"/>
      <sheetName val="[Spt-BH.xls][Spt-BH.xls]B__3251"/>
      <sheetName val="[Spt-BH.xls][Spt-BH.xls]B__3252"/>
      <sheetName val="[Spt-BH.xls][Spt-BH.xls]B__3253"/>
      <sheetName val="[Spt-BH.xls][Spt-BH.xls]B__3254"/>
      <sheetName val="[Spt-BH.xls][Spt-BH.xls]_S_1154"/>
      <sheetName val="[Spt-BH.xls][Spt-BH.xls]_S_1155"/>
      <sheetName val="[Spt-BH.xls][Spt-BH.xls]B__3255"/>
      <sheetName val="[Spt-BH.xls][Spt-BH.xls]B__3256"/>
      <sheetName val="[Spt-BH.xls][Spt-BH.xls]B__3257"/>
      <sheetName val="[Spt-BH.xls][Spt-BH.xls]B__3258"/>
      <sheetName val="[Spt-BH.xls][Spt-BH.xls]B__3259"/>
      <sheetName val="[Spt-BH.xls][Spt-BH.xls]B__3260"/>
      <sheetName val="[Spt-BH.xls][Spt-BH.xls]_S_1156"/>
      <sheetName val="[Spt-BH.xls][Spt-BH.xls]B__3275"/>
      <sheetName val="[Spt-BH.xls][Spt-BH.xls]B__3276"/>
      <sheetName val="[Spt-BH.xls][Spt-BH.xls]_S_1165"/>
      <sheetName val="[Spt-BH.xls][Spt-BH.xls]B__3277"/>
      <sheetName val="[Spt-BH.xls][Spt-BH.xls]B__3278"/>
      <sheetName val="[Spt-BH.xls]B____x005f_x0004______262"/>
      <sheetName val="[Spt-BH.xls]B___x005f_x0000__x000_258"/>
      <sheetName val="[Spt-BH.xls][Spt-BH.xls]B__3279"/>
      <sheetName val="[Spt-BH.xls][Spt-BH.xls]B__3280"/>
      <sheetName val="[Spt-BH.xls][Spt-BH.xls]B__3274"/>
      <sheetName val="[Spt-BH.xls][Spt-BH.xls]_S_1162"/>
      <sheetName val="[Spt-BH.xls][Spt-BH_xls]B__3110"/>
      <sheetName val="[Spt-BH.xls][Spt-BH_xls]B__3111"/>
      <sheetName val="[Spt-BH.xls][Spt-BH_xls]B__3112"/>
      <sheetName val="[Spt-BH.xls][Spt-BH_xls]B__3113"/>
      <sheetName val="[Spt-BH.xls][Spt-BH_xls]_S_1026"/>
      <sheetName val="[Spt-BH.xls][Spt-BH_xls]B__3114"/>
      <sheetName val="[Spt-BH.xls][Spt-BH_xls]B__3115"/>
      <sheetName val="[Spt-BH.xls][Spt-BH_xls]B__3116"/>
      <sheetName val="[Spt-BH.xls][Spt-BH_xls]_S_1027"/>
      <sheetName val="[Spt-BH.xls][Spt-BH_xls]B__3117"/>
      <sheetName val="[Spt-BH.xls][Spt-BH_xls]B__3118"/>
      <sheetName val="[Spt-BH.xls][Spt-BH_xls]B__3119"/>
      <sheetName val="[Spt-BH.xls][Spt-BH_xls]B__3120"/>
      <sheetName val="[Spt-BH.xls][Spt-BH_xls]_S_1028"/>
      <sheetName val="[Spt-BH.xls][Spt-BH_xls]B__3121"/>
      <sheetName val="[Spt-BH.xls][Spt-BH_xls]B__3122"/>
      <sheetName val="[Spt-BH.xls][Spt-BH_xls]_S_1029"/>
      <sheetName val="[Spt-BH.xls][Spt-BH_xls]B__3123"/>
      <sheetName val="[Spt-BH.xls][Spt-BH_xls]B__3124"/>
      <sheetName val="[Spt-BH.xls][Spt-BH_xls]_S_1030"/>
      <sheetName val="[Spt-BH.xls][Spt-BH.xls]_S_1157"/>
      <sheetName val="[Spt-BH.xls][Spt-BH.xls]B__3261"/>
      <sheetName val="[Spt-BH.xls][Spt-BH.xls]B__3262"/>
      <sheetName val="[Spt-BH.xls][Spt-BH.xls]B__3263"/>
      <sheetName val="[Spt-BH.xls][Spt-BH.xls]B__3264"/>
      <sheetName val="[Spt-BH.xls][Spt-BH.xls]B__3265"/>
      <sheetName val="[Spt-BH.xls][Spt-BH.xls]B__3266"/>
      <sheetName val="[Spt-BH.xls][Spt-BH.xls]_S_1158"/>
      <sheetName val="[Spt-BH.xls]B____x005f_x0004______261"/>
      <sheetName val="[Spt-BH.xls]B___x005f_x0000__x000_257"/>
      <sheetName val="[Spt-BH.xls][Spt-BH.xls]B__3267"/>
      <sheetName val="[Spt-BH.xls][Spt-BH_xls]B__3095"/>
      <sheetName val="[Spt-BH.xls][Spt-BH_xls]B__3096"/>
      <sheetName val="[Spt-BH.xls][Spt-BH_xls]B__3097"/>
      <sheetName val="[Spt-BH.xls][Spt-BH_xls]B__3098"/>
      <sheetName val="[Spt-BH.xls][Spt-BH_xls]_S_1021"/>
      <sheetName val="[Spt-BH.xls][Spt-BH_xls]B__3099"/>
      <sheetName val="[Spt-BH.xls][Spt-BH_xls]B__3100"/>
      <sheetName val="[Spt-BH.xls][Spt-BH_xls]B__3101"/>
      <sheetName val="[Spt-BH.xls][Spt-BH_xls]_S_1022"/>
      <sheetName val="[Spt-BH.xls][Spt-BH_xls]B__3102"/>
      <sheetName val="[Spt-BH.xls][Spt-BH_xls]B__3103"/>
      <sheetName val="[Spt-BH.xls][Spt-BH_xls]B__3104"/>
      <sheetName val="[Spt-BH.xls][Spt-BH_xls]B__3105"/>
      <sheetName val="[Spt-BH.xls][Spt-BH_xls]_S_1023"/>
      <sheetName val="[Spt-BH.xls][Spt-BH_xls]B__3106"/>
      <sheetName val="[Spt-BH.xls][Spt-BH_xls]B__3107"/>
      <sheetName val="[Spt-BH.xls][Spt-BH_xls]_S_1024"/>
      <sheetName val="[Spt-BH.xls][Spt-BH_xls]B__3108"/>
      <sheetName val="[Spt-BH.xls][Spt-BH_xls]B__3109"/>
      <sheetName val="[Spt-BH.xls][Spt-BH_xls]_S_1025"/>
      <sheetName val="[Spt-BH.xls][Spt-BH.xls]B__3289"/>
      <sheetName val="[Spt-BH.xls][Spt-BH.xls]B__3290"/>
      <sheetName val="[Spt-BH.xls][Spt-BH.xls]_S_1183"/>
      <sheetName val="[Spt-BH.xls][Spt-BH.xls]B__3291"/>
      <sheetName val="[Spt-BH.xls][Spt-BH.xls]B__3292"/>
      <sheetName val="[Spt-BH.xls]B____x005f_x0004______263"/>
      <sheetName val="[Spt-BH.xls]B___x005f_x0000__x000_259"/>
      <sheetName val="[Spt-BH.xls][Spt-BH.xls]B__3293"/>
      <sheetName val="[Spt-BH.xls][Spt-BH.xls]B__3294"/>
      <sheetName val="[Spt-BH.xls][Spt-BH.xls]B__3281"/>
      <sheetName val="[Spt-BH.xls][Spt-BH.xls]_S_1166"/>
      <sheetName val="[Spt-BH.xls][Spt-BH_xls]B__3125"/>
      <sheetName val="[Spt-BH.xls][Spt-BH_xls]B__3126"/>
      <sheetName val="[Spt-BH.xls][Spt-BH_xls]B__3127"/>
      <sheetName val="[Spt-BH.xls][Spt-BH_xls]B__3128"/>
      <sheetName val="[Spt-BH.xls][Spt-BH_xls]_S_1031"/>
      <sheetName val="[Spt-BH.xls][Spt-BH_xls]B__3129"/>
      <sheetName val="[Spt-BH.xls][Spt-BH_xls]B__3130"/>
      <sheetName val="[Spt-BH.xls][Spt-BH_xls]B__3131"/>
      <sheetName val="[Spt-BH.xls][Spt-BH_xls]_S_1032"/>
      <sheetName val="[Spt-BH.xls][Spt-BH_xls]B__3132"/>
      <sheetName val="[Spt-BH.xls][Spt-BH_xls]B__3133"/>
      <sheetName val="[Spt-BH.xls][Spt-BH_xls]B__3134"/>
      <sheetName val="[Spt-BH.xls][Spt-BH_xls]B__3135"/>
      <sheetName val="[Spt-BH.xls][Spt-BH_xls]_S_1033"/>
      <sheetName val="[Spt-BH.xls][Spt-BH_xls]B__3136"/>
      <sheetName val="[Spt-BH.xls][Spt-BH_xls]B__3137"/>
      <sheetName val="[Spt-BH.xls][Spt-BH_xls]_S_1034"/>
      <sheetName val="[Spt-BH.xls][Spt-BH_xls]B__3138"/>
      <sheetName val="[Spt-BH.xls][Spt-BH_xls]B__3139"/>
      <sheetName val="[Spt-BH.xls][Spt-BH_xls]_S_1035"/>
      <sheetName val="[Spt-BH.xls][Spt-BH.xls]B__3354"/>
      <sheetName val="[Spt-BH.xls][Spt-BH.xls]B__3355"/>
      <sheetName val="[Spt-BH.xls][Spt-BH.xls]_S_1187"/>
      <sheetName val="[Spt-BH.xls][Spt-BH.xls]B__3356"/>
      <sheetName val="[Spt-BH.xls][Spt-BH.xls]B__3357"/>
      <sheetName val="[Spt-BH.xls]B____x005f_x0004______265"/>
      <sheetName val="[Spt-BH.xls]B___x005f_x0000__x000_261"/>
      <sheetName val="[Spt-BH.xls][Spt-BH.xls]B__3358"/>
      <sheetName val="[Spt-BH.xls][Spt-BH.xls]B__3359"/>
      <sheetName val="[Spt-BH.xls][Spt-BH.xls]B__3295"/>
      <sheetName val="[Spt-BH.xls][Spt-BH.xls]_S_1184"/>
      <sheetName val="[Spt-BH.xls][Spt-BH_xls]B__3155"/>
      <sheetName val="[Spt-BH.xls][Spt-BH_xls]B__3156"/>
      <sheetName val="[Spt-BH.xls][Spt-BH_xls]B__3157"/>
      <sheetName val="[Spt-BH.xls][Spt-BH_xls]B__3158"/>
      <sheetName val="[Spt-BH.xls][Spt-BH_xls]_S_1041"/>
      <sheetName val="[Spt-BH.xls][Spt-BH_xls]B__3159"/>
      <sheetName val="[Spt-BH.xls][Spt-BH_xls]B__3160"/>
      <sheetName val="[Spt-BH.xls][Spt-BH_xls]B__3161"/>
      <sheetName val="[Spt-BH.xls][Spt-BH_xls]_S_1042"/>
      <sheetName val="[Spt-BH.xls][Spt-BH_xls]B__3162"/>
      <sheetName val="[Spt-BH.xls][Spt-BH_xls]B__3163"/>
      <sheetName val="[Spt-BH.xls][Spt-BH_xls]B__3164"/>
      <sheetName val="[Spt-BH.xls][Spt-BH_xls]B__3165"/>
      <sheetName val="[Spt-BH.xls][Spt-BH_xls]_S_1043"/>
      <sheetName val="[Spt-BH.xls][Spt-BH_xls]B__3166"/>
      <sheetName val="[Spt-BH.xls][Spt-BH_xls]B__3167"/>
      <sheetName val="[Spt-BH.xls][Spt-BH_xls]_S_1044"/>
      <sheetName val="[Spt-BH.xls][Spt-BH_xls]B__3168"/>
      <sheetName val="[Spt-BH.xls][Spt-BH_xls]B__3169"/>
      <sheetName val="[Spt-BH.xls][Spt-BH_xls]_S_1045"/>
      <sheetName val="[Spt-BH.xls][Spt-BH.xls]_S_1163"/>
      <sheetName val="[Spt-BH.xls][Spt-BH.xls]B__3282"/>
      <sheetName val="[Spt-BH.xls][Spt-BH.xls]B__3283"/>
      <sheetName val="[Spt-BH.xls][Spt-BH.xls]B__3284"/>
      <sheetName val="[Spt-BH.xls][Spt-BH.xls]B__3285"/>
      <sheetName val="[Spt-BH.xls][Spt-BH.xls]B__3286"/>
      <sheetName val="[Spt-BH.xls][Spt-BH.xls]B__3287"/>
      <sheetName val="[Spt-BH.xls][Spt-BH.xls]_S_1164"/>
      <sheetName val="[Spt-BH.xls]B____x005f_x0004______264"/>
      <sheetName val="[Spt-BH.xls]B___x005f_x0000__x000_260"/>
      <sheetName val="[Spt-BH.xls][Spt-BH.xls]B__3288"/>
      <sheetName val="[Spt-BH.xls][Spt-BH_xls]B__3140"/>
      <sheetName val="[Spt-BH.xls][Spt-BH_xls]B__3141"/>
      <sheetName val="[Spt-BH.xls][Spt-BH_xls]B__3142"/>
      <sheetName val="[Spt-BH.xls][Spt-BH_xls]B__3143"/>
      <sheetName val="[Spt-BH.xls][Spt-BH_xls]_S_1036"/>
      <sheetName val="[Spt-BH.xls][Spt-BH_xls]B__3144"/>
      <sheetName val="[Spt-BH.xls][Spt-BH_xls]B__3145"/>
      <sheetName val="[Spt-BH.xls][Spt-BH_xls]B__3146"/>
      <sheetName val="[Spt-BH.xls][Spt-BH_xls]_S_1037"/>
      <sheetName val="[Spt-BH.xls][Spt-BH_xls]B__3147"/>
      <sheetName val="[Spt-BH.xls][Spt-BH_xls]B__3148"/>
      <sheetName val="[Spt-BH.xls][Spt-BH_xls]B__3149"/>
      <sheetName val="[Spt-BH.xls][Spt-BH_xls]B__3150"/>
      <sheetName val="[Spt-BH.xls][Spt-BH_xls]_S_1038"/>
      <sheetName val="[Spt-BH.xls][Spt-BH_xls]B__3151"/>
      <sheetName val="[Spt-BH.xls][Spt-BH_xls]B__3152"/>
      <sheetName val="[Spt-BH.xls][Spt-BH_xls]_S_1039"/>
      <sheetName val="[Spt-BH.xls][Spt-BH_xls]B__3153"/>
      <sheetName val="[Spt-BH.xls][Spt-BH_xls]B__3154"/>
      <sheetName val="[Spt-BH.xls][Spt-BH_xls]_S_1040"/>
      <sheetName val="[Spt-BH.xls][Spt-BH.xls]B__3367"/>
      <sheetName val="[Spt-BH.xls][Spt-BH.xls]B__3368"/>
      <sheetName val="[Spt-BH.xls][Spt-BH.xls]_S_1189"/>
      <sheetName val="[Spt-BH.xls][Spt-BH.xls]B__3369"/>
      <sheetName val="[Spt-BH.xls][Spt-BH.xls]B__3370"/>
      <sheetName val="[Spt-BH.xls]B____x005f_x0004______273"/>
      <sheetName val="[Spt-BH.xls]B___x005f_x0000__x000_268"/>
      <sheetName val="[Spt-BH.xls][Spt-BH.xls]B__3371"/>
      <sheetName val="[Spt-BH.xls][Spt-BH.xls]B__3372"/>
      <sheetName val="[Spt-BH.xls][Spt-BH.xls]B__3360"/>
      <sheetName val="[Spt-BH.xls][Spt-BH.xls]_S_1188"/>
      <sheetName val="[Spt-BH.xls][Spt-BH_xls]B__3215"/>
      <sheetName val="[Spt-BH.xls][Spt-BH_xls]B__3216"/>
      <sheetName val="[Spt-BH.xls][Spt-BH_xls]B__3217"/>
      <sheetName val="[Spt-BH.xls][Spt-BH_xls]B__3218"/>
      <sheetName val="[Spt-BH.xls][Spt-BH_xls]_S_1061"/>
      <sheetName val="[Spt-BH.xls][Spt-BH_xls]B__3219"/>
      <sheetName val="[Spt-BH.xls][Spt-BH_xls]B__3220"/>
      <sheetName val="[Spt-BH.xls][Spt-BH_xls]B__3221"/>
      <sheetName val="[Spt-BH.xls][Spt-BH_xls]_S_1062"/>
      <sheetName val="[Spt-BH.xls][Spt-BH_xls]B__3222"/>
      <sheetName val="[Spt-BH.xls][Spt-BH_xls]B__3223"/>
      <sheetName val="[Spt-BH.xls][Spt-BH_xls]B__3224"/>
      <sheetName val="[Spt-BH.xls][Spt-BH_xls]B__3225"/>
      <sheetName val="[Spt-BH.xls][Spt-BH_xls]_S_1063"/>
      <sheetName val="[Spt-BH.xls][Spt-BH_xls]B__3226"/>
      <sheetName val="[Spt-BH.xls][Spt-BH_xls]B__3227"/>
      <sheetName val="[Spt-BH.xls][Spt-BH_xls]_S_1064"/>
      <sheetName val="[Spt-BH.xls][Spt-BH_xls]B__3228"/>
      <sheetName val="[Spt-BH.xls][Spt-BH_xls]B__3229"/>
      <sheetName val="[Spt-BH.xls][Spt-BH_xls]_S_1065"/>
      <sheetName val="[Spt-BH.xls][Spt-BH.xls]_S_1176"/>
      <sheetName val="[Spt-BH.xls][Spt-BH.xls]B__3341"/>
      <sheetName val="[Spt-BH.xls][Spt-BH.xls]B__3342"/>
      <sheetName val="[Spt-BH.xls][Spt-BH.xls]_S_1180"/>
      <sheetName val="[Spt-BH.xls][Spt-BH.xls]B__3343"/>
      <sheetName val="[Spt-BH.xls][Spt-BH.xls]B__3344"/>
      <sheetName val="[Spt-BH.xls]B____x005f_x0004______271"/>
      <sheetName val="[Spt-BH.xls][Spt-BH.xls]B__3334"/>
      <sheetName val="[Spt-BH.xls]B___x005f_x0000__x000_266"/>
      <sheetName val="[Spt-BH.xls][Spt-BH.xls]B__3345"/>
      <sheetName val="[Spt-BH.xls][Spt-BH.xls]B__3335"/>
      <sheetName val="[Spt-BH.xls][Spt-BH.xls]_S_1178"/>
      <sheetName val="[Spt-BH.xls][Spt-BH.xls]B__3336"/>
      <sheetName val="[Spt-BH.xls][Spt-BH.xls]B__3337"/>
      <sheetName val="[Spt-BH.xls][Spt-BH.xls]B__3346"/>
      <sheetName val="[Spt-BH.xls][Spt-BH.xls]_S_1179"/>
      <sheetName val="[Spt-BH.xls][Spt-BH_xls]B__3170"/>
      <sheetName val="[Spt-BH.xls][Spt-BH_xls]B__3171"/>
      <sheetName val="[Spt-BH.xls][Spt-BH_xls]B__3172"/>
      <sheetName val="[Spt-BH.xls][Spt-BH_xls]B__3173"/>
      <sheetName val="[Spt-BH.xls][Spt-BH_xls]_S_1046"/>
      <sheetName val="[Spt-BH.xls][Spt-BH_xls]B__3174"/>
      <sheetName val="[Spt-BH.xls][Spt-BH_xls]B__3175"/>
      <sheetName val="[Spt-BH.xls][Spt-BH_xls]B__3176"/>
      <sheetName val="[Spt-BH.xls][Spt-BH_xls]_S_1047"/>
      <sheetName val="[Spt-BH.xls][Spt-BH_xls]B__3177"/>
      <sheetName val="[Spt-BH.xls][Spt-BH_xls]B__3178"/>
      <sheetName val="[Spt-BH.xls][Spt-BH_xls]B__3179"/>
      <sheetName val="[Spt-BH.xls][Spt-BH_xls]B__3180"/>
      <sheetName val="[Spt-BH.xls][Spt-BH_xls]_S_1048"/>
      <sheetName val="[Spt-BH.xls][Spt-BH.xls]B__3338"/>
      <sheetName val="[Spt-BH.xls][Spt-BH.xls]B__3339"/>
      <sheetName val="[Spt-BH.xls][Spt-BH.xls]B__3340"/>
      <sheetName val="[Spt-BH.xls][Spt-BH.xls]_S_1177"/>
      <sheetName val="[Spt-BH.xls][Spt-BH_xls]B__3181"/>
      <sheetName val="[Spt-BH.xls][Spt-BH_xls]B__3182"/>
      <sheetName val="[Spt-BH.xls][Spt-BH_xls]_S_1049"/>
      <sheetName val="[Spt-BH.xls][Spt-BH_xls]B__3183"/>
      <sheetName val="[Spt-BH.xls][Spt-BH_xls]B__3184"/>
      <sheetName val="[Spt-BH.xls][Spt-BH_xls]_S_1050"/>
      <sheetName val="[Spt-BH.xls][Spt-BH.xls]_S_1171"/>
      <sheetName val="[Spt-BH.xls][Spt-BH.xls]B__3303"/>
      <sheetName val="[Spt-BH.xls][Spt-BH.xls]B__3304"/>
      <sheetName val="[Spt-BH.xls][Spt-BH.xls]_S_1167"/>
      <sheetName val="[Spt-BH.xls][Spt-BH.xls]B__3305"/>
      <sheetName val="[Spt-BH.xls][Spt-BH.xls]B__3306"/>
      <sheetName val="[Spt-BH.xls]B____x005f_x0004______266"/>
      <sheetName val="[Spt-BH.xls][Spt-BH.xls]B__3307"/>
      <sheetName val="[Spt-BH.xls][Spt-BH.xls]B__3308"/>
      <sheetName val="[Spt-BH.xls][Spt-BH.xls]B__3310"/>
      <sheetName val="[Spt-BH.xls][Spt-BH.xls]B__3311"/>
      <sheetName val="[Spt-BH.xls][Spt-BH.xls]B__3312"/>
      <sheetName val="[Spt-BH.xls][Spt-BH.xls]B__3313"/>
      <sheetName val="[Spt-BH.xls]B____x005f_x0004______270"/>
      <sheetName val="[Spt-BH.xls]B___x005f_x0000__x000_265"/>
      <sheetName val="[Spt-BH.xls][Spt-BH.xls]B__3314"/>
      <sheetName val="[Spt-BH.xls][Spt-BH.xls]B__3315"/>
      <sheetName val="[Spt-BH.xls][Spt-BH.xls]B__3309"/>
      <sheetName val="[Spt-BH.xls][Spt-BH.xls]_S_1168"/>
      <sheetName val="[Spt-BH.xls]B____x005f_x0004______267"/>
      <sheetName val="[Spt-BH.xls]B___x005f_x0000__x000_262"/>
      <sheetName val="[Spt-BH.xls]B____x005f_x0004______268"/>
      <sheetName val="[Spt-BH.xls]B___x005f_x0000__x000_263"/>
      <sheetName val="[Spt-BH.xls][Spt-BH.xls]B__3296"/>
      <sheetName val="[Spt-BH.xls][Spt-BH.xls]B__3297"/>
      <sheetName val="[Spt-BH.xls][Spt-BH.xls]B__3298"/>
      <sheetName val="[Spt-BH.xls][Spt-BH.xls]B__3299"/>
      <sheetName val="[Spt-BH.xls][Spt-BH.xls]B__3300"/>
      <sheetName val="[Spt-BH.xls][Spt-BH.xls]B__3301"/>
      <sheetName val="[Spt-BH.xls]B____x005f_x0004______269"/>
      <sheetName val="[Spt-BH.xls]B___x005f_x0000__x000_264"/>
      <sheetName val="[Spt-BH.xls][Spt-BH.xls]B__3302"/>
      <sheetName val="[Spt-BH.xls][Spt-BH.xls]B__3322"/>
      <sheetName val="[Spt-BH.xls][Spt-BH.xls]B__3323"/>
      <sheetName val="[Spt-BH.xls][Spt-BH.xls]_S_1173"/>
      <sheetName val="[Spt-BH.xls][Spt-BH.xls]B__3324"/>
      <sheetName val="[Spt-BH.xls][Spt-BH.xls]B__3325"/>
      <sheetName val="[Spt-BH.xls][Spt-BH.xls]B__3326"/>
      <sheetName val="[Spt-BH.xls][Spt-BH.xls]B__3327"/>
      <sheetName val="[Spt-BH.xls][Spt-BH.xls]_S_1172"/>
      <sheetName val="[Spt-BH.xls][Spt-BH.xls]_S_1169"/>
      <sheetName val="[Spt-BH.xls][Spt-BH.xls]B__3316"/>
      <sheetName val="[Spt-BH.xls][Spt-BH.xls]B__3317"/>
      <sheetName val="[Spt-BH.xls][Spt-BH.xls]B__3318"/>
      <sheetName val="[Spt-BH.xls][Spt-BH.xls]B__3319"/>
      <sheetName val="[Spt-BH.xls][Spt-BH.xls]B__3320"/>
      <sheetName val="[Spt-BH.xls][Spt-BH.xls]B__3321"/>
      <sheetName val="[Spt-BH.xls][Spt-BH.xls]_S_1170"/>
      <sheetName val="[Spt-BH.xls][Spt-BH.xls]B__3328"/>
      <sheetName val="[Spt-BH.xls][Spt-BH.xls]B__3329"/>
      <sheetName val="[Spt-BH.xls][Spt-BH.xls]_S_1175"/>
      <sheetName val="[Spt-BH.xls][Spt-BH.xls]B__3330"/>
      <sheetName val="[Spt-BH.xls][Spt-BH.xls]B__3331"/>
      <sheetName val="[Spt-BH.xls][Spt-BH.xls]B__3332"/>
      <sheetName val="[Spt-BH.xls][Spt-BH.xls]B__3333"/>
      <sheetName val="[Spt-BH.xls][Spt-BH.xls]_S_1174"/>
      <sheetName val="[Spt-BH.xls][Spt-BH_xls]B__3185"/>
      <sheetName val="[Spt-BH.xls][Spt-BH_xls]B__3186"/>
      <sheetName val="[Spt-BH.xls][Spt-BH_xls]B__3187"/>
      <sheetName val="[Spt-BH.xls][Spt-BH_xls]B__3188"/>
      <sheetName val="[Spt-BH.xls][Spt-BH_xls]_S_1051"/>
      <sheetName val="[Spt-BH.xls][Spt-BH_xls]B__3189"/>
      <sheetName val="[Spt-BH.xls][Spt-BH_xls]B__3190"/>
      <sheetName val="[Spt-BH.xls][Spt-BH_xls]B__3191"/>
      <sheetName val="[Spt-BH.xls][Spt-BH_xls]_S_1052"/>
      <sheetName val="[Spt-BH.xls][Spt-BH_xls]B__3192"/>
      <sheetName val="[Spt-BH.xls][Spt-BH_xls]B__3193"/>
      <sheetName val="[Spt-BH.xls][Spt-BH_xls]B__3194"/>
      <sheetName val="[Spt-BH.xls][Spt-BH_xls]B__3195"/>
      <sheetName val="[Spt-BH.xls][Spt-BH_xls]_S_1053"/>
      <sheetName val="[Spt-BH.xls][Spt-BH_xls]B__3196"/>
      <sheetName val="[Spt-BH.xls][Spt-BH_xls]B__3197"/>
      <sheetName val="[Spt-BH.xls][Spt-BH_xls]_S_1054"/>
      <sheetName val="[Spt-BH.xls][Spt-BH_xls]B__3198"/>
      <sheetName val="[Spt-BH.xls][Spt-BH_xls]B__3199"/>
      <sheetName val="[Spt-BH.xls][Spt-BH_xls]_S_1055"/>
      <sheetName val="[Spt-BH.xls][Spt-BH.xls]_S_1181"/>
      <sheetName val="[Spt-BH.xls][Spt-BH.xls]B__3347"/>
      <sheetName val="[Spt-BH.xls][Spt-BH.xls]B__3348"/>
      <sheetName val="[Spt-BH.xls][Spt-BH.xls]B__3349"/>
      <sheetName val="[Spt-BH.xls][Spt-BH.xls]B__3350"/>
      <sheetName val="[Spt-BH.xls][Spt-BH.xls]B__3351"/>
      <sheetName val="[Spt-BH.xls][Spt-BH.xls]B__3352"/>
      <sheetName val="[Spt-BH.xls][Spt-BH.xls]_S_1182"/>
      <sheetName val="[Spt-BH.xls]B____x005f_x0004______272"/>
      <sheetName val="[Spt-BH.xls]B___x005f_x0000__x000_267"/>
      <sheetName val="[Spt-BH.xls][Spt-BH.xls]B__3353"/>
      <sheetName val="[Spt-BH.xls][Spt-BH_xls]B__3200"/>
      <sheetName val="[Spt-BH.xls][Spt-BH_xls]B__3201"/>
      <sheetName val="[Spt-BH.xls][Spt-BH_xls]B__3202"/>
      <sheetName val="[Spt-BH.xls][Spt-BH_xls]B__3203"/>
      <sheetName val="[Spt-BH.xls][Spt-BH_xls]_S_1056"/>
      <sheetName val="[Spt-BH.xls][Spt-BH_xls]B__3204"/>
      <sheetName val="[Spt-BH.xls][Spt-BH_xls]B__3205"/>
      <sheetName val="[Spt-BH.xls][Spt-BH_xls]B__3206"/>
      <sheetName val="[Spt-BH.xls][Spt-BH_xls]_S_1057"/>
      <sheetName val="[Spt-BH.xls][Spt-BH_xls]B__3207"/>
      <sheetName val="[Spt-BH.xls][Spt-BH_xls]B__3208"/>
      <sheetName val="[Spt-BH.xls][Spt-BH_xls]B__3209"/>
      <sheetName val="[Spt-BH.xls][Spt-BH_xls]B__3210"/>
      <sheetName val="[Spt-BH.xls][Spt-BH_xls]_S_1058"/>
      <sheetName val="[Spt-BH.xls][Spt-BH_xls]B__3211"/>
      <sheetName val="[Spt-BH.xls][Spt-BH_xls]B__3212"/>
      <sheetName val="[Spt-BH.xls][Spt-BH_xls]_S_1059"/>
      <sheetName val="[Spt-BH.xls][Spt-BH_xls]B__3213"/>
      <sheetName val="[Spt-BH.xls][Spt-BH_xls]B__3214"/>
      <sheetName val="[Spt-BH.xls][Spt-BH_xls]_S_1060"/>
      <sheetName val="[Spt-BH.xls][Spt-BH.xls]_S_1185"/>
      <sheetName val="[Spt-BH.xls][Spt-BH.xls]B__3361"/>
      <sheetName val="[Spt-BH.xls][Spt-BH.xls]B__3362"/>
      <sheetName val="[Spt-BH.xls][Spt-BH.xls]B__3363"/>
      <sheetName val="[Spt-BH.xls][Spt-BH.xls]B__3364"/>
      <sheetName val="[Spt-BH.xls][Spt-BH.xls]B__3365"/>
      <sheetName val="[Spt-BH.xls][Spt-BH.xls]B__3366"/>
      <sheetName val="[Spt-BH.xls][Spt-BH.xls]_S_1186"/>
      <sheetName val="[Spt-BH.xls][Spt-BH.xls]B__3373"/>
      <sheetName val="[Spt-BH.xls][Spt-BH.xls]B__3374"/>
      <sheetName val="[Spt-BH.xls][Spt-BH.xls]_S_1191"/>
      <sheetName val="[Spt-BH.xls][Spt-BH.xls]B__3375"/>
      <sheetName val="[Spt-BH.xls][Spt-BH.xls]B__3376"/>
      <sheetName val="[Spt-BH.xls][Spt-BH.xls]B__3377"/>
      <sheetName val="[Spt-BH.xls][Spt-BH.xls]B__3378"/>
      <sheetName val="[Spt-BH.xls][Spt-BH.xls]_S_1190"/>
      <sheetName val="[Spt-BH.xls][Spt-BH.xls]B__3386"/>
      <sheetName val="[Spt-BH.xls][Spt-BH.xls]B__3387"/>
      <sheetName val="[Spt-BH.xls][Spt-BH.xls]_S_1196"/>
      <sheetName val="[Spt-BH.xls][Spt-BH.xls]B__3388"/>
      <sheetName val="[Spt-BH.xls][Spt-BH.xls]B__3389"/>
      <sheetName val="[Spt-BH.xls]B____x005f_x0004______274"/>
      <sheetName val="[Spt-BH.xls]B___x005f_x0000__x000_269"/>
      <sheetName val="[Spt-BH.xls][Spt-BH.xls]B__3390"/>
      <sheetName val="[Spt-BH.xls][Spt-BH.xls]B__3391"/>
      <sheetName val="[Spt-BH.xls][Spt-BH.xls]B__3383"/>
      <sheetName val="[Spt-BH.xls][Spt-BH.xls]B__3384"/>
      <sheetName val="[Spt-BH.xls][Spt-BH.xls]B__3385"/>
      <sheetName val="[Spt-BH.xls][Spt-BH.xls]_S_1195"/>
      <sheetName val="[Spt-BH.xls][Spt-BH_xls]B__3230"/>
      <sheetName val="[Spt-BH.xls][Spt-BH_xls]B__3231"/>
      <sheetName val="[Spt-BH.xls][Spt-BH_xls]B__3232"/>
      <sheetName val="[Spt-BH.xls][Spt-BH_xls]B__3233"/>
      <sheetName val="[Spt-BH.xls][Spt-BH_xls]_S_1066"/>
      <sheetName val="[Spt-BH.xls][Spt-BH_xls]B__3234"/>
      <sheetName val="[Spt-BH.xls][Spt-BH_xls]B__3235"/>
      <sheetName val="[Spt-BH.xls][Spt-BH_xls]B__3236"/>
      <sheetName val="[Spt-BH.xls][Spt-BH_xls]_S_1067"/>
      <sheetName val="[Spt-BH.xls][Spt-BH_xls]B__3237"/>
      <sheetName val="[Spt-BH.xls][Spt-BH_xls]B__3238"/>
      <sheetName val="[Spt-BH.xls][Spt-BH_xls]B__3239"/>
      <sheetName val="[Spt-BH.xls][Spt-BH_xls]B__3240"/>
      <sheetName val="[Spt-BH.xls][Spt-BH_xls]_S_1068"/>
      <sheetName val="[Spt-BH.xls][Spt-BH.xls]_S_1193"/>
      <sheetName val="[Spt-BH.xls][Spt-BH_xls]B__3241"/>
      <sheetName val="[Spt-BH.xls][Spt-BH_xls]B__3242"/>
      <sheetName val="[Spt-BH.xls][Spt-BH_xls]_S_1069"/>
      <sheetName val="[Spt-BH.xls][Spt-BH_xls]B__3243"/>
      <sheetName val="[Spt-BH.xls][Spt-BH_xls]B__3244"/>
      <sheetName val="[Spt-BH.xls][Spt-BH_xls]_S_1070"/>
      <sheetName val="[Spt-BH.xls][Spt-BH.xls]B__3412"/>
      <sheetName val="[Spt-BH.xls][Spt-BH.xls]B__3413"/>
      <sheetName val="[Spt-BH.xls][Spt-BH.xls]_S_1207"/>
      <sheetName val="[Spt-BH.xls][Spt-BH.xls]B__3414"/>
      <sheetName val="[Spt-BH.xls][Spt-BH.xls]B__3415"/>
      <sheetName val="[Spt-BH.xls]B____x005f_x0004______275"/>
      <sheetName val="[Spt-BH.xls]B___x005f_x0000__x000_270"/>
      <sheetName val="[Spt-BH.xls][Spt-BH.xls]B__3416"/>
      <sheetName val="[Spt-BH.xls][Spt-BH.xls]B__3392"/>
      <sheetName val="[Spt-BH.xls][Spt-BH.xls]B__3393"/>
      <sheetName val="[Spt-BH.xls][Spt-BH.xls]_S_1202"/>
      <sheetName val="[Spt-BH.xls][Spt-BH.xls]B__3394"/>
      <sheetName val="[Spt-BH.xls][Spt-BH.xls]B__3395"/>
      <sheetName val="[Spt-BH.xls][Spt-BH.xls]B__3417"/>
      <sheetName val="[Spt-BH.xls][Spt-BH.xls]B__3396"/>
      <sheetName val="[Spt-BH.xls][Spt-BH.xls]B__3397"/>
      <sheetName val="[Spt-BH.xls][Spt-BH.xls]B__3398"/>
      <sheetName val="[Spt-BH.xls][Spt-BH.xls]_S_1203"/>
      <sheetName val="[Spt-BH.xls][Spt-BH_xls]B__3245"/>
      <sheetName val="[Spt-BH.xls][Spt-BH_xls]B__3246"/>
      <sheetName val="[Spt-BH.xls][Spt-BH_xls]B__3247"/>
      <sheetName val="[Spt-BH.xls][Spt-BH_xls]B__3248"/>
      <sheetName val="[Spt-BH.xls][Spt-BH_xls]_S_1071"/>
      <sheetName val="[Spt-BH.xls][Spt-BH_xls]B__3249"/>
      <sheetName val="[Spt-BH.xls][Spt-BH_xls]B__3250"/>
      <sheetName val="[Spt-BH.xls][Spt-BH_xls]B__3251"/>
      <sheetName val="[Spt-BH.xls][Spt-BH_xls]_S_1072"/>
      <sheetName val="[Spt-BH.xls][Spt-BH_xls]B__3252"/>
      <sheetName val="[Spt-BH.xls][Spt-BH_xls]B__3253"/>
      <sheetName val="[Spt-BH.xls][Spt-BH_xls]B__3254"/>
      <sheetName val="[Spt-BH.xls][Spt-BH_xls]B__3255"/>
      <sheetName val="[Spt-BH.xls][Spt-BH_xls]_S_1073"/>
      <sheetName val="[Spt-BH.xls][Spt-BH.xls]_S_1197"/>
      <sheetName val="[Spt-BH.xls][Spt-BH_xls]B__3256"/>
      <sheetName val="[Spt-BH.xls][Spt-BH_xls]B__3257"/>
      <sheetName val="[Spt-BH.xls][Spt-BH_xls]_S_1074"/>
      <sheetName val="[Spt-BH.xls][Spt-BH_xls]B__3258"/>
      <sheetName val="[Spt-BH.xls][Spt-BH_xls]B__3259"/>
      <sheetName val="[Spt-BH.xls][Spt-BH_xls]_S_1075"/>
      <sheetName val="[Spt-BH.xls][Spt-BH.xls]B__3405"/>
      <sheetName val="[Spt-BH.xls][Spt-BH.xls]B__3406"/>
      <sheetName val="[Spt-BH.xls][Spt-BH.xls]B__3407"/>
      <sheetName val="[Spt-BH.xls][Spt-BH.xls]B__3408"/>
      <sheetName val="[Spt-BH.xls][Spt-BH.xls]B__3409"/>
      <sheetName val="[Spt-BH.xls][Spt-BH.xls]_S_1200"/>
      <sheetName val="[Spt-BH.xls][Spt-BH.xls]B__3410"/>
      <sheetName val="[Spt-BH.xls][Spt-BH.xls]_S_1201"/>
      <sheetName val="[Spt-BH.xls][Spt-BH.xls]B__3399"/>
      <sheetName val="[Spt-BH.xls][Spt-BH.xls]B__3400"/>
      <sheetName val="[Spt-BH.xls][Spt-BH.xls]B__3401"/>
      <sheetName val="[Spt-BH.xls][Spt-BH.xls]B__3402"/>
      <sheetName val="[Spt-BH.xls][Spt-BH.xls]B__3403"/>
      <sheetName val="[Spt-BH.xls][Spt-BH.xls]_S_1198"/>
      <sheetName val="[Spt-BH.xls][Spt-BH.xls]B__3404"/>
      <sheetName val="[Spt-BH.xls][Spt-BH.xls]_S_1199"/>
      <sheetName val="[Spt-BH.xls]B____x005f_x0004______276"/>
      <sheetName val="[Spt-BH.xls]B___x005f_x0000__x000_271"/>
      <sheetName val="[Spt-BH.xls][Spt-BH.xls]B__3411"/>
      <sheetName val="[Spt-BH.xls][Spt-BH_xls]B__3260"/>
      <sheetName val="[Spt-BH.xls][Spt-BH_xls]B__3261"/>
      <sheetName val="[Spt-BH.xls][Spt-BH_xls]B__3262"/>
      <sheetName val="[Spt-BH.xls][Spt-BH_xls]B__3263"/>
      <sheetName val="[Spt-BH.xls][Spt-BH_xls]_S_1076"/>
      <sheetName val="[Spt-BH.xls][Spt-BH_xls]B__3264"/>
      <sheetName val="[Spt-BH.xls][Spt-BH_xls]B__3265"/>
      <sheetName val="[Spt-BH.xls][Spt-BH_xls]B__3266"/>
      <sheetName val="[Spt-BH.xls][Spt-BH_xls]_S_1077"/>
      <sheetName val="[Spt-BH.xls][Spt-BH_xls]B__3267"/>
      <sheetName val="[Spt-BH.xls][Spt-BH_xls]B__3268"/>
      <sheetName val="[Spt-BH.xls][Spt-BH_xls]B__3269"/>
      <sheetName val="[Spt-BH.xls][Spt-BH_xls]B__3270"/>
      <sheetName val="[Spt-BH.xls][Spt-BH_xls]_S_1078"/>
      <sheetName val="[Spt-BH.xls][Spt-BH_xls]B__3271"/>
      <sheetName val="[Spt-BH.xls][Spt-BH_xls]B__3272"/>
      <sheetName val="[Spt-BH.xls][Spt-BH_xls]_S_1079"/>
      <sheetName val="[Spt-BH.xls][Spt-BH_xls]B__3273"/>
      <sheetName val="[Spt-BH.xls][Spt-BH_xls]B__3274"/>
      <sheetName val="[Spt-BH.xls][Spt-BH_xls]_S_1080"/>
      <sheetName val="[Spt-BH.xls][Spt-BH.xls]B__3424"/>
      <sheetName val="[Spt-BH.xls][Spt-BH.xls]B__3425"/>
      <sheetName val="[Spt-BH.xls][Spt-BH.xls]_S_1211"/>
      <sheetName val="[Spt-BH.xls][Spt-BH.xls]B__3426"/>
      <sheetName val="[Spt-BH.xls][Spt-BH.xls]B__3427"/>
      <sheetName val="[Spt-BH.xls]B____x005f_x0004______277"/>
      <sheetName val="[Spt-BH.xls]B___x005f_x0000__x000_272"/>
      <sheetName val="[Spt-BH.xls][Spt-BH.xls]B__3428"/>
      <sheetName val="[Spt-BH.xls][Spt-BH.xls]B__3429"/>
      <sheetName val="[Spt-BH.xls][Spt-BH.xls]B__3418"/>
      <sheetName val="[Spt-BH.xls][Spt-BH.xls]_S_1208"/>
      <sheetName val="[Spt-BH.xls][Spt-BH_xls]B__3275"/>
      <sheetName val="[Spt-BH.xls][Spt-BH_xls]B__3276"/>
      <sheetName val="[Spt-BH.xls][Spt-BH_xls]B__3277"/>
      <sheetName val="[Spt-BH.xls][Spt-BH_xls]B__3278"/>
      <sheetName val="[Spt-BH.xls][Spt-BH_xls]_S_1081"/>
      <sheetName val="[Spt-BH.xls][Spt-BH_xls]B__3279"/>
      <sheetName val="[Spt-BH.xls][Spt-BH_xls]B__3280"/>
      <sheetName val="[Spt-BH.xls][Spt-BH_xls]B__3281"/>
      <sheetName val="[Spt-BH.xls][Spt-BH_xls]_S_1082"/>
      <sheetName val="[Spt-BH.xls][Spt-BH_xls]B__3282"/>
      <sheetName val="[Spt-BH.xls][Spt-BH_xls]B__3283"/>
      <sheetName val="[Spt-BH.xls][Spt-BH_xls]B__3284"/>
      <sheetName val="[Spt-BH.xls][Spt-BH_xls]B__3285"/>
      <sheetName val="[Spt-BH.xls][Spt-BH_xls]_S_1083"/>
      <sheetName val="[Spt-BH.xls][Spt-BH_xls]B__3286"/>
      <sheetName val="[Spt-BH.xls][Spt-BH_xls]B__3287"/>
      <sheetName val="[Spt-BH.xls][Spt-BH_xls]_S_1084"/>
      <sheetName val="[Spt-BH.xls][Spt-BH_xls]B__3288"/>
      <sheetName val="[Spt-BH.xls][Spt-BH_xls]B__3289"/>
      <sheetName val="[Spt-BH.xls][Spt-BH_xls]_S_1085"/>
      <sheetName val="[Spt-BH.xls][Spt-BH.xls]B__3437"/>
      <sheetName val="[Spt-BH.xls][Spt-BH.xls]B__3438"/>
      <sheetName val="[Spt-BH.xls][Spt-BH.xls]_S_1215"/>
      <sheetName val="[Spt-BH.xls][Spt-BH.xls]B__3439"/>
      <sheetName val="[Spt-BH.xls][Spt-BH.xls]B__3440"/>
      <sheetName val="[Spt-BH.xls]B____x005f_x0004______278"/>
      <sheetName val="[Spt-BH.xls]B___x005f_x0000__x000_273"/>
      <sheetName val="[Spt-BH.xls][Spt-BH.xls]B__3441"/>
      <sheetName val="[Spt-BH.xls][Spt-BH.xls]B__3442"/>
      <sheetName val="[Spt-BH.xls][Spt-BH.xls]B__3430"/>
      <sheetName val="[Spt-BH.xls][Spt-BH.xls]_S_1212"/>
      <sheetName val="[Spt-BH.xls][Spt-BH_xls]B__3290"/>
      <sheetName val="[Spt-BH.xls][Spt-BH_xls]B__3291"/>
      <sheetName val="[Spt-BH.xls][Spt-BH_xls]B__3292"/>
      <sheetName val="[Spt-BH.xls][Spt-BH_xls]B__3293"/>
      <sheetName val="[Spt-BH.xls][Spt-BH_xls]_S_1086"/>
      <sheetName val="[Spt-BH.xls][Spt-BH_xls]B__3294"/>
      <sheetName val="[Spt-BH.xls][Spt-BH_xls]B__3295"/>
      <sheetName val="[Spt-BH.xls][Spt-BH_xls]B__3296"/>
      <sheetName val="[Spt-BH.xls][Spt-BH_xls]_S_1087"/>
      <sheetName val="[Spt-BH.xls][Spt-BH_xls]B__3297"/>
      <sheetName val="[Spt-BH.xls][Spt-BH_xls]B__3298"/>
      <sheetName val="[Spt-BH.xls][Spt-BH_xls]B__3299"/>
      <sheetName val="[Spt-BH.xls][Spt-BH_xls]B__3300"/>
      <sheetName val="[Spt-BH.xls][Spt-BH_xls]_S_1088"/>
      <sheetName val="[Spt-BH.xls][Spt-BH_xls]B__3301"/>
      <sheetName val="[Spt-BH.xls][Spt-BH_xls]B__3302"/>
      <sheetName val="[Spt-BH.xls][Spt-BH_xls]_S_1089"/>
      <sheetName val="[Spt-BH.xls][Spt-BH_xls]B__3303"/>
      <sheetName val="[Spt-BH.xls][Spt-BH_xls]B__3304"/>
      <sheetName val="[Spt-BH.xls][Spt-BH_xls]_S_1090"/>
      <sheetName val="[Spt-BH.xls][Spt-BH.xls]_S_1204"/>
      <sheetName val="[Spt-BH.xls][Spt-BH.xls]B__3419"/>
      <sheetName val="[Spt-BH.xls][Spt-BH.xls]_S_1206"/>
      <sheetName val="[Spt-BH.xls][Spt-BH.xls]B__3420"/>
      <sheetName val="[Spt-BH.xls][Spt-BH.xls]B__3421"/>
      <sheetName val="[Spt-BH.xls][Spt-BH.xls]B__3422"/>
      <sheetName val="[Spt-BH.xls][Spt-BH.xls]B__3423"/>
      <sheetName val="[Spt-BH.xls][Spt-BH.xls]_S_1205"/>
      <sheetName val="[Spt-BH.xls][Spt-BH.xls]_S_1209"/>
      <sheetName val="[Spt-BH.xls][Spt-BH.xls]B__3431"/>
      <sheetName val="[Spt-BH.xls][Spt-BH.xls]B__3432"/>
      <sheetName val="[Spt-BH.xls][Spt-BH.xls]B__3433"/>
      <sheetName val="[Spt-BH.xls][Spt-BH.xls]B__3434"/>
      <sheetName val="[Spt-BH.xls][Spt-BH.xls]B__3435"/>
      <sheetName val="[Spt-BH.xls][Spt-BH.xls]B__3436"/>
      <sheetName val="[Spt-BH.xls][Spt-BH.xls]_S_1210"/>
      <sheetName val="[Spt-BH.xls][Spt-BH.xls]_S_1213"/>
      <sheetName val="[Spt-BH.xls][Spt-BH.xls]_S_1214"/>
      <sheetName val="[Spt-BH.xls][Spt-BH.xls]_S_1219"/>
      <sheetName val="[Spt-BH.xls][Spt-BH.xls]B__3465"/>
      <sheetName val="[Spt-BH.xls][Spt-BH.xls]B__3466"/>
      <sheetName val="[Spt-BH.xls][Spt-BH.xls]_S_1221"/>
      <sheetName val="[Spt-BH.xls][Spt-BH.xls]B__3467"/>
      <sheetName val="[Spt-BH.xls][Spt-BH.xls]B__3468"/>
      <sheetName val="[Spt-BH.xls][Spt-BH.xls]B__3469"/>
      <sheetName val="[Spt-BH.xls][Spt-BH.xls]B__3470"/>
      <sheetName val="[Spt-BH.xls][Spt-BH.xls]_S_1220"/>
      <sheetName val="[Spt-BH.xls][Spt-BH.xls]B__3472"/>
      <sheetName val="[Spt-BH.xls][Spt-BH.xls]B__3473"/>
      <sheetName val="[Spt-BH.xls][Spt-BH.xls]_S_1223"/>
      <sheetName val="[Spt-BH.xls][Spt-BH.xls]B__3474"/>
      <sheetName val="[Spt-BH.xls][Spt-BH.xls]B__3475"/>
      <sheetName val="[Spt-BH.xls]B____x005f_x0004______283"/>
      <sheetName val="[Spt-BH.xls]B___x005f_x0000__x000_278"/>
      <sheetName val="[Spt-BH.xls][Spt-BH.xls]B__3476"/>
      <sheetName val="[Spt-BH.xls][Spt-BH.xls]B__3477"/>
      <sheetName val="[Spt-BH.xls][Spt-BH.xls]B__3471"/>
      <sheetName val="[Spt-BH.xls][Spt-BH.xls]_S_1222"/>
      <sheetName val="[Spt-BH.xls][Spt-BH_xls]B__3365"/>
      <sheetName val="[Spt-BH.xls][Spt-BH_xls]B__3366"/>
      <sheetName val="[Spt-BH.xls][Spt-BH_xls]B__3367"/>
      <sheetName val="[Spt-BH.xls][Spt-BH_xls]B__3368"/>
      <sheetName val="[Spt-BH.xls][Spt-BH_xls]_S_1111"/>
      <sheetName val="[Spt-BH.xls][Spt-BH_xls]B__3369"/>
      <sheetName val="[Spt-BH.xls][Spt-BH_xls]B__3370"/>
      <sheetName val="[Spt-BH.xls][Spt-BH_xls]B__3371"/>
      <sheetName val="[Spt-BH.xls][Spt-BH_xls]_S_1112"/>
      <sheetName val="[Spt-BH.xls][Spt-BH_xls]B__3372"/>
      <sheetName val="[Spt-BH.xls][Spt-BH_xls]B__3373"/>
      <sheetName val="[Spt-BH.xls][Spt-BH_xls]B__3374"/>
      <sheetName val="[Spt-BH.xls][Spt-BH_xls]B__3375"/>
      <sheetName val="[Spt-BH.xls][Spt-BH_xls]_S_1113"/>
      <sheetName val="[Spt-BH.xls][Spt-BH_xls]B__3376"/>
      <sheetName val="[Spt-BH.xls][Spt-BH_xls]B__3377"/>
      <sheetName val="[Spt-BH.xls][Spt-BH_xls]_S_1114"/>
      <sheetName val="[Spt-BH.xls][Spt-BH_xls]B__3378"/>
      <sheetName val="[Spt-BH.xls][Spt-BH_xls]B__3379"/>
      <sheetName val="[Spt-BH.xls][Spt-BH_xls]_S_1115"/>
      <sheetName val="[Spt-BH.xls]B____x005f_x0004______279"/>
      <sheetName val="[Spt-BH.xls]B___x005f_x0000__x000_274"/>
      <sheetName val="[Spt-BH.xls][Spt-BH.xls]B__3443"/>
      <sheetName val="[Spt-BH.xls][Spt-BH_xls]B__3305"/>
      <sheetName val="[Spt-BH.xls][Spt-BH_xls]B__3306"/>
      <sheetName val="[Spt-BH.xls][Spt-BH_xls]B__3307"/>
      <sheetName val="[Spt-BH.xls][Spt-BH_xls]B__3308"/>
      <sheetName val="[Spt-BH.xls][Spt-BH_xls]_S_1091"/>
      <sheetName val="[Spt-BH.xls][Spt-BH_xls]B__3309"/>
      <sheetName val="[Spt-BH.xls][Spt-BH_xls]B__3310"/>
      <sheetName val="[Spt-BH.xls][Spt-BH_xls]B__3311"/>
      <sheetName val="[Spt-BH.xls][Spt-BH_xls]_S_1092"/>
      <sheetName val="[Spt-BH.xls][Spt-BH_xls]B__3312"/>
      <sheetName val="[Spt-BH.xls][Spt-BH_xls]B__3313"/>
      <sheetName val="[Spt-BH.xls][Spt-BH_xls]B__3314"/>
      <sheetName val="[Spt-BH.xls][Spt-BH_xls]B__3315"/>
      <sheetName val="[Spt-BH.xls][Spt-BH_xls]_S_1093"/>
      <sheetName val="[Spt-BH.xls][Spt-BH_xls]B__3316"/>
      <sheetName val="[Spt-BH.xls][Spt-BH_xls]B__3317"/>
      <sheetName val="[Spt-BH.xls][Spt-BH_xls]_S_1094"/>
      <sheetName val="[Spt-BH.xls][Spt-BH_xls]B__3318"/>
      <sheetName val="[Spt-BH.xls][Spt-BH_xls]B__3319"/>
      <sheetName val="[Spt-BH.xls][Spt-BH_xls]_S_1095"/>
      <sheetName val="[Spt-BH.xls][Spt-BH.xls]B__3444"/>
      <sheetName val="[Spt-BH.xls][Spt-BH.xls]B__3445"/>
      <sheetName val="[Spt-BH.xls][Spt-BH.xls]B__3446"/>
      <sheetName val="[Spt-BH.xls][Spt-BH.xls]B__3447"/>
      <sheetName val="[Spt-BH.xls][Spt-BH.xls]B__3448"/>
      <sheetName val="[Spt-BH.xls][Spt-BH.xls]B__3449"/>
      <sheetName val="[Spt-BH.xls]B____x005f_x0004______280"/>
      <sheetName val="[Spt-BH.xls]B___x005f_x0000__x000_275"/>
      <sheetName val="[Spt-BH.xls][Spt-BH.xls]B__3450"/>
      <sheetName val="[Spt-BH.xls][Spt-BH_xls]B__3320"/>
      <sheetName val="[Spt-BH.xls][Spt-BH_xls]B__3321"/>
      <sheetName val="[Spt-BH.xls][Spt-BH_xls]B__3322"/>
      <sheetName val="[Spt-BH.xls][Spt-BH_xls]B__3323"/>
      <sheetName val="[Spt-BH.xls][Spt-BH_xls]_S_1096"/>
      <sheetName val="[Spt-BH.xls][Spt-BH_xls]B__3324"/>
      <sheetName val="[Spt-BH.xls][Spt-BH_xls]B__3325"/>
      <sheetName val="[Spt-BH.xls][Spt-BH_xls]B__3326"/>
      <sheetName val="[Spt-BH.xls][Spt-BH_xls]_S_1097"/>
      <sheetName val="[Spt-BH.xls][Spt-BH_xls]B__3327"/>
      <sheetName val="[Spt-BH.xls][Spt-BH_xls]B__3328"/>
      <sheetName val="[Spt-BH.xls][Spt-BH_xls]B__3329"/>
      <sheetName val="[Spt-BH.xls][Spt-BH_xls]B__3330"/>
      <sheetName val="[Spt-BH.xls][Spt-BH_xls]_S_1098"/>
      <sheetName val="[Spt-BH.xls][Spt-BH_xls]B__3331"/>
      <sheetName val="[Spt-BH.xls][Spt-BH_xls]B__3332"/>
      <sheetName val="[Spt-BH.xls][Spt-BH_xls]_S_1099"/>
      <sheetName val="[Spt-BH.xls][Spt-BH_xls]B__3333"/>
      <sheetName val="[Spt-BH.xls][Spt-BH_xls]B__3334"/>
      <sheetName val="[Spt-BH.xls][Spt-BH_xls]_S_1100"/>
      <sheetName val="[Spt-BH.xls][Spt-BH.xls]B__3451"/>
      <sheetName val="[Spt-BH.xls][Spt-BH.xls]B__3452"/>
      <sheetName val="[Spt-BH.xls][Spt-BH.xls]B__3453"/>
      <sheetName val="[Spt-BH.xls][Spt-BH.xls]B__3454"/>
      <sheetName val="[Spt-BH.xls][Spt-BH.xls]B__3455"/>
      <sheetName val="[Spt-BH.xls][Spt-BH.xls]B__3456"/>
      <sheetName val="[Spt-BH.xls][Spt-BH.xls]_S_1216"/>
      <sheetName val="[Spt-BH.xls]B____x005f_x0004______281"/>
      <sheetName val="[Spt-BH.xls]B___x005f_x0000__x000_276"/>
      <sheetName val="[Spt-BH.xls][Spt-BH.xls]B__3457"/>
      <sheetName val="[Spt-BH.xls][Spt-BH_xls]B__3335"/>
      <sheetName val="[Spt-BH.xls][Spt-BH_xls]B__3336"/>
      <sheetName val="[Spt-BH.xls][Spt-BH_xls]B__3337"/>
      <sheetName val="[Spt-BH.xls][Spt-BH_xls]B__3338"/>
      <sheetName val="[Spt-BH.xls][Spt-BH_xls]_S_1101"/>
      <sheetName val="[Spt-BH.xls][Spt-BH_xls]B__3339"/>
      <sheetName val="[Spt-BH.xls][Spt-BH_xls]B__3340"/>
      <sheetName val="[Spt-BH.xls][Spt-BH_xls]B__3341"/>
      <sheetName val="[Spt-BH.xls][Spt-BH_xls]_S_1102"/>
      <sheetName val="[Spt-BH.xls][Spt-BH_xls]B__3342"/>
      <sheetName val="[Spt-BH.xls][Spt-BH_xls]B__3343"/>
      <sheetName val="[Spt-BH.xls][Spt-BH_xls]B__3344"/>
      <sheetName val="[Spt-BH.xls][Spt-BH_xls]B__3345"/>
      <sheetName val="[Spt-BH.xls][Spt-BH_xls]_S_1103"/>
      <sheetName val="[Spt-BH.xls][Spt-BH_xls]B__3346"/>
      <sheetName val="[Spt-BH.xls][Spt-BH_xls]B__3347"/>
      <sheetName val="[Spt-BH.xls][Spt-BH_xls]_S_1104"/>
      <sheetName val="[Spt-BH.xls][Spt-BH_xls]B__3348"/>
      <sheetName val="[Spt-BH.xls][Spt-BH_xls]B__3349"/>
      <sheetName val="[Spt-BH.xls][Spt-BH_xls]_S_1105"/>
      <sheetName val="[Spt-BH.xls][Spt-BH.xls]_S_1217"/>
      <sheetName val="[Spt-BH.xls][Spt-BH.xls]B__3458"/>
      <sheetName val="[Spt-BH.xls][Spt-BH.xls]B__3459"/>
      <sheetName val="[Spt-BH.xls][Spt-BH.xls]B__3460"/>
      <sheetName val="[Spt-BH.xls][Spt-BH.xls]B__3461"/>
      <sheetName val="[Spt-BH.xls][Spt-BH.xls]B__3462"/>
      <sheetName val="[Spt-BH.xls][Spt-BH.xls]B__3463"/>
      <sheetName val="[Spt-BH.xls][Spt-BH.xls]_S_1218"/>
      <sheetName val="[Spt-BH.xls]B____x005f_x0004______282"/>
      <sheetName val="[Spt-BH.xls]B___x005f_x0000__x000_277"/>
      <sheetName val="[Spt-BH.xls][Spt-BH.xls]B__3464"/>
      <sheetName val="[Spt-BH.xls][Spt-BH_xls]B__3350"/>
      <sheetName val="[Spt-BH.xls][Spt-BH_xls]B__3351"/>
      <sheetName val="[Spt-BH.xls][Spt-BH_xls]B__3352"/>
      <sheetName val="[Spt-BH.xls][Spt-BH_xls]B__3353"/>
      <sheetName val="[Spt-BH.xls][Spt-BH_xls]_S_1106"/>
      <sheetName val="[Spt-BH.xls][Spt-BH_xls]B__3354"/>
      <sheetName val="[Spt-BH.xls][Spt-BH_xls]B__3355"/>
      <sheetName val="[Spt-BH.xls][Spt-BH_xls]B__3356"/>
      <sheetName val="[Spt-BH.xls][Spt-BH_xls]_S_1107"/>
      <sheetName val="[Spt-BH.xls][Spt-BH_xls]B__3357"/>
      <sheetName val="[Spt-BH.xls][Spt-BH_xls]B__3358"/>
      <sheetName val="[Spt-BH.xls][Spt-BH_xls]B__3359"/>
      <sheetName val="[Spt-BH.xls][Spt-BH_xls]B__3360"/>
      <sheetName val="[Spt-BH.xls][Spt-BH_xls]_S_1108"/>
      <sheetName val="[Spt-BH.xls][Spt-BH_xls]B__3361"/>
      <sheetName val="[Spt-BH.xls][Spt-BH_xls]B__3362"/>
      <sheetName val="[Spt-BH.xls][Spt-BH_xls]_S_1109"/>
      <sheetName val="[Spt-BH.xls][Spt-BH_xls]B__3363"/>
      <sheetName val="[Spt-BH.xls][Spt-BH_xls]B__3364"/>
      <sheetName val="[Spt-BH.xls][Spt-BH_xls]_S_1110"/>
      <sheetName val="[Spt-BH.xls][Spt-BH.xls]B__3478"/>
      <sheetName val="[Spt-BH.xls][Spt-BH.xls]B__3479"/>
      <sheetName val="[Spt-BH.xls][Spt-BH.xls]_S_1225"/>
      <sheetName val="[Spt-BH.xls][Spt-BH.xls]B__3480"/>
      <sheetName val="[Spt-BH.xls][Spt-BH.xls]B__3481"/>
      <sheetName val="[Spt-BH.xls][Spt-BH.xls]B__3482"/>
      <sheetName val="[Spt-BH.xls][Spt-BH.xls]B__3483"/>
      <sheetName val="[Spt-BH.xls][Spt-BH.xls]_S_1224"/>
      <sheetName val="[Spt-BH.xls][Spt-BH.xls]_S_1226"/>
      <sheetName val="[Spt-BH.xls][Spt-BH.xls]B__3512"/>
      <sheetName val="[Spt-BH.xls][Spt-BH.xls]B__3513"/>
      <sheetName val="[Spt-BH.xls][Spt-BH.xls]_S_1237"/>
      <sheetName val="[Spt-BH.xls][Spt-BH.xls]B__3514"/>
      <sheetName val="[Spt-BH.xls][Spt-BH.xls]B__3515"/>
      <sheetName val="[Spt-BH.xls]B____x005f_x0004______287"/>
      <sheetName val="[Spt-BH.xls]B___x005f_x0000__x000_282"/>
      <sheetName val="[Spt-BH.xls][Spt-BH.xls]B__3516"/>
      <sheetName val="[Spt-BH.xls][Spt-BH.xls]B__3505"/>
      <sheetName val="[Spt-BH.xls][Spt-BH.xls]B__3506"/>
      <sheetName val="[Spt-BH.xls][Spt-BH.xls]_S_1235"/>
      <sheetName val="[Spt-BH.xls][Spt-BH.xls]B__3507"/>
      <sheetName val="[Spt-BH.xls][Spt-BH.xls]B__3508"/>
      <sheetName val="[Spt-BH.xls][Spt-BH.xls]B__3517"/>
      <sheetName val="[Spt-BH.xls][Spt-BH.xls]_S_1233"/>
      <sheetName val="[Spt-BH.xls][Spt-BH.xls]B__3509"/>
      <sheetName val="[Spt-BH.xls][Spt-BH.xls]B__3510"/>
      <sheetName val="[Spt-BH.xls][Spt-BH.xls]B__3511"/>
      <sheetName val="[Spt-BH.xls][Spt-BH.xls]_S_1236"/>
      <sheetName val="[Spt-BH.xls][Spt-BH_xls]B__3425"/>
      <sheetName val="[Spt-BH.xls][Spt-BH_xls]B__3426"/>
      <sheetName val="[Spt-BH.xls][Spt-BH_xls]B__3427"/>
      <sheetName val="[Spt-BH.xls][Spt-BH_xls]B__3428"/>
      <sheetName val="[Spt-BH.xls][Spt-BH_xls]_S_1131"/>
      <sheetName val="[Spt-BH.xls][Spt-BH_xls]B__3429"/>
      <sheetName val="[Spt-BH.xls][Spt-BH_xls]B__3430"/>
      <sheetName val="[Spt-BH.xls][Spt-BH_xls]B__3431"/>
      <sheetName val="[Spt-BH.xls][Spt-BH_xls]_S_1132"/>
      <sheetName val="[Spt-BH.xls][Spt-BH_xls]B__3432"/>
      <sheetName val="[Spt-BH.xls][Spt-BH_xls]B__3433"/>
      <sheetName val="[Spt-BH.xls][Spt-BH_xls]B__3434"/>
      <sheetName val="[Spt-BH.xls][Spt-BH_xls]B__3435"/>
      <sheetName val="[Spt-BH.xls][Spt-BH_xls]_S_1133"/>
      <sheetName val="[Spt-BH.xls][Spt-BH.xls]_S_1234"/>
      <sheetName val="[Spt-BH.xls][Spt-BH_xls]B__3436"/>
      <sheetName val="[Spt-BH.xls][Spt-BH_xls]B__3437"/>
      <sheetName val="[Spt-BH.xls][Spt-BH_xls]_S_1134"/>
      <sheetName val="[Spt-BH.xls][Spt-BH_xls]B__3438"/>
      <sheetName val="[Spt-BH.xls][Spt-BH_xls]B__3439"/>
      <sheetName val="[Spt-BH.xls][Spt-BH_xls]_S_1135"/>
      <sheetName val="[Spt-BH.xls]B____x005f_x0004______284"/>
      <sheetName val="[Spt-BH.xls]B___x005f_x0000__x000_279"/>
      <sheetName val="[Spt-BH.xls][Spt-BH.xls]B__3484"/>
      <sheetName val="[Spt-BH.xls][Spt-BH.xls]B__3485"/>
      <sheetName val="[Spt-BH.xls][Spt-BH.xls]B__3486"/>
      <sheetName val="[Spt-BH.xls][Spt-BH.xls]B__3487"/>
      <sheetName val="[Spt-BH.xls][Spt-BH.xls]_S_1227"/>
      <sheetName val="[Spt-BH.xls][Spt-BH.xls]B__3488"/>
      <sheetName val="[Spt-BH.xls][Spt-BH.xls]B__3489"/>
      <sheetName val="[Spt-BH.xls][Spt-BH.xls]B__3490"/>
      <sheetName val="[Spt-BH.xls][Spt-BH_xls]B__3380"/>
      <sheetName val="[Spt-BH.xls][Spt-BH_xls]B__3381"/>
      <sheetName val="[Spt-BH.xls][Spt-BH_xls]B__3382"/>
      <sheetName val="[Spt-BH.xls][Spt-BH_xls]B__3383"/>
      <sheetName val="[Spt-BH.xls][Spt-BH_xls]_S_1116"/>
      <sheetName val="[Spt-BH.xls][Spt-BH_xls]B__3384"/>
      <sheetName val="[Spt-BH.xls][Spt-BH_xls]B__3385"/>
      <sheetName val="[Spt-BH.xls][Spt-BH_xls]B__3386"/>
      <sheetName val="[Spt-BH.xls][Spt-BH_xls]_S_1117"/>
      <sheetName val="[Spt-BH.xls][Spt-BH_xls]B__3387"/>
      <sheetName val="[Spt-BH.xls][Spt-BH_xls]B__3388"/>
      <sheetName val="[Spt-BH.xls][Spt-BH_xls]B__3389"/>
      <sheetName val="[Spt-BH.xls][Spt-BH_xls]B__3390"/>
      <sheetName val="[Spt-BH.xls][Spt-BH_xls]_S_1118"/>
      <sheetName val="[Spt-BH.xls][Spt-BH.xls]_S_1228"/>
      <sheetName val="[Spt-BH.xls][Spt-BH_xls]B__3391"/>
      <sheetName val="[Spt-BH.xls][Spt-BH_xls]B__3392"/>
      <sheetName val="[Spt-BH.xls][Spt-BH_xls]_S_1119"/>
      <sheetName val="[Spt-BH.xls][Spt-BH_xls]B__3393"/>
      <sheetName val="[Spt-BH.xls][Spt-BH_xls]B__3394"/>
      <sheetName val="[Spt-BH.xls][Spt-BH_xls]_S_1120"/>
      <sheetName val="[Spt-BH.xls]B____x005f_x0004______285"/>
      <sheetName val="[Spt-BH.xls]B___x005f_x0000__x000_280"/>
      <sheetName val="[Spt-BH.xls][Spt-BH.xls]B__3491"/>
      <sheetName val="[Spt-BH.xls][Spt-BH.xls]B__3492"/>
      <sheetName val="[Spt-BH.xls][Spt-BH.xls]B__3493"/>
      <sheetName val="[Spt-BH.xls][Spt-BH.xls]B__3494"/>
      <sheetName val="[Spt-BH.xls][Spt-BH.xls]_S_1229"/>
      <sheetName val="[Spt-BH.xls][Spt-BH.xls]B__3495"/>
      <sheetName val="[Spt-BH.xls][Spt-BH.xls]B__3496"/>
      <sheetName val="[Spt-BH.xls][Spt-BH.xls]B__3497"/>
      <sheetName val="[Spt-BH.xls][Spt-BH_xls]B__3395"/>
      <sheetName val="[Spt-BH.xls][Spt-BH_xls]B__3396"/>
      <sheetName val="[Spt-BH.xls][Spt-BH_xls]B__3397"/>
      <sheetName val="[Spt-BH.xls][Spt-BH_xls]B__3398"/>
      <sheetName val="[Spt-BH.xls][Spt-BH_xls]_S_1121"/>
      <sheetName val="[Spt-BH.xls][Spt-BH_xls]B__3399"/>
      <sheetName val="[Spt-BH.xls][Spt-BH_xls]B__3400"/>
      <sheetName val="[Spt-BH.xls][Spt-BH_xls]B__3401"/>
      <sheetName val="[Spt-BH.xls][Spt-BH_xls]_S_1122"/>
      <sheetName val="[Spt-BH.xls][Spt-BH_xls]B__3402"/>
      <sheetName val="[Spt-BH.xls][Spt-BH_xls]B__3403"/>
      <sheetName val="[Spt-BH.xls][Spt-BH_xls]B__3404"/>
      <sheetName val="[Spt-BH.xls][Spt-BH_xls]B__3405"/>
      <sheetName val="[Spt-BH.xls][Spt-BH_xls]_S_1123"/>
      <sheetName val="[Spt-BH.xls][Spt-BH.xls]_S_1230"/>
      <sheetName val="[Spt-BH.xls][Spt-BH_xls]B__3406"/>
      <sheetName val="[Spt-BH.xls][Spt-BH_xls]B__3407"/>
      <sheetName val="[Spt-BH.xls][Spt-BH_xls]_S_1124"/>
      <sheetName val="[Spt-BH.xls][Spt-BH_xls]B__3408"/>
      <sheetName val="[Spt-BH.xls][Spt-BH_xls]B__3409"/>
      <sheetName val="[Spt-BH.xls][Spt-BH_xls]_S_1125"/>
      <sheetName val="[Spt-BH.xls]B____x005f_x0004______286"/>
      <sheetName val="[Spt-BH.xls]B___x005f_x0000__x000_281"/>
      <sheetName val="[Spt-BH.xls][Spt-BH.xls]B__3498"/>
      <sheetName val="[Spt-BH.xls][Spt-BH.xls]B__3499"/>
      <sheetName val="[Spt-BH.xls][Spt-BH.xls]B__3500"/>
      <sheetName val="[Spt-BH.xls][Spt-BH.xls]B__3501"/>
      <sheetName val="[Spt-BH.xls][Spt-BH.xls]_S_1231"/>
      <sheetName val="[Spt-BH.xls][Spt-BH.xls]B__3502"/>
      <sheetName val="[Spt-BH.xls][Spt-BH.xls]B__3503"/>
      <sheetName val="[Spt-BH.xls][Spt-BH.xls]B__3504"/>
      <sheetName val="[Spt-BH.xls][Spt-BH_xls]B__3410"/>
      <sheetName val="[Spt-BH.xls][Spt-BH_xls]B__3411"/>
      <sheetName val="[Spt-BH.xls][Spt-BH_xls]B__3412"/>
      <sheetName val="[Spt-BH.xls][Spt-BH_xls]B__3413"/>
      <sheetName val="[Spt-BH.xls][Spt-BH_xls]_S_1126"/>
      <sheetName val="[Spt-BH.xls][Spt-BH_xls]B__3414"/>
      <sheetName val="[Spt-BH.xls][Spt-BH_xls]B__3415"/>
      <sheetName val="[Spt-BH.xls][Spt-BH_xls]B__3416"/>
      <sheetName val="[Spt-BH.xls][Spt-BH_xls]_S_1127"/>
      <sheetName val="[Spt-BH.xls][Spt-BH_xls]B__3417"/>
      <sheetName val="[Spt-BH.xls][Spt-BH_xls]B__3418"/>
      <sheetName val="[Spt-BH.xls][Spt-BH_xls]B__3419"/>
      <sheetName val="[Spt-BH.xls][Spt-BH_xls]B__3420"/>
      <sheetName val="[Spt-BH.xls][Spt-BH_xls]_S_1128"/>
      <sheetName val="[Spt-BH.xls][Spt-BH.xls]_S_1232"/>
      <sheetName val="[Spt-BH.xls][Spt-BH_xls]B__3421"/>
      <sheetName val="[Spt-BH.xls][Spt-BH_xls]B__3422"/>
      <sheetName val="[Spt-BH.xls][Spt-BH_xls]_S_1129"/>
      <sheetName val="[Spt-BH.xls][Spt-BH_xls]B__3423"/>
      <sheetName val="[Spt-BH.xls][Spt-BH_xls]B__3424"/>
      <sheetName val="[Spt-BH.xls][Spt-BH_xls]_S_1130"/>
      <sheetName val="[Spt-BH.xls][Spt-BH.xls]B__3518"/>
      <sheetName val="[Spt-BH.xls][Spt-BH.xls]B__3519"/>
      <sheetName val="[Spt-BH.xls][Spt-BH.xls]_S_1240"/>
      <sheetName val="[Spt-BH.xls][Spt-BH.xls]B__3520"/>
      <sheetName val="[Spt-BH.xls][Spt-BH.xls]B__3521"/>
      <sheetName val="[Spt-BH.xls][Spt-BH.xls]B__3522"/>
      <sheetName val="[Spt-BH.xls][Spt-BH.xls]_S_1238"/>
      <sheetName val="[Spt-BH.xls][Spt-BH.xls]B__3523"/>
      <sheetName val="[Spt-BH.xls][Spt-BH.xls]_S_1239"/>
      <sheetName val="[Spt-BH.xls][Spt-BH.xls]B__3524"/>
      <sheetName val="[Spt-BH.xls][Spt-BH.xls]B__3525"/>
      <sheetName val="[Spt-BH.xls][Spt-BH.xls]_S_1243"/>
      <sheetName val="[Spt-BH.xls][Spt-BH.xls]B__3526"/>
      <sheetName val="[Spt-BH.xls][Spt-BH.xls]B__3527"/>
      <sheetName val="[Spt-BH.xls][Spt-BH.xls]B__3528"/>
      <sheetName val="[Spt-BH.xls][Spt-BH.xls]_S_1241"/>
      <sheetName val="[Spt-BH.xls][Spt-BH.xls]B__3529"/>
      <sheetName val="[Spt-BH.xls][Spt-BH.xls]_S_1242"/>
      <sheetName val="[Spt-BH.xls][Spt-BH.xls]_S_1288"/>
      <sheetName val="[Spt-BH.xls][Spt-BH.xls]_S_1275"/>
      <sheetName val="[Spt-BH.xls][Spt-BH.xls]B__3579"/>
      <sheetName val="[Spt-BH.xls][Spt-BH.xls]B__3580"/>
      <sheetName val="[Spt-BH.xls][Spt-BH.xls]_S_1265"/>
      <sheetName val="[Spt-BH.xls][Spt-BH.xls]B__3581"/>
      <sheetName val="[Spt-BH.xls][Spt-BH.xls]B__3582"/>
      <sheetName val="[Spt-BH.xls][Spt-BH.xls]B__3586"/>
      <sheetName val="[Spt-BH.xls][Spt-BH.xls]B__3587"/>
      <sheetName val="[Spt-BH.xls][Spt-BH.xls]_S_1267"/>
      <sheetName val="[Spt-BH.xls][Spt-BH.xls]B__3588"/>
      <sheetName val="[Spt-BH.xls][Spt-BH.xls]B__3589"/>
      <sheetName val="[Spt-BH.xls]B____x005f_x0004______291"/>
      <sheetName val="[Spt-BH.xls]B___x005f_x0000__x000_286"/>
      <sheetName val="[Spt-BH.xls][Spt-BH.xls]B__3590"/>
      <sheetName val="[Spt-BH.xls][Spt-BH.xls]B__3591"/>
      <sheetName val="[Spt-BH.xls][Spt-BH.xls]_S_1263"/>
      <sheetName val="[Spt-BH.xls][Spt-BH.xls]B__3583"/>
      <sheetName val="[Spt-BH.xls][Spt-BH.xls]B__3584"/>
      <sheetName val="[Spt-BH.xls][Spt-BH.xls]B__3585"/>
      <sheetName val="[Spt-BH.xls][Spt-BH.xls]_S_1264"/>
      <sheetName val="[Spt-BH.xls][Spt-BH.xls]_S_1266"/>
      <sheetName val="[Spt-BH.xls][Spt-BH_xls]B__3485"/>
      <sheetName val="[Spt-BH.xls][Spt-BH_xls]B__3486"/>
      <sheetName val="[Spt-BH.xls][Spt-BH_xls]B__3487"/>
      <sheetName val="[Spt-BH.xls][Spt-BH_xls]B__3488"/>
      <sheetName val="[Spt-BH.xls][Spt-BH_xls]_S_1151"/>
      <sheetName val="[Spt-BH.xls][Spt-BH_xls]B__3489"/>
      <sheetName val="[Spt-BH.xls][Spt-BH_xls]B__3490"/>
      <sheetName val="[Spt-BH.xls][Spt-BH_xls]B__3491"/>
      <sheetName val="[Spt-BH.xls][Spt-BH_xls]_S_1152"/>
      <sheetName val="[Spt-BH.xls][Spt-BH_xls]B__3492"/>
      <sheetName val="[Spt-BH.xls][Spt-BH_xls]B__3493"/>
      <sheetName val="[Spt-BH.xls][Spt-BH_xls]B__3494"/>
      <sheetName val="[Spt-BH.xls][Spt-BH_xls]B__3495"/>
      <sheetName val="[Spt-BH.xls][Spt-BH_xls]_S_1153"/>
      <sheetName val="[Spt-BH.xls][Spt-BH_xls]B__3496"/>
      <sheetName val="[Spt-BH.xls][Spt-BH_xls]B__3497"/>
      <sheetName val="[Spt-BH.xls][Spt-BH_xls]_S_1154"/>
      <sheetName val="[Spt-BH.xls][Spt-BH_xls]B__3498"/>
      <sheetName val="[Spt-BH.xls][Spt-BH_xls]B__3499"/>
      <sheetName val="[Spt-BH.xls][Spt-BH_xls]_S_1155"/>
      <sheetName val="[Spt-BH.xls][Spt-BH.xls]_S_1247"/>
      <sheetName val="[Spt-BH.xls][Spt-BH.xls]_S_1244"/>
      <sheetName val="[Spt-BH.xls][Spt-BH.xls]_S_1245"/>
      <sheetName val="[Spt-BH.xls][Spt-BH.xls]_S_1246"/>
      <sheetName val="[Spt-BH.xls][Spt-BH.xls]_S_1257"/>
      <sheetName val="[Spt-BH.xls][Spt-BH.xls]_S_1249"/>
      <sheetName val="[Spt-BH.xls][Spt-BH.xls]B__3530"/>
      <sheetName val="[Spt-BH.xls][Spt-BH.xls]B__3531"/>
      <sheetName val="[Spt-BH.xls][Spt-BH.xls]B__3532"/>
      <sheetName val="[Spt-BH.xls][Spt-BH.xls]B__3533"/>
      <sheetName val="[Spt-BH.xls][Spt-BH.xls]B__3534"/>
      <sheetName val="[Spt-BH.xls][Spt-BH.xls]B__3535"/>
      <sheetName val="[Spt-BH.xls][Spt-BH.xls]B__3537"/>
      <sheetName val="[Spt-BH.xls][Spt-BH.xls]B__3538"/>
      <sheetName val="[Spt-BH.xls][Spt-BH.xls]_S_1248"/>
      <sheetName val="[Spt-BH.xls][Spt-BH.xls]B__3539"/>
      <sheetName val="[Spt-BH.xls][Spt-BH.xls]B__3540"/>
      <sheetName val="[Spt-BH.xls]B____x005f_x0004______288"/>
      <sheetName val="[Spt-BH.xls]B___x005f_x0000__x000_283"/>
      <sheetName val="[Spt-BH.xls][Spt-BH.xls]B__3541"/>
      <sheetName val="[Spt-BH.xls][Spt-BH.xls]B__3542"/>
      <sheetName val="[Spt-BH.xls][Spt-BH.xls]B__3536"/>
      <sheetName val="[Spt-BH.xls][Spt-BH_xls]B__3440"/>
      <sheetName val="[Spt-BH.xls][Spt-BH_xls]B__3441"/>
      <sheetName val="[Spt-BH.xls][Spt-BH_xls]B__3442"/>
      <sheetName val="[Spt-BH.xls][Spt-BH_xls]B__3443"/>
      <sheetName val="[Spt-BH.xls][Spt-BH_xls]_S_1136"/>
      <sheetName val="[Spt-BH.xls][Spt-BH_xls]B__3444"/>
      <sheetName val="[Spt-BH.xls][Spt-BH_xls]B__3445"/>
      <sheetName val="[Spt-BH.xls][Spt-BH_xls]B__3446"/>
      <sheetName val="[Spt-BH.xls][Spt-BH_xls]_S_1137"/>
      <sheetName val="[Spt-BH.xls][Spt-BH_xls]B__3447"/>
      <sheetName val="[Spt-BH.xls][Spt-BH_xls]B__3448"/>
      <sheetName val="[Spt-BH.xls][Spt-BH_xls]B__3449"/>
      <sheetName val="[Spt-BH.xls][Spt-BH_xls]B__3450"/>
      <sheetName val="[Spt-BH.xls][Spt-BH_xls]_S_1138"/>
      <sheetName val="[Spt-BH.xls][Spt-BH_xls]B__3451"/>
      <sheetName val="[Spt-BH.xls][Spt-BH_xls]B__3452"/>
      <sheetName val="[Spt-BH.xls][Spt-BH_xls]_S_1139"/>
      <sheetName val="[Spt-BH.xls][Spt-BH_xls]B__3453"/>
      <sheetName val="[Spt-BH.xls][Spt-BH_xls]B__3454"/>
      <sheetName val="[Spt-BH.xls][Spt-BH_xls]_S_1140"/>
      <sheetName val="[Spt-BH.xls][Spt-BH.xls]B__3543"/>
      <sheetName val="[Spt-BH.xls][Spt-BH.xls]B__3544"/>
      <sheetName val="[Spt-BH.xls][Spt-BH.xls]B__3545"/>
      <sheetName val="[Spt-BH.xls][Spt-BH.xls]B__3546"/>
      <sheetName val="[Spt-BH.xls][Spt-BH.xls]_S_1250"/>
      <sheetName val="[Spt-BH.xls][Spt-BH.xls]B__3547"/>
      <sheetName val="[Spt-BH.xls][Spt-BH.xls]B__3548"/>
      <sheetName val="[Spt-BH.xls][Spt-BH.xls]_S_1252"/>
      <sheetName val="[Spt-BH.xls][Spt-BH.xls]B__3549"/>
      <sheetName val="[Spt-BH.xls][Spt-BH.xls]B__3550"/>
      <sheetName val="[Spt-BH.xls][Spt-BH.xls]B__3551"/>
      <sheetName val="[Spt-BH.xls][Spt-BH.xls]B__3552"/>
      <sheetName val="[Spt-BH.xls][Spt-BH.xls]_S_1251"/>
      <sheetName val="[Spt-BH.xls][Spt-BH.xls]B__3560"/>
      <sheetName val="[Spt-BH.xls][Spt-BH.xls]B__3561"/>
      <sheetName val="[Spt-BH.xls][Spt-BH.xls]B__3562"/>
      <sheetName val="[Spt-BH.xls][Spt-BH.xls]B__3563"/>
      <sheetName val="[Spt-BH.xls]B____x005f_x0004______289"/>
      <sheetName val="[Spt-BH.xls]B___x005f_x0000__x000_284"/>
      <sheetName val="[Spt-BH.xls][Spt-BH.xls]B__3564"/>
      <sheetName val="[Spt-BH.xls][Spt-BH.xls]B__3553"/>
      <sheetName val="[Spt-BH.xls][Spt-BH.xls]B__3554"/>
      <sheetName val="[Spt-BH.xls][Spt-BH.xls]_S_1255"/>
      <sheetName val="[Spt-BH.xls][Spt-BH.xls]B__3555"/>
      <sheetName val="[Spt-BH.xls][Spt-BH.xls]B__3556"/>
      <sheetName val="[Spt-BH.xls][Spt-BH.xls]_S_1253"/>
      <sheetName val="[Spt-BH.xls][Spt-BH.xls]B__3565"/>
      <sheetName val="[Spt-BH.xls][Spt-BH.xls]B__3557"/>
      <sheetName val="[Spt-BH.xls][Spt-BH.xls]B__3558"/>
      <sheetName val="[Spt-BH.xls][Spt-BH.xls]_S_1256"/>
      <sheetName val="[Spt-BH.xls][Spt-BH_xls]B__3455"/>
      <sheetName val="[Spt-BH.xls][Spt-BH_xls]B__3456"/>
      <sheetName val="[Spt-BH.xls][Spt-BH_xls]B__3457"/>
      <sheetName val="[Spt-BH.xls][Spt-BH_xls]B__3458"/>
      <sheetName val="[Spt-BH.xls][Spt-BH_xls]_S_1141"/>
      <sheetName val="[Spt-BH.xls][Spt-BH_xls]B__3459"/>
      <sheetName val="[Spt-BH.xls][Spt-BH_xls]B__3460"/>
      <sheetName val="[Spt-BH.xls][Spt-BH_xls]B__3461"/>
      <sheetName val="[Spt-BH.xls][Spt-BH_xls]_S_1142"/>
      <sheetName val="[Spt-BH.xls][Spt-BH_xls]B__3462"/>
      <sheetName val="[Spt-BH.xls][Spt-BH_xls]B__3463"/>
      <sheetName val="[Spt-BH.xls][Spt-BH_xls]B__3464"/>
      <sheetName val="[Spt-BH.xls][Spt-BH_xls]B__3465"/>
      <sheetName val="[Spt-BH.xls][Spt-BH_xls]_S_1143"/>
      <sheetName val="[Spt-BH.xls][Spt-BH.xls]B__3559"/>
      <sheetName val="[Spt-BH.xls][Spt-BH.xls]_S_1254"/>
      <sheetName val="[Spt-BH.xls][Spt-BH_xls]B__3466"/>
      <sheetName val="[Spt-BH.xls][Spt-BH_xls]B__3467"/>
      <sheetName val="[Spt-BH.xls][Spt-BH_xls]_S_1144"/>
      <sheetName val="[Spt-BH.xls][Spt-BH_xls]B__3468"/>
      <sheetName val="[Spt-BH.xls][Spt-BH_xls]B__3469"/>
      <sheetName val="[Spt-BH.xls][Spt-BH_xls]_S_1145"/>
      <sheetName val="[Spt-BH.xls][Spt-BH.xls]_S_1260"/>
      <sheetName val="[Spt-BH.xls][Spt-BH.xls]B__3566"/>
      <sheetName val="[Spt-BH.xls][Spt-BH.xls]B__3567"/>
      <sheetName val="[Spt-BH.xls][Spt-BH.xls]B__3568"/>
      <sheetName val="[Spt-BH.xls][Spt-BH.xls]B__3569"/>
      <sheetName val="[Spt-BH.xls][Spt-BH.xls]B__3570"/>
      <sheetName val="[Spt-BH.xls][Spt-BH.xls]_S_1258"/>
      <sheetName val="[Spt-BH.xls][Spt-BH.xls]B__3571"/>
      <sheetName val="[Spt-BH.xls][Spt-BH.xls]_S_1259"/>
      <sheetName val="[Spt-BH.xls][Spt-BH.xls]B__3572"/>
      <sheetName val="[Spt-BH.xls][Spt-BH.xls]B__3573"/>
      <sheetName val="[Spt-BH.xls][Spt-BH.xls]B__3574"/>
      <sheetName val="[Spt-BH.xls][Spt-BH.xls]B__3575"/>
      <sheetName val="[Spt-BH.xls]B____x005f_x0004______290"/>
      <sheetName val="[Spt-BH.xls]B___x005f_x0000__x000_285"/>
      <sheetName val="[Spt-BH.xls][Spt-BH.xls]_S_1261"/>
      <sheetName val="[Spt-BH.xls][Spt-BH.xls]B__3576"/>
      <sheetName val="[Spt-BH.xls][Spt-BH.xls]B__3577"/>
      <sheetName val="[Spt-BH.xls][Spt-BH.xls]B__3578"/>
      <sheetName val="[Spt-BH.xls][Spt-BH.xls]_S_1262"/>
      <sheetName val="[Spt-BH.xls][Spt-BH_xls]B__3470"/>
      <sheetName val="[Spt-BH.xls][Spt-BH_xls]B__3471"/>
      <sheetName val="[Spt-BH.xls][Spt-BH_xls]B__3472"/>
      <sheetName val="[Spt-BH.xls][Spt-BH_xls]B__3473"/>
      <sheetName val="[Spt-BH.xls][Spt-BH_xls]_S_1146"/>
      <sheetName val="[Spt-BH.xls][Spt-BH_xls]B__3474"/>
      <sheetName val="[Spt-BH.xls][Spt-BH_xls]B__3475"/>
      <sheetName val="[Spt-BH.xls][Spt-BH_xls]B__3476"/>
      <sheetName val="[Spt-BH.xls][Spt-BH_xls]_S_1147"/>
      <sheetName val="[Spt-BH.xls][Spt-BH_xls]B__3477"/>
      <sheetName val="[Spt-BH.xls][Spt-BH_xls]B__3478"/>
      <sheetName val="[Spt-BH.xls][Spt-BH_xls]B__3479"/>
      <sheetName val="[Spt-BH.xls][Spt-BH_xls]B__3480"/>
      <sheetName val="[Spt-BH.xls][Spt-BH_xls]_S_1148"/>
      <sheetName val="[Spt-BH.xls][Spt-BH_xls]B__3481"/>
      <sheetName val="[Spt-BH.xls][Spt-BH_xls]B__3482"/>
      <sheetName val="[Spt-BH.xls][Spt-BH_xls]_S_1149"/>
      <sheetName val="[Spt-BH.xls][Spt-BH_xls]B__3483"/>
      <sheetName val="[Spt-BH.xls][Spt-BH_xls]B__3484"/>
      <sheetName val="[Spt-BH.xls][Spt-BH_xls]_S_1150"/>
      <sheetName val="P4-BOQ"/>
      <sheetName val="_Spt-BH.xls__Spt-BH.xls_B____69"/>
      <sheetName val="_Spt-BH.xls__Spt-BH.xls_B____70"/>
      <sheetName val="_Spt-BH.xls__Spt-BH.xls__Spt_24"/>
      <sheetName val="_Spt-BH.xls__Spt-BH.xls_B____71"/>
      <sheetName val="_Spt-BH.xls__Spt-BH.xls_B____72"/>
      <sheetName val="_Spt-BH.xls__Spt-BH.xls_B____73"/>
      <sheetName val="_Spt-BH.xls_B____x005f_x0004________8"/>
      <sheetName val="_Spt-BH.xls_B___x005f_x0000__x005f_x0004__8"/>
      <sheetName val="_Spt-BH.xls__Spt-BH.xls_B____74"/>
      <sheetName val="_Spt-BH.xls__Spt-BH.xls_B____62"/>
      <sheetName val="_Spt-BH.xls__Spt-BH.xls_B____63"/>
      <sheetName val="_Spt-BH.xls__Spt-BH.xls__Spt_22"/>
      <sheetName val="_Spt-BH.xls__Spt-BH.xls_B____64"/>
      <sheetName val="_Spt-BH.xls__Spt-BH.xls_B____65"/>
      <sheetName val="_Spt-BH.xls__Spt-BH.xls_B____66"/>
      <sheetName val="_Spt-BH.xls__Spt-BH.xls__Spt_23"/>
      <sheetName val="_Spt-BH.xls__Spt-BH_xls_B____14"/>
      <sheetName val="_Spt-BH.xls__Spt-BH_xls_B____15"/>
      <sheetName val="_Spt-BH.xls__Spt-BH.xls__Spt_20"/>
      <sheetName val="_Spt-BH.xls__Spt-BH.xls_B____67"/>
      <sheetName val="_Spt-BH.xls__Spt-BH.xls_B____68"/>
      <sheetName val="_Spt-BH.xls__Spt-BH.xls__Spt_21"/>
      <sheetName val="_Spt-BH.xls__Spt-BH.xls_B____22"/>
      <sheetName val="_Spt-BH.xls__Spt-BH.xls_B____23"/>
      <sheetName val="_Spt-BH.xls__Spt-BH.xls__Spt_14"/>
      <sheetName val="_Spt-BH.xls__Spt-BH.xls_B____24"/>
      <sheetName val="_Spt-BH.xls__Spt-BH.xls_B____25"/>
      <sheetName val="_Spt-BH.xls__Spt-BH.xls_B____26"/>
      <sheetName val="_Spt-BH.xls__Spt-BH.xls__Spt__8"/>
      <sheetName val="_Spt-BH.xls__Spt-BH.xls_B____27"/>
      <sheetName val="_Spt-BH.xls__Spt-BH.xls__Spt__9"/>
      <sheetName val="_Spt-BH.xls__Spt-BH.xls_B____16"/>
      <sheetName val="_Spt-BH.xls__Spt-BH.xls_B____17"/>
      <sheetName val="_Spt-BH.xls__Spt-BH.xls_B____18"/>
      <sheetName val="_Spt-BH.xls__Spt-BH.xls_B____19"/>
      <sheetName val="_Spt-BH.xls__Spt-BH.xls_B____20"/>
      <sheetName val="_Spt-BH.xls_B____x005f_x0004________3"/>
      <sheetName val="_Spt-BH.xls_B___x005f_x0000__x005f_x0004__3"/>
      <sheetName val="_Spt-BH.xls__Spt-BH.xls_B____21"/>
      <sheetName val="_Spt-BH.xls__Spt-BH.xls_B____15"/>
      <sheetName val="_Spt-BH.xls__Spt-BH.xls__Spt__7"/>
      <sheetName val="_Spt-BH.xls__Spt-BH_xls_B_____4"/>
      <sheetName val="_Spt-BH.xls__Spt-BH_xls_B_____5"/>
      <sheetName val="_Spt-BH.xls__Spt-BH.xls_B____49"/>
      <sheetName val="_Spt-BH.xls__Spt-BH.xls_B____50"/>
      <sheetName val="_Spt-BH.xls__Spt-BH.xls_B____51"/>
      <sheetName val="_Spt-BH.xls__Spt-BH.xls_B____52"/>
      <sheetName val="_Spt-BH.xls__Spt-BH.xls_B____53"/>
      <sheetName val="_Spt-BH.xls_B____x005f_x0004________6"/>
      <sheetName val="_Spt-BH.xls_B___x005f_x0000__x005f_x0004__6"/>
      <sheetName val="_Spt-BH.xls__Spt-BH.xls_B____54"/>
      <sheetName val="_Spt-BH.xls__Spt-BH.xls_B____42"/>
      <sheetName val="_Spt-BH.xls__Spt-BH.xls_B____43"/>
      <sheetName val="_Spt-BH.xls__Spt-BH.xls__Spt_16"/>
      <sheetName val="_Spt-BH.xls__Spt-BH.xls_B____44"/>
      <sheetName val="_Spt-BH.xls__Spt-BH.xls_B____45"/>
      <sheetName val="_Spt-BH.xls__Spt-BH.xls_B____46"/>
      <sheetName val="_Spt-BH.xls__Spt-BH.xls_B____47"/>
      <sheetName val="_Spt-BH.xls__Spt-BH.xls_B____48"/>
      <sheetName val="_Spt-BH.xls__Spt-BH.xls__Spt_17"/>
      <sheetName val="_Spt-BH.xls__Spt-BH_xls_B____10"/>
      <sheetName val="_Spt-BH.xls__Spt-BH_xls_B____11"/>
      <sheetName val="_Spt-BH.xls__Spt-BH.xls__Spt_15"/>
      <sheetName val="_Spt-BH.xls__Spt-BH.xls__Spt_10"/>
      <sheetName val="_Spt-BH.xls_B____x005f_x0004________4"/>
      <sheetName val="_Spt-BH.xls_B___x005f_x0000__x005f_x0004__4"/>
      <sheetName val="_Spt-BH.xls__Spt-BH.xls_B____28"/>
      <sheetName val="_Spt-BH.xls__Spt-BH.xls_B____29"/>
      <sheetName val="_Spt-BH.xls__Spt-BH.xls_B____30"/>
      <sheetName val="_Spt-BH.xls__Spt-BH.xls_B____31"/>
      <sheetName val="_Spt-BH.xls__Spt-BH.xls_B____32"/>
      <sheetName val="_Spt-BH.xls__Spt-BH.xls_B____33"/>
      <sheetName val="_Spt-BH.xls__Spt-BH.xls_B____34"/>
      <sheetName val="_Spt-BH.xls__Spt-BH_xls_B_____6"/>
      <sheetName val="_Spt-BH.xls__Spt-BH_xls_B_____7"/>
      <sheetName val="_Spt-BH.xls__Spt-BH.xls__Spt_11"/>
      <sheetName val="_Spt-BH.xls__Spt-BH.xls__Spt_12"/>
      <sheetName val="_Spt-BH.xls_B____x005f_x0004________5"/>
      <sheetName val="_Spt-BH.xls_B___x005f_x0000__x005f_x0004__5"/>
      <sheetName val="_Spt-BH.xls__Spt-BH.xls_B____35"/>
      <sheetName val="_Spt-BH.xls__Spt-BH.xls_B____36"/>
      <sheetName val="_Spt-BH.xls__Spt-BH.xls_B____37"/>
      <sheetName val="_Spt-BH.xls__Spt-BH.xls_B____38"/>
      <sheetName val="_Spt-BH.xls__Spt-BH.xls_B____39"/>
      <sheetName val="_Spt-BH.xls__Spt-BH.xls_B____40"/>
      <sheetName val="_Spt-BH.xls__Spt-BH.xls_B____41"/>
      <sheetName val="_Spt-BH.xls__Spt-BH_xls_B_____8"/>
      <sheetName val="_Spt-BH.xls__Spt-BH_xls_B_____9"/>
      <sheetName val="_Spt-BH.xls__Spt-BH.xls__Spt_13"/>
      <sheetName val="_Spt-BH.xls_B____x005f_x0004________7"/>
      <sheetName val="_Spt-BH.xls_B___x005f_x0000__x005f_x0004__7"/>
      <sheetName val="_Spt-BH.xls__Spt-BH.xls_B____55"/>
      <sheetName val="_Spt-BH.xls__Spt-BH.xls_B____56"/>
      <sheetName val="_Spt-BH.xls__Spt-BH.xls_B____57"/>
      <sheetName val="_Spt-BH.xls__Spt-BH.xls_B____58"/>
      <sheetName val="_Spt-BH.xls__Spt-BH.xls_B____59"/>
      <sheetName val="_Spt-BH.xls__Spt-BH_xls_B____12"/>
      <sheetName val="_Spt-BH.xls__Spt-BH_xls_B____13"/>
      <sheetName val="_Spt-BH.xls__Spt-BH.xls__Spt_18"/>
      <sheetName val="_Spt-BH.xls__Spt-BH.xls_B____60"/>
      <sheetName val="_Spt-BH.xls__Spt-BH.xls_B____61"/>
      <sheetName val="_Spt-BH.xls__Spt-BH.xls__Spt_19"/>
      <sheetName val="_Spt-BH.xls__Spt-BH.xls_B___109"/>
      <sheetName val="_Spt-BH.xls__Spt-BH.xls_B___110"/>
      <sheetName val="_Spt-BH.xls__Spt-BH.xls__Spt_38"/>
      <sheetName val="_Spt-BH.xls__Spt-BH.xls_B___111"/>
      <sheetName val="_Spt-BH.xls__Spt-BH.xls_B___112"/>
      <sheetName val="_Spt-BH.xls__Spt-BH.xls_B___113"/>
      <sheetName val="_Spt-BH.xls_B____x005f_x0004_______10"/>
      <sheetName val="_Spt-BH.xls_B___x005f_x0000__x005f_x0004_10"/>
      <sheetName val="_Spt-BH.xls__Spt-BH.xls_B____82"/>
      <sheetName val="_Spt-BH.xls__Spt-BH.xls_B____83"/>
      <sheetName val="_Spt-BH.xls__Spt-BH.xls__Spt_36"/>
      <sheetName val="_Spt-BH.xls__Spt-BH.xls_B____84"/>
      <sheetName val="_Spt-BH.xls__Spt-BH.xls_B____85"/>
      <sheetName val="_Spt-BH.xls__Spt-BH.xls_B____86"/>
      <sheetName val="_Spt-BH.xls__Spt-BH.xls_B___114"/>
      <sheetName val="_Spt-BH.xls__Spt-BH.xls__Spt_27"/>
      <sheetName val="_Spt-BH.xls__Spt-BH.xls_B____87"/>
      <sheetName val="_Spt-BH.xls__Spt-BH.xls_B____88"/>
      <sheetName val="_Spt-BH.xls__Spt-BH.xls__Spt_37"/>
      <sheetName val="_Spt-BH.xls__Spt-BH_xls_B____18"/>
      <sheetName val="_Spt-BH.xls__Spt-BH_xls_B____19"/>
      <sheetName val="_Spt-BH.xls__Spt-BH.xls__Spt_28"/>
      <sheetName val="_Spt-BH.xls_B____x005f_x0004________9"/>
      <sheetName val="_Spt-BH.xls_B___x005f_x0000__x005f_x0004__9"/>
      <sheetName val="_Spt-BH.xls__Spt-BH.xls_B____75"/>
      <sheetName val="_Spt-BH.xls__Spt-BH.xls_B____76"/>
      <sheetName val="_Spt-BH.xls__Spt-BH.xls_B____77"/>
      <sheetName val="_Spt-BH.xls__Spt-BH.xls_B____78"/>
      <sheetName val="_Spt-BH.xls__Spt-BH.xls_B____79"/>
      <sheetName val="_Spt-BH.xls__Spt-BH.xls__Spt_25"/>
      <sheetName val="_Spt-BH.xls__Spt-BH.xls_B____80"/>
      <sheetName val="_Spt-BH.xls__Spt-BH.xls_B____81"/>
      <sheetName val="_Spt-BH.xls__Spt-BH_xls_B____16"/>
      <sheetName val="_Spt-BH.xls__Spt-BH_xls_B____17"/>
      <sheetName val="_Spt-BH.xls__Spt-BH.xls__Spt_26"/>
      <sheetName val="_Spt-BH.xls__Spt-BH.xls_B___103"/>
      <sheetName val="_Spt-BH.xls__Spt-BH.xls_B___104"/>
      <sheetName val="_Spt-BH.xls__Spt-BH.xls__Spt_35"/>
      <sheetName val="_Spt-BH.xls__Spt-BH.xls_B___105"/>
      <sheetName val="_Spt-BH.xls__Spt-BH.xls_B___106"/>
      <sheetName val="_Spt-BH.xls__Spt-BH.xls_B___107"/>
      <sheetName val="_Spt-BH.xls_B____x005f_x0004_______11"/>
      <sheetName val="_Spt-BH.xls_B___x005f_x0000__x005f_x0004_11"/>
      <sheetName val="_Spt-BH.xls__Spt-BH.xls_B____96"/>
      <sheetName val="_Spt-BH.xls__Spt-BH.xls_B____97"/>
      <sheetName val="_Spt-BH.xls__Spt-BH.xls__Spt_33"/>
      <sheetName val="_Spt-BH.xls__Spt-BH.xls_B____98"/>
      <sheetName val="_Spt-BH.xls__Spt-BH.xls_B____99"/>
      <sheetName val="_Spt-BH.xls__Spt-BH.xls_B___100"/>
      <sheetName val="_Spt-BH.xls__Spt-BH.xls_B___108"/>
      <sheetName val="_Spt-BH.xls__Spt-BH.xls__Spt_31"/>
      <sheetName val="_Spt-BH.xls__Spt-BH.xls_B___101"/>
      <sheetName val="_Spt-BH.xls__Spt-BH.xls_B___102"/>
      <sheetName val="_Spt-BH.xls__Spt-BH.xls__Spt_34"/>
      <sheetName val="_Spt-BH.xls__Spt-BH_xls_B____20"/>
      <sheetName val="_Spt-BH.xls__Spt-BH_xls_B____21"/>
      <sheetName val="_Spt-BH.xls__Spt-BH.xls__Spt_32"/>
      <sheetName val="_Spt-BH.xls__Spt-BH.xls_B____89"/>
      <sheetName val="_Spt-BH.xls__Spt-BH.xls_B____90"/>
      <sheetName val="_Spt-BH.xls__Spt-BH.xls_B____91"/>
      <sheetName val="_Spt-BH.xls__Spt-BH.xls_B____92"/>
      <sheetName val="_Spt-BH.xls__Spt-BH.xls_B____93"/>
      <sheetName val="_Spt-BH.xls__Spt-BH.xls__Spt_29"/>
      <sheetName val="_Spt-BH.xls__Spt-BH.xls_B____94"/>
      <sheetName val="_Spt-BH.xls__Spt-BH.xls_B____95"/>
      <sheetName val="_Spt-BH.xls__Spt-BH.xls__Spt_30"/>
      <sheetName val="VOR"/>
      <sheetName val="summary- VOR"/>
      <sheetName val="LOG book"/>
      <sheetName val="Bill of Quantity"/>
      <sheetName val="New -Extra Item"/>
      <sheetName val="Non Scheduled Item"/>
      <sheetName val="_Spt-BH.xls__Spt-BH.xls_B___832"/>
      <sheetName val="_Spt-BH.xls__Spt-BH.xls_B___153"/>
      <sheetName val="_Spt-BH.xls__Spt-BH.xls_B___154"/>
      <sheetName val="_Spt-BH.xls__Spt-BH.xls__Spt_40"/>
      <sheetName val="OVER HEADS"/>
      <sheetName val="Dis Sch "/>
      <sheetName val="Inputs_&amp;_Summary_Output10"/>
      <sheetName val="Broad_Refresher_Model10"/>
      <sheetName val="Abstract_for_Variation10"/>
      <sheetName val="LBD_VARIATION10"/>
      <sheetName val="Fin_Sum10"/>
      <sheetName val="Cost_of_O_&amp;_O10"/>
      <sheetName val="Material_List_10"/>
      <sheetName val="Material_10"/>
      <sheetName val="Labour_&amp;_Plant10"/>
      <sheetName val="pr_cal10"/>
      <sheetName val="TRF_details10"/>
      <sheetName val="Materials_Cost10"/>
      <sheetName val="acs(1)"/>
      <sheetName val="fas-c(4)"/>
      <sheetName val="cctv(old)"/>
      <sheetName val="[Spt-BH.xls][Spt-BH.xls]B__3598"/>
      <sheetName val="[Spt-BH.xls][Spt-BH.xls]B__3599"/>
      <sheetName val="[Spt-BH.xls][Spt-BH.xls]_S_1271"/>
      <sheetName val="[Spt-BH.xls][Spt-BH.xls]B__3600"/>
      <sheetName val="[Spt-BH.xls][Spt-BH.xls]B__3601"/>
      <sheetName val="[Spt-BH.xls]B____x005f_x0004______292"/>
      <sheetName val="[Spt-BH.xls][Spt-BH.xls]_S_1268"/>
      <sheetName val="[Spt-BH.xls][Spt-BH.xls]B__3592"/>
      <sheetName val="[Spt-BH.xls][Spt-BH.xls]B__3593"/>
      <sheetName val="[Spt-BH.xls][Spt-BH.xls]_S_1270"/>
      <sheetName val="[Spt-BH.xls][Spt-BH.xls]B__3594"/>
      <sheetName val="[Spt-BH.xls][Spt-BH.xls]B__3595"/>
      <sheetName val="[Spt-BH.xls][Spt-BH.xls]B__3596"/>
      <sheetName val="[Spt-BH.xls][Spt-BH.xls]B__3597"/>
      <sheetName val="[Spt-BH.xls][Spt-BH.xls]_S_1269"/>
      <sheetName val="[Spt-BH.xls][Spt-BH.xls]_S_1272"/>
      <sheetName val="[Spt-BH.xls][Spt-BH.xls]B__3602"/>
      <sheetName val="[Spt-BH.xls][Spt-BH.xls]B__3603"/>
      <sheetName val="[Spt-BH.xls][Spt-BH.xls]B__3604"/>
      <sheetName val="[Spt-BH.xls][Spt-BH.xls]B__3605"/>
      <sheetName val="[Spt-BH.xls][Spt-BH.xls]_S_1273"/>
      <sheetName val="[Spt-BH.xls][Spt-BH.xls]B__3606"/>
      <sheetName val="[Spt-BH.xls][Spt-BH.xls]B__3607"/>
      <sheetName val="[Spt-BH.xls][Spt-BH.xls]_S_1274"/>
      <sheetName val="[Spt-BH.xls]B___x005f_x0000__x000_287"/>
      <sheetName val="[Spt-BH.xls][Spt-BH.xls]_S_1276"/>
      <sheetName val="[Spt-BH.xls][Spt-BH.xls]B__3608"/>
      <sheetName val="[Spt-BH.xls][Spt-BH.xls]B__3609"/>
      <sheetName val="[Spt-BH.xls][Spt-BH.xls]_S_1278"/>
      <sheetName val="[Spt-BH.xls][Spt-BH.xls]B__3610"/>
      <sheetName val="[Spt-BH.xls][Spt-BH.xls]B__3611"/>
      <sheetName val="[Spt-BH.xls][Spt-BH.xls]B__3612"/>
      <sheetName val="[Spt-BH.xls][Spt-BH.xls]B__3613"/>
      <sheetName val="[Spt-BH.xls][Spt-BH.xls]_S_1277"/>
      <sheetName val="[Spt-BH.xls]B____x005f_x0004______293"/>
      <sheetName val="[Spt-BH.xls]B____x005f_x0004______294"/>
      <sheetName val="[Spt-BH.xls]B___x005f_x0000__x000_288"/>
      <sheetName val="[Spt-BH.xls][Spt-BH.xls]_S_1279"/>
      <sheetName val="[Spt-BH.xls][Spt-BH.xls]_S_1280"/>
      <sheetName val="[Spt-BH.xls][Spt-BH.xls]B__3614"/>
      <sheetName val="[Spt-BH.xls][Spt-BH.xls]B__3615"/>
      <sheetName val="[Spt-BH.xls][Spt-BH.xls]_S_1282"/>
      <sheetName val="[Spt-BH.xls][Spt-BH.xls]B__3616"/>
      <sheetName val="[Spt-BH.xls][Spt-BH.xls]B__3617"/>
      <sheetName val="[Spt-BH.xls][Spt-BH.xls]B__3618"/>
      <sheetName val="[Spt-BH.xls][Spt-BH.xls]B__3619"/>
      <sheetName val="[Spt-BH.xls][Spt-BH.xls]_S_1281"/>
      <sheetName val="[Spt-BH.xls][Spt-BH.xls]_S_1284"/>
      <sheetName val="[Spt-BH.xls][Spt-BH.xls]_S_1283"/>
      <sheetName val="[Spt-BH.xls][Spt-BH.xls]_S_1285"/>
      <sheetName val="[Spt-BH.xls][Spt-BH.xls]_S_1286"/>
      <sheetName val="[Spt-BH.xls][Spt-BH.xls]_S_1287"/>
      <sheetName val="[Spt-BH.xls][Spt-BH.xls]B__3648"/>
      <sheetName val="[Spt-BH.xls][Spt-BH.xls]B__3649"/>
      <sheetName val="[Spt-BH.xls][Spt-BH.xls]_S_1295"/>
      <sheetName val="[Spt-BH.xls][Spt-BH.xls]B__3650"/>
      <sheetName val="[Spt-BH.xls][Spt-BH.xls]B__3651"/>
      <sheetName val="[Spt-BH.xls]B____x005f_x0004______297"/>
      <sheetName val="[Spt-BH.xls]B___x005f_x0000__x000_291"/>
      <sheetName val="[Spt-BH.xls][Spt-BH.xls]B__3652"/>
      <sheetName val="[Spt-BH.xls][Spt-BH.xls]B__3634"/>
      <sheetName val="[Spt-BH.xls][Spt-BH.xls]B__3635"/>
      <sheetName val="[Spt-BH.xls][Spt-BH.xls]_S_1293"/>
      <sheetName val="[Spt-BH.xls][Spt-BH.xls]B__3636"/>
      <sheetName val="[Spt-BH.xls][Spt-BH.xls]B__3637"/>
      <sheetName val="[Spt-BH.xls][Spt-BH.xls]B__3653"/>
      <sheetName val="[Spt-BH.xls][Spt-BH.xls]_S_1289"/>
      <sheetName val="[Spt-BH.xls][Spt-BH.xls]B__3638"/>
      <sheetName val="[Spt-BH.xls][Spt-BH.xls]B__3639"/>
      <sheetName val="[Spt-BH.xls][Spt-BH.xls]B__3640"/>
      <sheetName val="[Spt-BH.xls][Spt-BH.xls]_S_1290"/>
      <sheetName val="[Spt-BH.xls][Spt-BH.xls]_S_1294"/>
      <sheetName val="[Spt-BH.xls][Spt-BH_xls]B__3560"/>
      <sheetName val="[Spt-BH.xls][Spt-BH_xls]B__3561"/>
      <sheetName val="[Spt-BH.xls][Spt-BH_xls]B__3562"/>
      <sheetName val="[Spt-BH.xls][Spt-BH_xls]B__3563"/>
      <sheetName val="[Spt-BH.xls][Spt-BH_xls]_S_1176"/>
      <sheetName val="[Spt-BH.xls][Spt-BH_xls]B__3564"/>
      <sheetName val="[Spt-BH.xls][Spt-BH_xls]B__3565"/>
      <sheetName val="[Spt-BH.xls][Spt-BH_xls]B__3566"/>
      <sheetName val="[Spt-BH.xls][Spt-BH_xls]_S_1177"/>
      <sheetName val="[Spt-BH.xls][Spt-BH_xls]B__3567"/>
      <sheetName val="[Spt-BH.xls][Spt-BH_xls]B__3568"/>
      <sheetName val="[Spt-BH.xls][Spt-BH_xls]B__3569"/>
      <sheetName val="[Spt-BH.xls][Spt-BH_xls]B__3570"/>
      <sheetName val="[Spt-BH.xls][Spt-BH_xls]_S_1178"/>
      <sheetName val="[Spt-BH.xls][Spt-BH_xls]B__3571"/>
      <sheetName val="[Spt-BH.xls][Spt-BH_xls]B__3572"/>
      <sheetName val="[Spt-BH.xls][Spt-BH_xls]_S_1179"/>
      <sheetName val="[Spt-BH.xls][Spt-BH_xls]B__3573"/>
      <sheetName val="[Spt-BH.xls][Spt-BH_xls]B__3574"/>
      <sheetName val="[Spt-BH.xls][Spt-BH_xls]_S_1180"/>
      <sheetName val="[Spt-BH.xls][Spt-BH_xls]B__3500"/>
      <sheetName val="[Spt-BH.xls][Spt-BH_xls]B__3501"/>
      <sheetName val="[Spt-BH.xls][Spt-BH_xls]B__3502"/>
      <sheetName val="[Spt-BH.xls][Spt-BH_xls]B__3503"/>
      <sheetName val="[Spt-BH.xls][Spt-BH_xls]_S_1156"/>
      <sheetName val="[Spt-BH.xls][Spt-BH_xls]B__3504"/>
      <sheetName val="[Spt-BH.xls][Spt-BH_xls]B__3505"/>
      <sheetName val="[Spt-BH.xls][Spt-BH_xls]B__3506"/>
      <sheetName val="[Spt-BH.xls][Spt-BH_xls]_S_1157"/>
      <sheetName val="[Spt-BH.xls][Spt-BH_xls]B__3507"/>
      <sheetName val="[Spt-BH.xls][Spt-BH_xls]B__3508"/>
      <sheetName val="[Spt-BH.xls][Spt-BH_xls]B__3509"/>
      <sheetName val="[Spt-BH.xls][Spt-BH_xls]B__3510"/>
      <sheetName val="[Spt-BH.xls][Spt-BH_xls]_S_1158"/>
      <sheetName val="[Spt-BH.xls][Spt-BH_xls]B__3511"/>
      <sheetName val="[Spt-BH.xls][Spt-BH_xls]B__3512"/>
      <sheetName val="[Spt-BH.xls][Spt-BH_xls]_S_1159"/>
      <sheetName val="[Spt-BH.xls][Spt-BH_xls]B__3513"/>
      <sheetName val="[Spt-BH.xls][Spt-BH_xls]B__3514"/>
      <sheetName val="[Spt-BH.xls][Spt-BH_xls]_S_1160"/>
      <sheetName val="[Spt-BH.xls][Spt-BH_xls]B__3515"/>
      <sheetName val="[Spt-BH.xls][Spt-BH_xls]B__3516"/>
      <sheetName val="[Spt-BH.xls][Spt-BH_xls]B__3517"/>
      <sheetName val="[Spt-BH.xls][Spt-BH_xls]B__3518"/>
      <sheetName val="[Spt-BH.xls][Spt-BH_xls]_S_1161"/>
      <sheetName val="[Spt-BH.xls][Spt-BH_xls]B__3519"/>
      <sheetName val="[Spt-BH.xls][Spt-BH_xls]B__3520"/>
      <sheetName val="[Spt-BH.xls][Spt-BH_xls]B__3521"/>
      <sheetName val="[Spt-BH.xls][Spt-BH_xls]_S_1162"/>
      <sheetName val="[Spt-BH.xls][Spt-BH_xls]B__3522"/>
      <sheetName val="[Spt-BH.xls][Spt-BH_xls]B__3523"/>
      <sheetName val="[Spt-BH.xls][Spt-BH_xls]B__3524"/>
      <sheetName val="[Spt-BH.xls][Spt-BH_xls]B__3525"/>
      <sheetName val="[Spt-BH.xls][Spt-BH_xls]_S_1163"/>
      <sheetName val="[Spt-BH.xls][Spt-BH_xls]B__3526"/>
      <sheetName val="[Spt-BH.xls][Spt-BH_xls]B__3527"/>
      <sheetName val="[Spt-BH.xls][Spt-BH_xls]_S_1164"/>
      <sheetName val="[Spt-BH.xls][Spt-BH_xls]B__3528"/>
      <sheetName val="[Spt-BH.xls][Spt-BH_xls]B__3529"/>
      <sheetName val="[Spt-BH.xls][Spt-BH_xls]_S_1165"/>
      <sheetName val="[Spt-BH.xls][Spt-BH.xls]B__3627"/>
      <sheetName val="[Spt-BH.xls][Spt-BH.xls]B__3628"/>
      <sheetName val="[Spt-BH.xls][Spt-BH.xls]B__3629"/>
      <sheetName val="[Spt-BH.xls][Spt-BH.xls]B__3630"/>
      <sheetName val="[Spt-BH.xls]B____x005f_x0004______295"/>
      <sheetName val="[Spt-BH.xls]B___x005f_x0000__x000_289"/>
      <sheetName val="[Spt-BH.xls][Spt-BH.xls]B__3631"/>
      <sheetName val="[Spt-BH.xls][Spt-BH.xls]B__3620"/>
      <sheetName val="[Spt-BH.xls][Spt-BH.xls]B__3621"/>
      <sheetName val="[Spt-BH.xls][Spt-BH.xls]B__3622"/>
      <sheetName val="[Spt-BH.xls][Spt-BH.xls]B__3623"/>
      <sheetName val="[Spt-BH.xls][Spt-BH.xls]B__3632"/>
      <sheetName val="[Spt-BH.xls][Spt-BH.xls]B__3624"/>
      <sheetName val="[Spt-BH.xls][Spt-BH.xls]B__3625"/>
      <sheetName val="[Spt-BH.xls][Spt-BH.xls]B__3626"/>
      <sheetName val="[Spt-BH.xls][Spt-BH_xls]B__3530"/>
      <sheetName val="[Spt-BH.xls][Spt-BH_xls]B__3531"/>
      <sheetName val="[Spt-BH.xls][Spt-BH_xls]B__3532"/>
      <sheetName val="[Spt-BH.xls][Spt-BH_xls]B__3533"/>
      <sheetName val="[Spt-BH.xls][Spt-BH_xls]_S_1166"/>
      <sheetName val="[Spt-BH.xls][Spt-BH_xls]B__3534"/>
      <sheetName val="[Spt-BH.xls][Spt-BH_xls]B__3535"/>
      <sheetName val="[Spt-BH.xls][Spt-BH_xls]B__3536"/>
      <sheetName val="[Spt-BH.xls][Spt-BH_xls]_S_1167"/>
      <sheetName val="[Spt-BH.xls][Spt-BH_xls]B__3537"/>
      <sheetName val="[Spt-BH.xls][Spt-BH_xls]B__3538"/>
      <sheetName val="[Spt-BH.xls][Spt-BH_xls]B__3539"/>
      <sheetName val="[Spt-BH.xls][Spt-BH_xls]B__3540"/>
      <sheetName val="[Spt-BH.xls][Spt-BH_xls]_S_1168"/>
      <sheetName val="[Spt-BH.xls][Spt-BH_xls]B__3541"/>
      <sheetName val="[Spt-BH.xls][Spt-BH_xls]B__3542"/>
      <sheetName val="[Spt-BH.xls][Spt-BH_xls]_S_1169"/>
      <sheetName val="[Spt-BH.xls][Spt-BH_xls]B__3543"/>
      <sheetName val="[Spt-BH.xls][Spt-BH_xls]B__3544"/>
      <sheetName val="[Spt-BH.xls][Spt-BH_xls]_S_1170"/>
      <sheetName val="[Spt-BH.xls]B____x005f_x0004______296"/>
      <sheetName val="[Spt-BH.xls]B___x005f_x0000__x000_290"/>
      <sheetName val="[Spt-BH.xls][Spt-BH.xls]B__3633"/>
      <sheetName val="[Spt-BH.xls][Spt-BH_xls]B__3545"/>
      <sheetName val="[Spt-BH.xls][Spt-BH_xls]B__3546"/>
      <sheetName val="[Spt-BH.xls][Spt-BH_xls]B__3547"/>
      <sheetName val="[Spt-BH.xls][Spt-BH_xls]B__3548"/>
      <sheetName val="[Spt-BH.xls][Spt-BH_xls]_S_1171"/>
      <sheetName val="[Spt-BH.xls][Spt-BH_xls]B__3549"/>
      <sheetName val="[Spt-BH.xls][Spt-BH_xls]B__3550"/>
      <sheetName val="[Spt-BH.xls][Spt-BH_xls]B__3551"/>
      <sheetName val="[Spt-BH.xls][Spt-BH_xls]_S_1172"/>
      <sheetName val="[Spt-BH.xls][Spt-BH_xls]B__3552"/>
      <sheetName val="[Spt-BH.xls][Spt-BH_xls]B__3553"/>
      <sheetName val="[Spt-BH.xls][Spt-BH_xls]B__3554"/>
      <sheetName val="[Spt-BH.xls][Spt-BH_xls]B__3555"/>
      <sheetName val="[Spt-BH.xls][Spt-BH_xls]_S_1173"/>
      <sheetName val="[Spt-BH.xls][Spt-BH_xls]B__3556"/>
      <sheetName val="[Spt-BH.xls][Spt-BH_xls]B__3557"/>
      <sheetName val="[Spt-BH.xls][Spt-BH_xls]_S_1174"/>
      <sheetName val="[Spt-BH.xls][Spt-BH_xls]B__3558"/>
      <sheetName val="[Spt-BH.xls][Spt-BH_xls]B__3559"/>
      <sheetName val="[Spt-BH.xls][Spt-BH_xls]_S_1175"/>
      <sheetName val="[Spt-BH.xls]B____x005f_x0004______298"/>
      <sheetName val="[Spt-BH.xls]B___x005f_x0000__x000_292"/>
      <sheetName val="[Spt-BH.xls][Spt-BH.xls]B__3641"/>
      <sheetName val="[Spt-BH.xls][Spt-BH.xls]B__3642"/>
      <sheetName val="[Spt-BH.xls][Spt-BH.xls]B__3643"/>
      <sheetName val="[Spt-BH.xls][Spt-BH.xls]B__3644"/>
      <sheetName val="[Spt-BH.xls][Spt-BH.xls]_S_1291"/>
      <sheetName val="[Spt-BH.xls][Spt-BH.xls]B__3645"/>
      <sheetName val="[Spt-BH.xls][Spt-BH.xls]B__3646"/>
      <sheetName val="[Spt-BH.xls][Spt-BH.xls]B__3647"/>
      <sheetName val="[Spt-BH.xls][Spt-BH.xls]_S_1292"/>
      <sheetName val="[Spt-BH.xls][Spt-BH_xls]B__3575"/>
      <sheetName val="[Spt-BH.xls][Spt-BH_xls]B__3576"/>
      <sheetName val="[Spt-BH.xls][Spt-BH_xls]B__3577"/>
      <sheetName val="[Spt-BH.xls][Spt-BH_xls]B__3578"/>
      <sheetName val="[Spt-BH.xls][Spt-BH_xls]_S_1181"/>
      <sheetName val="[Spt-BH.xls][Spt-BH_xls]B__3579"/>
      <sheetName val="[Spt-BH.xls][Spt-BH_xls]B__3580"/>
      <sheetName val="[Spt-BH.xls][Spt-BH_xls]B__3581"/>
      <sheetName val="[Spt-BH.xls][Spt-BH_xls]_S_1182"/>
      <sheetName val="[Spt-BH.xls][Spt-BH_xls]B__3582"/>
      <sheetName val="[Spt-BH.xls][Spt-BH_xls]B__3583"/>
      <sheetName val="[Spt-BH.xls][Spt-BH_xls]B__3584"/>
      <sheetName val="[Spt-BH.xls][Spt-BH_xls]B__3585"/>
      <sheetName val="[Spt-BH.xls][Spt-BH_xls]_S_1183"/>
      <sheetName val="[Spt-BH.xls][Spt-BH_xls]B__3586"/>
      <sheetName val="[Spt-BH.xls][Spt-BH_xls]B__3587"/>
      <sheetName val="[Spt-BH.xls][Spt-BH_xls]_S_1184"/>
      <sheetName val="[Spt-BH.xls][Spt-BH_xls]B__3588"/>
      <sheetName val="[Spt-BH.xls][Spt-BH_xls]B__3589"/>
      <sheetName val="[Spt-BH.xls][Spt-BH_xls]_S_1185"/>
      <sheetName val="[Spt-BH.xls][Spt-BH.xls]_S_1298"/>
      <sheetName val="[Spt-BH.xls][Spt-BH.xls]_S_1296"/>
      <sheetName val="[Spt-BH.xls][Spt-BH.xls]_S_1297"/>
      <sheetName val="[Spt-BH.xls][Spt-BH.xls]_S_1299"/>
      <sheetName val="[Spt-BH.xls][Spt-BH.xls]_S_1300"/>
      <sheetName val="[Spt-BH.xls][Spt-BH.xls]B__3654"/>
      <sheetName val="[Spt-BH.xls][Spt-BH.xls]B__3655"/>
      <sheetName val="[Spt-BH.xls][Spt-BH.xls]_S_1302"/>
      <sheetName val="[Spt-BH.xls][Spt-BH.xls]B__3656"/>
      <sheetName val="[Spt-BH.xls][Spt-BH.xls]B__3657"/>
      <sheetName val="[Spt-BH.xls][Spt-BH.xls]B__3658"/>
      <sheetName val="[Spt-BH.xls][Spt-BH.xls]B__3659"/>
      <sheetName val="[Spt-BH.xls][Spt-BH.xls]_S_1301"/>
      <sheetName val="B@__x0004_@_x0000"/>
      <sheetName val="B@__x0004_@__$_x0"/>
      <sheetName val="[Spt-BH.xls][Spt-BH.xls]B@[_x0004_@"/>
      <sheetName val="B@__x0004_@_"/>
      <sheetName val="SàQa_x0005_@_x000"/>
      <sheetName val="_Spt-BH.xls_B@__x0004_@_"/>
      <sheetName val="B@__x0"/>
      <sheetName val="B@[_x0004_@_x0000"/>
      <sheetName val="Direct co_x0006__x0017__x000a__x000e__x000d_ "/>
      <sheetName val=" _x0008__x0011_ "/>
      <sheetName val="[Spt-BH.xls][Spt-BH.xls]_S_1303"/>
      <sheetName val="[Spt-BH.xls][Spt-BH.xls]B__3660"/>
      <sheetName val="[Spt-BH.xls][Spt-BH.xls]B__3661"/>
      <sheetName val="[Spt-BH.xls][Spt-BH.xls]_S_1305"/>
      <sheetName val="[Spt-BH.xls][Spt-BH.xls]B__3662"/>
      <sheetName val="[Spt-BH.xls][Spt-BH.xls]B__3663"/>
      <sheetName val="[Spt-BH.xls][Spt-BH.xls]B__3664"/>
      <sheetName val="[Spt-BH.xls][Spt-BH.xls]B__3665"/>
      <sheetName val="[Spt-BH.xls][Spt-BH.xls]_S_1304"/>
      <sheetName val="[Spt-BH.xls][Spt-BH.xls]_S_1551"/>
      <sheetName val="[Spt-BH.xls][Spt-BH.xls]B__4347"/>
      <sheetName val="[Spt-BH.xls][Spt-BH.xls]B__4348"/>
      <sheetName val="[Spt-BH.xls][Spt-BH.xls]_S_1567"/>
      <sheetName val="[Spt-BH.xls][Spt-BH.xls]B__4349"/>
      <sheetName val="[Spt-BH.xls][Spt-BH.xls]B__4350"/>
      <sheetName val="[Spt-BH.xls]B____x005f_x0004______337"/>
      <sheetName val="[Spt-BH.xls]B___x005f_x0000__x000_331"/>
      <sheetName val="[Spt-BH.xls][Spt-BH.xls]B__4351"/>
      <sheetName val="[Spt-BH.xls][Spt-BH.xls]B__4327"/>
      <sheetName val="[Spt-BH.xls][Spt-BH.xls]B__4328"/>
      <sheetName val="[Spt-BH.xls][Spt-BH.xls]_S_1557"/>
      <sheetName val="[Spt-BH.xls][Spt-BH.xls]B__4329"/>
      <sheetName val="[Spt-BH.xls][Spt-BH.xls]B__4330"/>
      <sheetName val="[Spt-BH.xls][Spt-BH.xls]B__4352"/>
      <sheetName val="[Spt-BH.xls][Spt-BH.xls]B__4331"/>
      <sheetName val="[Spt-BH.xls][Spt-BH.xls]B__4332"/>
      <sheetName val="[Spt-BH.xls][Spt-BH.xls]B__4333"/>
      <sheetName val="[Spt-BH.xls][Spt-BH.xls]_S_1552"/>
      <sheetName val="[Spt-BH.xls][Spt-BH.xls]_S_1558"/>
      <sheetName val="[Spt-BH.xls][Spt-BH_xls]B__4130"/>
      <sheetName val="[Spt-BH.xls][Spt-BH_xls]B__4131"/>
      <sheetName val="[Spt-BH.xls][Spt-BH_xls]B__4132"/>
      <sheetName val="[Spt-BH.xls][Spt-BH_xls]B__4133"/>
      <sheetName val="[Spt-BH.xls][Spt-BH_xls]_S_1366"/>
      <sheetName val="[Spt-BH.xls][Spt-BH_xls]B__4134"/>
      <sheetName val="[Spt-BH.xls][Spt-BH_xls]B__4135"/>
      <sheetName val="[Spt-BH.xls][Spt-BH_xls]B__4136"/>
      <sheetName val="[Spt-BH.xls][Spt-BH_xls]_S_1367"/>
      <sheetName val="[Spt-BH.xls][Spt-BH_xls]B__4137"/>
      <sheetName val="[Spt-BH.xls][Spt-BH_xls]B__4138"/>
      <sheetName val="[Spt-BH.xls][Spt-BH_xls]B__4139"/>
      <sheetName val="[Spt-BH.xls][Spt-BH_xls]B__4140"/>
      <sheetName val="[Spt-BH.xls][Spt-BH_xls]_S_1368"/>
      <sheetName val="[Spt-BH.xls][Spt-BH_xls]B__4141"/>
      <sheetName val="[Spt-BH.xls][Spt-BH_xls]B__4142"/>
      <sheetName val="[Spt-BH.xls][Spt-BH_xls]_S_1369"/>
      <sheetName val="[Spt-BH.xls][Spt-BH_xls]B__4143"/>
      <sheetName val="[Spt-BH.xls][Spt-BH_xls]B__4144"/>
      <sheetName val="[Spt-BH.xls][Spt-BH_xls]_S_1370"/>
      <sheetName val="[Spt-BH.xls][Spt-BH.xls]B__3810"/>
      <sheetName val="[Spt-BH.xls][Spt-BH.xls]B__3811"/>
      <sheetName val="[Spt-BH.xls][Spt-BH.xls]_S_1354"/>
      <sheetName val="[Spt-BH.xls][Spt-BH.xls]B__3812"/>
      <sheetName val="[Spt-BH.xls][Spt-BH.xls]B__3813"/>
      <sheetName val="[Spt-BH.xls][Spt-BH.xls]_S_1306"/>
      <sheetName val="[Spt-BH.xls][Spt-BH.xls]B__3685"/>
      <sheetName val="[Spt-BH.xls][Spt-BH.xls]B__3686"/>
      <sheetName val="[Spt-BH.xls][Spt-BH.xls]_S_1309"/>
      <sheetName val="[Spt-BH.xls][Spt-BH.xls]B__3687"/>
      <sheetName val="[Spt-BH.xls][Spt-BH.xls]B__3688"/>
      <sheetName val="[Spt-BH.xls][Spt-BH.xls]B__3689"/>
      <sheetName val="[Spt-BH.xls][Spt-BH.xls]_S_1307"/>
      <sheetName val="[Spt-BH.xls][Spt-BH.xls]B__3690"/>
      <sheetName val="[Spt-BH.xls][Spt-BH.xls]_S_1308"/>
      <sheetName val="[Spt-BH.xls][Spt-BH.xls]B__3672"/>
      <sheetName val="[Spt-BH.xls][Spt-BH.xls]B__3673"/>
      <sheetName val="[Spt-BH.xls][Spt-BH.xls]B__3674"/>
      <sheetName val="[Spt-BH.xls][Spt-BH.xls]B__3675"/>
      <sheetName val="[Spt-BH.xls][Spt-BH.xls]B__3676"/>
      <sheetName val="[Spt-BH.xls][Spt-BH.xls]B__3666"/>
      <sheetName val="[Spt-BH.xls][Spt-BH.xls]B__3667"/>
      <sheetName val="[Spt-BH.xls][Spt-BH.xls]B__3668"/>
      <sheetName val="[Spt-BH.xls][Spt-BH.xls]B__3677"/>
      <sheetName val="[Spt-BH.xls][Spt-BH.xls]B__3669"/>
      <sheetName val="[Spt-BH.xls][Spt-BH.xls]B__3670"/>
      <sheetName val="[Spt-BH.xls][Spt-BH.xls]B__3671"/>
      <sheetName val="[Spt-BH.xls][Spt-BH.xls]B__3679"/>
      <sheetName val="[Spt-BH.xls][Spt-BH.xls]B__3680"/>
      <sheetName val="[Spt-BH.xls][Spt-BH.xls]B__3681"/>
      <sheetName val="[Spt-BH.xls][Spt-BH.xls]B__3682"/>
      <sheetName val="[Spt-BH.xls]B____x005f_x0004______299"/>
      <sheetName val="[Spt-BH.xls]B___x005f_x0000__x000_293"/>
      <sheetName val="[Spt-BH.xls][Spt-BH.xls]B__3683"/>
      <sheetName val="[Spt-BH.xls][Spt-BH.xls]B__3684"/>
      <sheetName val="[Spt-BH.xls][Spt-BH.xls]B__3678"/>
      <sheetName val="[Spt-BH.xls][Spt-BH_xls]B__3590"/>
      <sheetName val="[Spt-BH.xls][Spt-BH_xls]B__3591"/>
      <sheetName val="[Spt-BH.xls][Spt-BH_xls]B__3592"/>
      <sheetName val="[Spt-BH.xls][Spt-BH_xls]B__3593"/>
      <sheetName val="[Spt-BH.xls][Spt-BH_xls]_S_1186"/>
      <sheetName val="[Spt-BH.xls][Spt-BH_xls]B__3594"/>
      <sheetName val="[Spt-BH.xls][Spt-BH_xls]B__3595"/>
      <sheetName val="[Spt-BH.xls][Spt-BH_xls]B__3596"/>
      <sheetName val="[Spt-BH.xls][Spt-BH_xls]_S_1187"/>
      <sheetName val="[Spt-BH.xls][Spt-BH_xls]B__3597"/>
      <sheetName val="[Spt-BH.xls][Spt-BH_xls]B__3598"/>
      <sheetName val="[Spt-BH.xls][Spt-BH_xls]B__3599"/>
      <sheetName val="[Spt-BH.xls][Spt-BH_xls]B__3600"/>
      <sheetName val="[Spt-BH.xls][Spt-BH_xls]_S_1188"/>
      <sheetName val="[Spt-BH.xls][Spt-BH_xls]B__3601"/>
      <sheetName val="[Spt-BH.xls][Spt-BH_xls]B__3602"/>
      <sheetName val="[Spt-BH.xls][Spt-BH_xls]_S_1189"/>
      <sheetName val="[Spt-BH.xls][Spt-BH_xls]B__3603"/>
      <sheetName val="[Spt-BH.xls][Spt-BH_xls]B__3604"/>
      <sheetName val="[Spt-BH.xls][Spt-BH_xls]_S_1190"/>
      <sheetName val="[Spt-BH.xls][Spt-BH.xls]B__3692"/>
      <sheetName val="[Spt-BH.xls][Spt-BH.xls]B__3693"/>
      <sheetName val="[Spt-BH.xls][Spt-BH.xls]_S_1325"/>
      <sheetName val="[Spt-BH.xls][Spt-BH.xls]B__3694"/>
      <sheetName val="[Spt-BH.xls][Spt-BH.xls]B__3695"/>
      <sheetName val="[Spt-BH.xls]B____x005f_x0004______300"/>
      <sheetName val="[Spt-BH.xls]B___x005f_x0000__x000_294"/>
      <sheetName val="[Spt-BH.xls][Spt-BH.xls]B__3696"/>
      <sheetName val="[Spt-BH.xls][Spt-BH.xls]B__3697"/>
      <sheetName val="[Spt-BH.xls][Spt-BH.xls]B__3691"/>
      <sheetName val="[Spt-BH.xls][Spt-BH.xls]_S_1310"/>
      <sheetName val="[Spt-BH.xls][Spt-BH_xls]B__3605"/>
      <sheetName val="[Spt-BH.xls][Spt-BH_xls]B__3606"/>
      <sheetName val="[Spt-BH.xls][Spt-BH_xls]B__3607"/>
      <sheetName val="[Spt-BH.xls][Spt-BH_xls]B__3608"/>
      <sheetName val="[Spt-BH.xls][Spt-BH_xls]_S_1191"/>
      <sheetName val="[Spt-BH.xls][Spt-BH_xls]B__3609"/>
      <sheetName val="[Spt-BH.xls][Spt-BH_xls]B__3610"/>
      <sheetName val="[Spt-BH.xls][Spt-BH_xls]B__3611"/>
      <sheetName val="[Spt-BH.xls][Spt-BH_xls]_S_1192"/>
      <sheetName val="[Spt-BH.xls][Spt-BH_xls]B__3612"/>
      <sheetName val="[Spt-BH.xls][Spt-BH_xls]B__3613"/>
      <sheetName val="[Spt-BH.xls][Spt-BH_xls]B__3614"/>
      <sheetName val="[Spt-BH.xls][Spt-BH_xls]B__3615"/>
      <sheetName val="[Spt-BH.xls][Spt-BH_xls]_S_1193"/>
      <sheetName val="[Spt-BH.xls][Spt-BH_xls]B__3616"/>
      <sheetName val="[Spt-BH.xls][Spt-BH_xls]B__3617"/>
      <sheetName val="[Spt-BH.xls][Spt-BH_xls]_S_1194"/>
      <sheetName val="[Spt-BH.xls][Spt-BH_xls]B__3618"/>
      <sheetName val="[Spt-BH.xls][Spt-BH_xls]B__3619"/>
      <sheetName val="[Spt-BH.xls][Spt-BH_xls]_S_1195"/>
      <sheetName val="[Spt-BH.xls][Spt-BH.xls]B__3742"/>
      <sheetName val="[Spt-BH.xls][Spt-BH.xls]B__3743"/>
      <sheetName val="[Spt-BH.xls][Spt-BH.xls]_S_1327"/>
      <sheetName val="[Spt-BH.xls][Spt-BH.xls]B__3744"/>
      <sheetName val="[Spt-BH.xls][Spt-BH.xls]B__3745"/>
      <sheetName val="[Spt-BH.xls][Spt-BH.xls]B__3746"/>
      <sheetName val="[Spt-BH.xls][Spt-BH.xls]B__3747"/>
      <sheetName val="[Spt-BH.xls][Spt-BH.xls]_S_1326"/>
      <sheetName val="[Spt-BH.xls][Spt-BH.xls]_S_1311"/>
      <sheetName val="[Spt-BH.xls][Spt-BH.xls]B__3698"/>
      <sheetName val="[Spt-BH.xls][Spt-BH.xls]B__3699"/>
      <sheetName val="[Spt-BH.xls][Spt-BH.xls]_S_1313"/>
      <sheetName val="[Spt-BH.xls][Spt-BH.xls]B__3700"/>
      <sheetName val="[Spt-BH.xls][Spt-BH.xls]B__3701"/>
      <sheetName val="[Spt-BH.xls][Spt-BH.xls]B__3702"/>
      <sheetName val="[Spt-BH.xls][Spt-BH.xls]B__3703"/>
      <sheetName val="[Spt-BH.xls][Spt-BH.xls]_S_1312"/>
      <sheetName val="[Spt-BH.xls][Spt-BH.xls]B__3704"/>
      <sheetName val="[Spt-BH.xls][Spt-BH.xls]B__3705"/>
      <sheetName val="[Spt-BH.xls][Spt-BH.xls]B__3706"/>
      <sheetName val="[Spt-BH.xls][Spt-BH.xls]B__3707"/>
      <sheetName val="[Spt-BH.xls][Spt-BH.xls]B__3708"/>
      <sheetName val="[Spt-BH.xls][Spt-BH.xls]B__3709"/>
      <sheetName val="[Spt-BH.xls][Spt-BH.xls]_S_1314"/>
      <sheetName val="[Spt-BH.xls][Spt-BH.xls]_S_1323"/>
      <sheetName val="[Spt-BH.xls][Spt-BH.xls]B__3735"/>
      <sheetName val="[Spt-BH.xls][Spt-BH.xls]B__3736"/>
      <sheetName val="[Spt-BH.xls][Spt-BH.xls]B__3737"/>
      <sheetName val="[Spt-BH.xls][Spt-BH.xls]B__3738"/>
      <sheetName val="[Spt-BH.xls][Spt-BH.xls]B__3739"/>
      <sheetName val="[Spt-BH.xls][Spt-BH.xls]B__3740"/>
      <sheetName val="[Spt-BH.xls][Spt-BH.xls]_S_1324"/>
      <sheetName val="[Spt-BH.xls][Spt-BH.xls]_S_1319"/>
      <sheetName val="[Spt-BH.xls]B____x005f_x0004______302"/>
      <sheetName val="[Spt-BH.xls]B___x005f_x0000__x000_296"/>
      <sheetName val="[Spt-BH.xls][Spt-BH.xls]B__3722"/>
      <sheetName val="[Spt-BH.xls][Spt-BH.xls]B__3723"/>
      <sheetName val="[Spt-BH.xls][Spt-BH.xls]B__3724"/>
      <sheetName val="[Spt-BH.xls][Spt-BH.xls]B__3725"/>
      <sheetName val="[Spt-BH.xls][Spt-BH.xls]B__3726"/>
      <sheetName val="[Spt-BH.xls][Spt-BH.xls]B__3727"/>
      <sheetName val="[Spt-BH.xls][Spt-BH.xls]_S_1315"/>
      <sheetName val="[Spt-BH.xls][Spt-BH.xls]B__3710"/>
      <sheetName val="[Spt-BH.xls][Spt-BH.xls]B__3711"/>
      <sheetName val="[Spt-BH.xls][Spt-BH.xls]B__3712"/>
      <sheetName val="[Spt-BH.xls][Spt-BH.xls]B__3713"/>
      <sheetName val="[Spt-BH.xls][Spt-BH.xls]B__3714"/>
      <sheetName val="[Spt-BH.xls][Spt-BH.xls]B__3715"/>
      <sheetName val="[Spt-BH.xls][Spt-BH.xls]_S_1316"/>
      <sheetName val="[Spt-BH.xls][Spt-BH.xls]_S_1320"/>
      <sheetName val="[Spt-BH.xls][Spt-BH.xls]_S_1317"/>
      <sheetName val="[Spt-BH.xls]B____x005f_x0004______301"/>
      <sheetName val="[Spt-BH.xls]B___x005f_x0000__x000_295"/>
      <sheetName val="[Spt-BH.xls][Spt-BH.xls]B__3716"/>
      <sheetName val="[Spt-BH.xls][Spt-BH.xls]B__3717"/>
      <sheetName val="[Spt-BH.xls][Spt-BH.xls]B__3718"/>
      <sheetName val="[Spt-BH.xls][Spt-BH.xls]B__3719"/>
      <sheetName val="[Spt-BH.xls][Spt-BH.xls]B__3720"/>
      <sheetName val="[Spt-BH.xls][Spt-BH.xls]B__3721"/>
      <sheetName val="[Spt-BH.xls][Spt-BH.xls]_S_1318"/>
      <sheetName val="[Spt-BH.xls]B____x005f_x0004______304"/>
      <sheetName val="[Spt-BH.xls]B___x005f_x0000__x000_298"/>
      <sheetName val="[Spt-BH.xls][Spt-BH.xls]B__3741"/>
      <sheetName val="[Spt-BH.xls][Spt-BH_xls]B__3635"/>
      <sheetName val="[Spt-BH.xls][Spt-BH_xls]B__3636"/>
      <sheetName val="[Spt-BH.xls][Spt-BH_xls]B__3637"/>
      <sheetName val="[Spt-BH.xls][Spt-BH_xls]B__3638"/>
      <sheetName val="[Spt-BH.xls][Spt-BH_xls]_S_1201"/>
      <sheetName val="[Spt-BH.xls][Spt-BH_xls]B__3639"/>
      <sheetName val="[Spt-BH.xls][Spt-BH_xls]B__3640"/>
      <sheetName val="[Spt-BH.xls][Spt-BH_xls]B__3641"/>
      <sheetName val="[Spt-BH.xls][Spt-BH_xls]_S_1202"/>
      <sheetName val="[Spt-BH.xls][Spt-BH_xls]B__3642"/>
      <sheetName val="[Spt-BH.xls][Spt-BH_xls]B__3643"/>
      <sheetName val="[Spt-BH.xls][Spt-BH_xls]B__3644"/>
      <sheetName val="[Spt-BH.xls][Spt-BH_xls]B__3645"/>
      <sheetName val="[Spt-BH.xls][Spt-BH_xls]_S_1203"/>
      <sheetName val="[Spt-BH.xls][Spt-BH_xls]B__3646"/>
      <sheetName val="[Spt-BH.xls][Spt-BH_xls]B__3647"/>
      <sheetName val="[Spt-BH.xls][Spt-BH_xls]_S_1204"/>
      <sheetName val="[Spt-BH.xls][Spt-BH_xls]B__3648"/>
      <sheetName val="[Spt-BH.xls][Spt-BH_xls]B__3649"/>
      <sheetName val="[Spt-BH.xls][Spt-BH_xls]_S_1205"/>
      <sheetName val="[Spt-BH.xls][Spt-BH.xls]_S_1321"/>
      <sheetName val="[Spt-BH.xls][Spt-BH.xls]B__3728"/>
      <sheetName val="[Spt-BH.xls][Spt-BH.xls]B__3729"/>
      <sheetName val="[Spt-BH.xls][Spt-BH.xls]B__3730"/>
      <sheetName val="[Spt-BH.xls][Spt-BH.xls]B__3731"/>
      <sheetName val="[Spt-BH.xls][Spt-BH.xls]B__3732"/>
      <sheetName val="[Spt-BH.xls][Spt-BH.xls]B__3733"/>
      <sheetName val="[Spt-BH.xls][Spt-BH.xls]_S_1322"/>
      <sheetName val="[Spt-BH.xls]B____x005f_x0004______303"/>
      <sheetName val="[Spt-BH.xls]B___x005f_x0000__x000_297"/>
      <sheetName val="[Spt-BH.xls][Spt-BH.xls]B__3734"/>
      <sheetName val="[Spt-BH.xls][Spt-BH_xls]B__3620"/>
      <sheetName val="[Spt-BH.xls][Spt-BH_xls]B__3621"/>
      <sheetName val="[Spt-BH.xls][Spt-BH_xls]B__3622"/>
      <sheetName val="[Spt-BH.xls][Spt-BH_xls]B__3623"/>
      <sheetName val="[Spt-BH.xls][Spt-BH_xls]_S_1196"/>
      <sheetName val="[Spt-BH.xls][Spt-BH_xls]B__3624"/>
      <sheetName val="[Spt-BH.xls][Spt-BH_xls]B__3625"/>
      <sheetName val="[Spt-BH.xls][Spt-BH_xls]B__3626"/>
      <sheetName val="[Spt-BH.xls][Spt-BH_xls]_S_1197"/>
      <sheetName val="[Spt-BH.xls][Spt-BH_xls]B__3627"/>
      <sheetName val="[Spt-BH.xls][Spt-BH_xls]B__3628"/>
      <sheetName val="[Spt-BH.xls][Spt-BH_xls]B__3629"/>
      <sheetName val="[Spt-BH.xls][Spt-BH_xls]B__3630"/>
      <sheetName val="[Spt-BH.xls][Spt-BH_xls]_S_1198"/>
      <sheetName val="[Spt-BH.xls][Spt-BH_xls]B__3631"/>
      <sheetName val="[Spt-BH.xls][Spt-BH_xls]B__3632"/>
      <sheetName val="[Spt-BH.xls][Spt-BH_xls]_S_1199"/>
      <sheetName val="[Spt-BH.xls][Spt-BH_xls]B__3633"/>
      <sheetName val="[Spt-BH.xls][Spt-BH_xls]B__3634"/>
      <sheetName val="[Spt-BH.xls][Spt-BH_xls]_S_1200"/>
      <sheetName val="[Spt-BH.xls][Spt-BH.xls]_S_1328"/>
      <sheetName val="[Spt-BH.xls][Spt-BH.xls]B__3748"/>
      <sheetName val="[Spt-BH.xls][Spt-BH.xls]B__3749"/>
      <sheetName val="[Spt-BH.xls][Spt-BH.xls]_S_1329"/>
      <sheetName val="[Spt-BH.xls][Spt-BH.xls]_S_1330"/>
      <sheetName val="[Spt-BH.xls][Spt-BH.xls]B__3764"/>
      <sheetName val="[Spt-BH.xls][Spt-BH.xls]B__3765"/>
      <sheetName val="[Spt-BH.xls][Spt-BH.xls]_S_1337"/>
      <sheetName val="[Spt-BH.xls][Spt-BH.xls]B__3766"/>
      <sheetName val="[Spt-BH.xls][Spt-BH.xls]B__3767"/>
      <sheetName val="[Spt-BH.xls]B____x005f_x0004______306"/>
      <sheetName val="[Spt-BH.xls]B___x005f_x0000__x000_300"/>
      <sheetName val="[Spt-BH.xls][Spt-BH.xls]B__3768"/>
      <sheetName val="[Spt-BH.xls][Spt-BH.xls]B__3757"/>
      <sheetName val="[Spt-BH.xls][Spt-BH.xls]B__3758"/>
      <sheetName val="[Spt-BH.xls][Spt-BH.xls]_S_1335"/>
      <sheetName val="[Spt-BH.xls][Spt-BH.xls]B__3759"/>
      <sheetName val="[Spt-BH.xls][Spt-BH.xls]B__3760"/>
      <sheetName val="[Spt-BH.xls][Spt-BH.xls]B__3769"/>
      <sheetName val="[Spt-BH.xls][Spt-BH.xls]_S_1333"/>
      <sheetName val="[Spt-BH.xls][Spt-BH.xls]B__3761"/>
      <sheetName val="[Spt-BH.xls][Spt-BH.xls]B__3762"/>
      <sheetName val="[Spt-BH.xls][Spt-BH.xls]B__3763"/>
      <sheetName val="[Spt-BH.xls][Spt-BH.xls]_S_1336"/>
      <sheetName val="[Spt-BH.xls][Spt-BH_xls]B__3665"/>
      <sheetName val="[Spt-BH.xls][Spt-BH_xls]B__3666"/>
      <sheetName val="[Spt-BH.xls][Spt-BH_xls]B__3667"/>
      <sheetName val="[Spt-BH.xls][Spt-BH_xls]B__3668"/>
      <sheetName val="[Spt-BH.xls][Spt-BH_xls]_S_1211"/>
      <sheetName val="[Spt-BH.xls][Spt-BH_xls]B__3669"/>
      <sheetName val="[Spt-BH.xls][Spt-BH_xls]B__3670"/>
      <sheetName val="[Spt-BH.xls][Spt-BH_xls]B__3671"/>
      <sheetName val="[Spt-BH.xls][Spt-BH_xls]_S_1212"/>
      <sheetName val="[Spt-BH.xls][Spt-BH_xls]B__3672"/>
      <sheetName val="[Spt-BH.xls][Spt-BH_xls]B__3673"/>
      <sheetName val="[Spt-BH.xls][Spt-BH_xls]B__3674"/>
      <sheetName val="[Spt-BH.xls][Spt-BH_xls]B__3675"/>
      <sheetName val="[Spt-BH.xls][Spt-BH_xls]_S_1213"/>
      <sheetName val="[Spt-BH.xls][Spt-BH.xls]_S_1334"/>
      <sheetName val="[Spt-BH.xls][Spt-BH_xls]B__3676"/>
      <sheetName val="[Spt-BH.xls][Spt-BH_xls]B__3677"/>
      <sheetName val="[Spt-BH.xls][Spt-BH_xls]_S_1214"/>
      <sheetName val="[Spt-BH.xls][Spt-BH_xls]B__3678"/>
      <sheetName val="[Spt-BH.xls][Spt-BH_xls]B__3679"/>
      <sheetName val="[Spt-BH.xls][Spt-BH_xls]_S_1215"/>
      <sheetName val="[Spt-BH.xls]B____x005f_x0004______305"/>
      <sheetName val="[Spt-BH.xls]B___x005f_x0000__x000_299"/>
      <sheetName val="[Spt-BH.xls][Spt-BH.xls]B__3750"/>
      <sheetName val="[Spt-BH.xls][Spt-BH.xls]B__3751"/>
      <sheetName val="[Spt-BH.xls][Spt-BH.xls]B__3752"/>
      <sheetName val="[Spt-BH.xls][Spt-BH.xls]B__3753"/>
      <sheetName val="[Spt-BH.xls][Spt-BH.xls]_S_1331"/>
      <sheetName val="[Spt-BH.xls][Spt-BH.xls]B__3754"/>
      <sheetName val="[Spt-BH.xls][Spt-BH.xls]B__3755"/>
      <sheetName val="[Spt-BH.xls][Spt-BH.xls]B__3756"/>
      <sheetName val="[Spt-BH.xls][Spt-BH_xls]B__3650"/>
      <sheetName val="[Spt-BH.xls][Spt-BH_xls]B__3651"/>
      <sheetName val="[Spt-BH.xls][Spt-BH_xls]B__3652"/>
      <sheetName val="[Spt-BH.xls][Spt-BH_xls]B__3653"/>
      <sheetName val="[Spt-BH.xls][Spt-BH_xls]_S_1206"/>
      <sheetName val="[Spt-BH.xls][Spt-BH_xls]B__3654"/>
      <sheetName val="[Spt-BH.xls][Spt-BH_xls]B__3655"/>
      <sheetName val="[Spt-BH.xls][Spt-BH_xls]B__3656"/>
      <sheetName val="[Spt-BH.xls][Spt-BH_xls]_S_1207"/>
      <sheetName val="[Spt-BH.xls][Spt-BH_xls]B__3657"/>
      <sheetName val="[Spt-BH.xls][Spt-BH_xls]B__3658"/>
      <sheetName val="[Spt-BH.xls][Spt-BH_xls]B__3659"/>
      <sheetName val="[Spt-BH.xls][Spt-BH_xls]B__3660"/>
      <sheetName val="[Spt-BH.xls][Spt-BH_xls]_S_1208"/>
      <sheetName val="[Spt-BH.xls][Spt-BH.xls]_S_1332"/>
      <sheetName val="[Spt-BH.xls][Spt-BH_xls]B__3661"/>
      <sheetName val="[Spt-BH.xls][Spt-BH_xls]B__3662"/>
      <sheetName val="[Spt-BH.xls][Spt-BH_xls]_S_1209"/>
      <sheetName val="[Spt-BH.xls][Spt-BH_xls]B__3663"/>
      <sheetName val="[Spt-BH.xls][Spt-BH_xls]B__3664"/>
      <sheetName val="[Spt-BH.xls][Spt-BH_xls]_S_1210"/>
      <sheetName val="[Spt-BH.xls][Spt-BH.xls]_S_1338"/>
      <sheetName val="[Spt-BH.xls][Spt-BH.xls]B__3770"/>
      <sheetName val="[Spt-BH.xls][Spt-BH.xls]B__3771"/>
      <sheetName val="[Spt-BH.xls][Spt-BH.xls]_S_1341"/>
      <sheetName val="[Spt-BH.xls][Spt-BH.xls]B__3772"/>
      <sheetName val="[Spt-BH.xls][Spt-BH.xls]B__3773"/>
      <sheetName val="[Spt-BH.xls][Spt-BH.xls]B__3774"/>
      <sheetName val="[Spt-BH.xls][Spt-BH.xls]_S_1339"/>
      <sheetName val="[Spt-BH.xls][Spt-BH.xls]B__3775"/>
      <sheetName val="[Spt-BH.xls][Spt-BH.xls]_S_1340"/>
      <sheetName val="[Spt-BH.xls][Spt-BH.xls]_S_1342"/>
      <sheetName val="[Spt-BH.xls][Spt-BH.xls]_S_1343"/>
      <sheetName val="[Spt-BH.xls][Spt-BH.xls]B__3776"/>
      <sheetName val="[Spt-BH.xls][Spt-BH.xls]B__3777"/>
      <sheetName val="[Spt-BH.xls][Spt-BH.xls]_S_1345"/>
      <sheetName val="[Spt-BH.xls][Spt-BH.xls]B__3778"/>
      <sheetName val="[Spt-BH.xls][Spt-BH.xls]B__3779"/>
      <sheetName val="[Spt-BH.xls][Spt-BH.xls]B__3780"/>
      <sheetName val="[Spt-BH.xls][Spt-BH.xls]B__3781"/>
      <sheetName val="[Spt-BH.xls][Spt-BH.xls]_S_1344"/>
      <sheetName val="[Spt-BH.xls][Spt-BH.xls]B__3783"/>
      <sheetName val="[Spt-BH.xls][Spt-BH.xls]B__3784"/>
      <sheetName val="[Spt-BH.xls][Spt-BH.xls]_S_1347"/>
      <sheetName val="[Spt-BH.xls][Spt-BH.xls]B__3785"/>
      <sheetName val="[Spt-BH.xls][Spt-BH.xls]B__3786"/>
      <sheetName val="[Spt-BH.xls]B____x005f_x0004______307"/>
      <sheetName val="[Spt-BH.xls]B___x005f_x0000__x000_301"/>
      <sheetName val="[Spt-BH.xls][Spt-BH.xls]B__3787"/>
      <sheetName val="[Spt-BH.xls][Spt-BH.xls]B__3788"/>
      <sheetName val="[Spt-BH.xls][Spt-BH.xls]B__3782"/>
      <sheetName val="[Spt-BH.xls][Spt-BH.xls]_S_1346"/>
      <sheetName val="[Spt-BH.xls][Spt-BH_xls]B__3680"/>
      <sheetName val="[Spt-BH.xls][Spt-BH_xls]B__3681"/>
      <sheetName val="[Spt-BH.xls][Spt-BH_xls]B__3682"/>
      <sheetName val="[Spt-BH.xls][Spt-BH_xls]B__3683"/>
      <sheetName val="[Spt-BH.xls][Spt-BH_xls]_S_1216"/>
      <sheetName val="[Spt-BH.xls][Spt-BH_xls]B__3684"/>
      <sheetName val="[Spt-BH.xls][Spt-BH_xls]B__3685"/>
      <sheetName val="[Spt-BH.xls][Spt-BH_xls]B__3686"/>
      <sheetName val="[Spt-BH.xls][Spt-BH_xls]_S_1217"/>
      <sheetName val="[Spt-BH.xls][Spt-BH_xls]B__3687"/>
      <sheetName val="[Spt-BH.xls][Spt-BH_xls]B__3688"/>
      <sheetName val="[Spt-BH.xls][Spt-BH_xls]B__3689"/>
      <sheetName val="[Spt-BH.xls][Spt-BH_xls]B__3690"/>
      <sheetName val="[Spt-BH.xls][Spt-BH_xls]_S_1218"/>
      <sheetName val="[Spt-BH.xls][Spt-BH.xls]_S_1348"/>
      <sheetName val="[Spt-BH.xls][Spt-BH.xls]B__3789"/>
      <sheetName val="[Spt-BH.xls][Spt-BH.xls]B__3790"/>
      <sheetName val="[Spt-BH.xls][Spt-BH.xls]_S_1349"/>
      <sheetName val="[Spt-BH.xls][Spt-BH.xls]B__3791"/>
      <sheetName val="[Spt-BH.xls][Spt-BH.xls]B__3792"/>
      <sheetName val="[Spt-BH.xls]B____x005f_x0004______308"/>
      <sheetName val="[Spt-BH.xls]B___x005f_x0000__x000_302"/>
      <sheetName val="[Spt-BH.xls][Spt-BH.xls]B__3793"/>
      <sheetName val="[Spt-BH.xls][Spt-BH.xls]B__3794"/>
      <sheetName val="[Spt-BH.xls][Spt-BH.xls]B__3795"/>
      <sheetName val="[Spt-BH.xls][Spt-BH.xls]_S_1350"/>
      <sheetName val="[Spt-BH.xls][Spt-BH.xls]B__3796"/>
      <sheetName val="[Spt-BH.xls][Spt-BH.xls]B__3797"/>
      <sheetName val="[Spt-BH.xls]B____x005f_x0004______309"/>
      <sheetName val="[Spt-BH.xls]B___x005f_x0000__x000_303"/>
      <sheetName val="[Spt-BH.xls][Spt-BH.xls]B__3798"/>
      <sheetName val="[Spt-BH.xls][Spt-BH.xls]B__3799"/>
      <sheetName val="[Spt-BH.xls][Spt-BH.xls]B__3800"/>
      <sheetName val="[Spt-BH.xls][Spt-BH.xls]_S_1351"/>
      <sheetName val="[Spt-BH.xls][Spt-BH.xls]B__3801"/>
      <sheetName val="[Spt-BH.xls][Spt-BH.xls]B__3802"/>
      <sheetName val="[Spt-BH.xls]B____x005f_x0004______310"/>
      <sheetName val="[Spt-BH.xls]B___x005f_x0000__x000_304"/>
      <sheetName val="[Spt-BH.xls][Spt-BH.xls]B__3803"/>
      <sheetName val="[Spt-BH.xls][Spt-BH.xls]B__3804"/>
      <sheetName val="[Spt-BH.xls][Spt-BH.xls]B__3805"/>
      <sheetName val="[Spt-BH.xls][Spt-BH.xls]_S_1353"/>
      <sheetName val="[Spt-BH.xls][Spt-BH.xls]B__3806"/>
      <sheetName val="[Spt-BH.xls][Spt-BH.xls]B__3807"/>
      <sheetName val="[Spt-BH.xls][Spt-BH.xls]B__3808"/>
      <sheetName val="[Spt-BH.xls][Spt-BH.xls]B__3809"/>
      <sheetName val="[Spt-BH.xls][Spt-BH.xls]_S_1352"/>
      <sheetName val="[Spt-BH.xls][Spt-BH.xls]B__3814"/>
      <sheetName val="[Spt-BH.xls][Spt-BH.xls]B__3815"/>
      <sheetName val="[Spt-BH.xls][Spt-BH.xls]_S_1356"/>
      <sheetName val="[Spt-BH.xls][Spt-BH.xls]B__3816"/>
      <sheetName val="[Spt-BH.xls][Spt-BH.xls]B__3817"/>
      <sheetName val="[Spt-BH.xls][Spt-BH.xls]B__3818"/>
      <sheetName val="[Spt-BH.xls][Spt-BH.xls]B__3819"/>
      <sheetName val="[Spt-BH.xls][Spt-BH.xls]_S_1355"/>
      <sheetName val="[Spt-BH.xls][Spt-BH.xls]_S_1357"/>
      <sheetName val="[Spt-BH.xls][Spt-BH.xls]_S_1525"/>
      <sheetName val="[Spt-BH.xls][Spt-BH.xls]_S_1451"/>
      <sheetName val="[Spt-BH.xls][Spt-BH.xls]B__4019"/>
      <sheetName val="[Spt-BH.xls][Spt-BH.xls]B__4020"/>
      <sheetName val="[Spt-BH.xls][Spt-BH.xls]_S_1447"/>
      <sheetName val="[Spt-BH.xls][Spt-BH.xls]B__4021"/>
      <sheetName val="[Spt-BH.xls][Spt-BH.xls]B__4022"/>
      <sheetName val="[Spt-BH.xls][Spt-BH_xls]B__3691"/>
      <sheetName val="[Spt-BH.xls][Spt-BH_xls]B__3692"/>
      <sheetName val="[Spt-BH.xls][Spt-BH_xls]_S_1219"/>
      <sheetName val="[Spt-BH.xls][Spt-BH_xls]B__3693"/>
      <sheetName val="[Spt-BH.xls][Spt-BH_xls]B__3694"/>
      <sheetName val="[Spt-BH.xls][Spt-BH_xls]_S_1220"/>
      <sheetName val="[Spt-BH.xls][Spt-BH_xls]B__3695"/>
      <sheetName val="[Spt-BH.xls][Spt-BH_xls]B__3696"/>
      <sheetName val="[Spt-BH.xls][Spt-BH_xls]B__3697"/>
      <sheetName val="[Spt-BH.xls][Spt-BH_xls]B__3698"/>
      <sheetName val="[Spt-BH.xls][Spt-BH_xls]_S_1221"/>
      <sheetName val="[Spt-BH.xls][Spt-BH_xls]B__3699"/>
      <sheetName val="[Spt-BH.xls][Spt-BH_xls]B__3700"/>
      <sheetName val="[Spt-BH.xls][Spt-BH_xls]B__3701"/>
      <sheetName val="[Spt-BH.xls][Spt-BH_xls]_S_1222"/>
      <sheetName val="[Spt-BH.xls][Spt-BH_xls]B__3702"/>
      <sheetName val="[Spt-BH.xls][Spt-BH_xls]B__3703"/>
      <sheetName val="[Spt-BH.xls][Spt-BH_xls]B__3704"/>
      <sheetName val="[Spt-BH.xls][Spt-BH_xls]B__3705"/>
      <sheetName val="[Spt-BH.xls][Spt-BH_xls]_S_1223"/>
      <sheetName val="[Spt-BH.xls][Spt-BH_xls]B__3706"/>
      <sheetName val="[Spt-BH.xls][Spt-BH_xls]B__3707"/>
      <sheetName val="[Spt-BH.xls][Spt-BH_xls]_S_1224"/>
      <sheetName val="[Spt-BH.xls][Spt-BH_xls]B__3708"/>
      <sheetName val="[Spt-BH.xls][Spt-BH_xls]B__3709"/>
      <sheetName val="[Spt-BH.xls][Spt-BH_xls]_S_1225"/>
      <sheetName val="[Spt-BH.xls][Spt-BH_xls]B__3710"/>
      <sheetName val="[Spt-BH.xls][Spt-BH_xls]B__3711"/>
      <sheetName val="[Spt-BH.xls][Spt-BH_xls]B__3712"/>
      <sheetName val="[Spt-BH.xls][Spt-BH_xls]B__3713"/>
      <sheetName val="[Spt-BH.xls][Spt-BH_xls]_S_1226"/>
      <sheetName val="[Spt-BH.xls][Spt-BH_xls]B__3714"/>
      <sheetName val="[Spt-BH.xls][Spt-BH_xls]B__3715"/>
      <sheetName val="[Spt-BH.xls][Spt-BH_xls]B__3716"/>
      <sheetName val="[Spt-BH.xls][Spt-BH_xls]_S_1227"/>
      <sheetName val="[Spt-BH.xls][Spt-BH_xls]B__3717"/>
      <sheetName val="[Spt-BH.xls][Spt-BH_xls]B__3718"/>
      <sheetName val="[Spt-BH.xls][Spt-BH_xls]B__3719"/>
      <sheetName val="[Spt-BH.xls][Spt-BH_xls]B__3720"/>
      <sheetName val="[Spt-BH.xls][Spt-BH_xls]_S_1228"/>
      <sheetName val="[Spt-BH.xls][Spt-BH_xls]B__3721"/>
      <sheetName val="[Spt-BH.xls][Spt-BH_xls]B__3722"/>
      <sheetName val="[Spt-BH.xls][Spt-BH_xls]_S_1229"/>
      <sheetName val="[Spt-BH.xls][Spt-BH_xls]B__3723"/>
      <sheetName val="[Spt-BH.xls][Spt-BH_xls]B__3724"/>
      <sheetName val="[Spt-BH.xls][Spt-BH_xls]_S_1230"/>
      <sheetName val="[Spt-BH.xls][Spt-BH.xls]_S_1409"/>
      <sheetName val="[Spt-BH.xls][Spt-BH.xls]_S_1358"/>
      <sheetName val="[Spt-BH.xls][Spt-BH.xls]_S_1360"/>
      <sheetName val="[Spt-BH.xls][Spt-BH.xls]B__3820"/>
      <sheetName val="[Spt-BH.xls][Spt-BH.xls]B__3821"/>
      <sheetName val="[Spt-BH.xls][Spt-BH.xls]B__3822"/>
      <sheetName val="[Spt-BH.xls][Spt-BH.xls]_S_1359"/>
      <sheetName val="[Spt-BH.xls][Spt-BH.xls]_S_1366"/>
      <sheetName val="[Spt-BH.xls][Spt-BH.xls]_S_1364"/>
      <sheetName val="[Spt-BH.xls][Spt-BH.xls]_S_1361"/>
      <sheetName val="[Spt-BH.xls][Spt-BH.xls]_S_1362"/>
      <sheetName val="[Spt-BH.xls][Spt-BH.xls]_S_1363"/>
      <sheetName val="[Spt-BH.xls][Spt-BH.xls]_S_1365"/>
      <sheetName val="[Spt-BH.xls][Spt-BH.xls]B__3823"/>
      <sheetName val="[Spt-BH.xls][Spt-BH.xls]B__3824"/>
      <sheetName val="[Spt-BH.xls][Spt-BH.xls]_S_1369"/>
      <sheetName val="[Spt-BH.xls][Spt-BH.xls]B__3825"/>
      <sheetName val="[Spt-BH.xls][Spt-BH.xls]B__3826"/>
      <sheetName val="[Spt-BH.xls][Spt-BH.xls]B__3827"/>
      <sheetName val="[Spt-BH.xls][Spt-BH.xls]_S_1367"/>
      <sheetName val="[Spt-BH.xls][Spt-BH.xls]B__3828"/>
      <sheetName val="[Spt-BH.xls][Spt-BH.xls]_S_1368"/>
      <sheetName val="[Spt-BH.xls][Spt-BH.xls]B__3854"/>
      <sheetName val="[Spt-BH.xls][Spt-BH.xls]B__3855"/>
      <sheetName val="[Spt-BH.xls][Spt-BH.xls]_S_1397"/>
      <sheetName val="[Spt-BH.xls][Spt-BH.xls]B__3856"/>
      <sheetName val="[Spt-BH.xls][Spt-BH.xls]B__3857"/>
      <sheetName val="[Spt-BH.xls][Spt-BH.xls]B__3829"/>
      <sheetName val="[Spt-BH.xls][Spt-BH.xls]B__3830"/>
      <sheetName val="[Spt-BH.xls][Spt-BH.xls]_S_1372"/>
      <sheetName val="[Spt-BH.xls][Spt-BH.xls]B__3831"/>
      <sheetName val="[Spt-BH.xls][Spt-BH.xls]B__3832"/>
      <sheetName val="[Spt-BH.xls][Spt-BH.xls]B__3833"/>
      <sheetName val="[Spt-BH.xls][Spt-BH.xls]_S_1370"/>
      <sheetName val="[Spt-BH.xls][Spt-BH.xls]B__3834"/>
      <sheetName val="[Spt-BH.xls][Spt-BH.xls]_S_1371"/>
      <sheetName val="[Spt-BH.xls][Spt-BH.xls]_S_1373"/>
      <sheetName val="[Spt-BH.xls][Spt-BH.xls]B__3835"/>
      <sheetName val="[Spt-BH.xls][Spt-BH.xls]B__3836"/>
      <sheetName val="[Spt-BH.xls][Spt-BH.xls]B__3837"/>
      <sheetName val="[Spt-BH.xls][Spt-BH.xls]B__3838"/>
      <sheetName val="[Spt-BH.xls][Spt-BH.xls]B__3839"/>
      <sheetName val="[Spt-BH.xls][Spt-BH.xls]B__3840"/>
      <sheetName val="[Spt-BH.xls][Spt-BH.xls]_S_1377"/>
      <sheetName val="[Spt-BH.xls][Spt-BH.xls]B__3841"/>
      <sheetName val="[Spt-BH.xls][Spt-BH.xls]B__3842"/>
      <sheetName val="[Spt-BH.xls][Spt-BH.xls]_S_1375"/>
      <sheetName val="[Spt-BH.xls][Spt-BH.xls]B__3847"/>
      <sheetName val="[Spt-BH.xls][Spt-BH.xls]B__3848"/>
      <sheetName val="[Spt-BH.xls][Spt-BH.xls]B__3849"/>
      <sheetName val="[Spt-BH.xls][Spt-BH.xls]B__3850"/>
      <sheetName val="[Spt-BH.xls][Spt-BH.xls]B__3858"/>
      <sheetName val="[Spt-BH.xls][Spt-BH.xls]B__3859"/>
      <sheetName val="[Spt-BH.xls][Spt-BH.xls]B__3851"/>
      <sheetName val="[Spt-BH.xls][Spt-BH.xls]B__3852"/>
      <sheetName val="[Spt-BH.xls][Spt-BH.xls]B__3853"/>
      <sheetName val="[Spt-BH.xls][Spt-BH.xls]_S_1376"/>
      <sheetName val="[Spt-BH.xls][Spt-BH.xls]_S_1378"/>
      <sheetName val="[Spt-BH.xls][Spt-BH_xls]B__3725"/>
      <sheetName val="[Spt-BH.xls][Spt-BH_xls]B__3726"/>
      <sheetName val="[Spt-BH.xls][Spt-BH_xls]B__3727"/>
      <sheetName val="[Spt-BH.xls][Spt-BH_xls]B__3728"/>
      <sheetName val="[Spt-BH.xls][Spt-BH_xls]_S_1231"/>
      <sheetName val="[Spt-BH.xls][Spt-BH_xls]B__3729"/>
      <sheetName val="[Spt-BH.xls][Spt-BH_xls]B__3730"/>
      <sheetName val="[Spt-BH.xls][Spt-BH_xls]B__3731"/>
      <sheetName val="[Spt-BH.xls][Spt-BH_xls]_S_1232"/>
      <sheetName val="[Spt-BH.xls][Spt-BH_xls]B__3732"/>
      <sheetName val="[Spt-BH.xls][Spt-BH_xls]B__3733"/>
      <sheetName val="[Spt-BH.xls][Spt-BH_xls]B__3734"/>
      <sheetName val="[Spt-BH.xls][Spt-BH_xls]B__3735"/>
      <sheetName val="[Spt-BH.xls][Spt-BH_xls]_S_1233"/>
      <sheetName val="[Spt-BH.xls][Spt-BH_xls]B__3736"/>
      <sheetName val="[Spt-BH.xls][Spt-BH_xls]B__3737"/>
      <sheetName val="[Spt-BH.xls][Spt-BH_xls]_S_1234"/>
      <sheetName val="[Spt-BH.xls][Spt-BH_xls]B__3738"/>
      <sheetName val="[Spt-BH.xls][Spt-BH_xls]B__3739"/>
      <sheetName val="[Spt-BH.xls][Spt-BH_xls]_S_1235"/>
      <sheetName val="[Spt-BH.xls][Spt-BH.xls]B__3843"/>
      <sheetName val="[Spt-BH.xls][Spt-BH.xls]B__3844"/>
      <sheetName val="[Spt-BH.xls][Spt-BH.xls]B__3845"/>
      <sheetName val="[Spt-BH.xls][Spt-BH.xls]B__3846"/>
      <sheetName val="[Spt-BH.xls][Spt-BH.xls]_S_1374"/>
      <sheetName val="[Spt-BH.xls][Spt-BH.xls]B__3914"/>
      <sheetName val="[Spt-BH.xls][Spt-BH.xls]B__3915"/>
      <sheetName val="[Spt-BH.xls][Spt-BH.xls]_S_1401"/>
      <sheetName val="[Spt-BH.xls][Spt-BH.xls]B__3916"/>
      <sheetName val="[Spt-BH.xls][Spt-BH.xls]B__3917"/>
      <sheetName val="[Spt-BH.xls][Spt-BH.xls]B__3918"/>
      <sheetName val="[Spt-BH.xls][Spt-BH.xls]B__3919"/>
      <sheetName val="[Spt-BH.xls][Spt-BH.xls]_S_1398"/>
      <sheetName val="[Spt-BH.xls][Spt-BH.xls]_S_1381"/>
      <sheetName val="[Spt-BH.xls][Spt-BH.xls]B__3866"/>
      <sheetName val="[Spt-BH.xls][Spt-BH.xls]B__3867"/>
      <sheetName val="[Spt-BH.xls][Spt-BH.xls]B__3868"/>
      <sheetName val="[Spt-BH.xls][Spt-BH.xls]B__3869"/>
      <sheetName val="[Spt-BH.xls][Spt-BH.xls]B__3870"/>
      <sheetName val="[Spt-BH.xls][Spt-BH.xls]B__3871"/>
      <sheetName val="[Spt-BH.xls][Spt-BH.xls]_S_1382"/>
      <sheetName val="[Spt-BH.xls][Spt-BH.xls]_S_1379"/>
      <sheetName val="[Spt-BH.xls][Spt-BH.xls]B__3860"/>
      <sheetName val="[Spt-BH.xls][Spt-BH.xls]B__3861"/>
      <sheetName val="[Spt-BH.xls][Spt-BH.xls]B__3862"/>
      <sheetName val="[Spt-BH.xls][Spt-BH.xls]B__3863"/>
      <sheetName val="[Spt-BH.xls][Spt-BH.xls]B__3864"/>
      <sheetName val="[Spt-BH.xls][Spt-BH.xls]B__3865"/>
      <sheetName val="[Spt-BH.xls][Spt-BH.xls]_S_1380"/>
      <sheetName val="[Spt-BH.xls][Spt-BH.xls]_S_1383"/>
      <sheetName val="[Spt-BH.xls][Spt-BH.xls]B__3872"/>
      <sheetName val="[Spt-BH.xls][Spt-BH.xls]B__3873"/>
      <sheetName val="[Spt-BH.xls][Spt-BH.xls]B__3874"/>
      <sheetName val="[Spt-BH.xls][Spt-BH.xls]B__3875"/>
      <sheetName val="[Spt-BH.xls][Spt-BH.xls]B__3876"/>
      <sheetName val="[Spt-BH.xls][Spt-BH.xls]B__3877"/>
      <sheetName val="[Spt-BH.xls][Spt-BH.xls]_S_1384"/>
      <sheetName val="[Spt-BH.xls][Spt-BH.xls]_S_1385"/>
      <sheetName val="[Spt-BH.xls][Spt-BH.xls]B__3878"/>
      <sheetName val="[Spt-BH.xls][Spt-BH.xls]B__3879"/>
      <sheetName val="[Spt-BH.xls][Spt-BH.xls]B__3880"/>
      <sheetName val="[Spt-BH.xls][Spt-BH.xls]B__3881"/>
      <sheetName val="[Spt-BH.xls][Spt-BH.xls]B__3882"/>
      <sheetName val="[Spt-BH.xls][Spt-BH.xls]B__3883"/>
      <sheetName val="[Spt-BH.xls][Spt-BH.xls]_S_1386"/>
      <sheetName val="[Spt-BH.xls][Spt-BH.xls]B__3884"/>
      <sheetName val="[Spt-BH.xls][Spt-BH.xls]B__3885"/>
      <sheetName val="[Spt-BH.xls][Spt-BH.xls]B__3886"/>
      <sheetName val="[Spt-BH.xls][Spt-BH.xls]B__3887"/>
      <sheetName val="[Spt-BH.xls][Spt-BH.xls]_S_1387"/>
      <sheetName val="[Spt-BH.xls][Spt-BH.xls]B__3888"/>
      <sheetName val="[Spt-BH.xls][Spt-BH.xls]B__3889"/>
      <sheetName val="[Spt-BH.xls][Spt-BH.xls]_S_1388"/>
      <sheetName val="[Spt-BH.xls][Spt-BH.xls]B__3896"/>
      <sheetName val="[Spt-BH.xls][Spt-BH.xls]B__3897"/>
      <sheetName val="[Spt-BH.xls][Spt-BH.xls]B__3898"/>
      <sheetName val="[Spt-BH.xls][Spt-BH.xls]B__3899"/>
      <sheetName val="[Spt-BH.xls][Spt-BH.xls]_S_1391"/>
      <sheetName val="[Spt-BH.xls][Spt-BH.xls]B__3900"/>
      <sheetName val="[Spt-BH.xls][Spt-BH.xls]B__3901"/>
      <sheetName val="[Spt-BH.xls][Spt-BH.xls]_S_1392"/>
      <sheetName val="[Spt-BH.xls][Spt-BH.xls]_S_1389"/>
      <sheetName val="[Spt-BH.xls][Spt-BH.xls]B__3890"/>
      <sheetName val="[Spt-BH.xls][Spt-BH.xls]B__3891"/>
      <sheetName val="[Spt-BH.xls][Spt-BH.xls]B__3892"/>
      <sheetName val="[Spt-BH.xls][Spt-BH.xls]B__3893"/>
      <sheetName val="[Spt-BH.xls][Spt-BH.xls]B__3894"/>
      <sheetName val="[Spt-BH.xls][Spt-BH.xls]B__3895"/>
      <sheetName val="[Spt-BH.xls][Spt-BH.xls]_S_1390"/>
      <sheetName val="[Spt-BH.xls][Spt-BH.xls]_S_1393"/>
      <sheetName val="[Spt-BH.xls][Spt-BH.xls]B__3902"/>
      <sheetName val="[Spt-BH.xls][Spt-BH.xls]B__3903"/>
      <sheetName val="[Spt-BH.xls][Spt-BH.xls]B__3904"/>
      <sheetName val="[Spt-BH.xls][Spt-BH.xls]B__3905"/>
      <sheetName val="[Spt-BH.xls][Spt-BH.xls]B__3906"/>
      <sheetName val="[Spt-BH.xls][Spt-BH.xls]B__3907"/>
      <sheetName val="[Spt-BH.xls][Spt-BH.xls]_S_1394"/>
      <sheetName val="[Spt-BH.xls][Spt-BH.xls]_S_1395"/>
      <sheetName val="[Spt-BH.xls][Spt-BH.xls]B__3908"/>
      <sheetName val="[Spt-BH.xls][Spt-BH.xls]B__3909"/>
      <sheetName val="[Spt-BH.xls][Spt-BH.xls]B__3910"/>
      <sheetName val="[Spt-BH.xls][Spt-BH.xls]B__3911"/>
      <sheetName val="[Spt-BH.xls][Spt-BH.xls]B__3912"/>
      <sheetName val="[Spt-BH.xls][Spt-BH.xls]B__3913"/>
      <sheetName val="[Spt-BH.xls][Spt-BH.xls]_S_1396"/>
      <sheetName val="[Spt-BH.xls][Spt-BH.xls]_S_1399"/>
      <sheetName val="[Spt-BH.xls][Spt-BH.xls]_S_1400"/>
      <sheetName val="[Spt-BH.xls][Spt-BH.xls]_S_1403"/>
      <sheetName val="[Spt-BH.xls][Spt-BH.xls]_S_1402"/>
      <sheetName val="[Spt-BH.xls][Spt-BH.xls]_S_1404"/>
      <sheetName val="[Spt-BH.xls][Spt-BH.xls]_S_1406"/>
      <sheetName val="[Spt-BH.xls][Spt-BH.xls]_S_1405"/>
      <sheetName val="[Spt-BH.xls][Spt-BH.xls]B__3920"/>
      <sheetName val="[Spt-BH.xls][Spt-BH.xls]B__3921"/>
      <sheetName val="[Spt-BH.xls][Spt-BH.xls]B__3922"/>
      <sheetName val="[Spt-BH.xls][Spt-BH.xls]B__3923"/>
      <sheetName val="[Spt-BH.xls][Spt-BH.xls]B__3924"/>
      <sheetName val="[Spt-BH.xls][Spt-BH.xls]B__3925"/>
      <sheetName val="[Spt-BH.xls][Spt-BH.xls]_S_1407"/>
      <sheetName val="[Spt-BH.xls][Spt-BH.xls]_S_1408"/>
      <sheetName val="[Spt-BH.xls][Spt-BH.xls]_S_1410"/>
      <sheetName val="[Spt-BH.xls][Spt-BH.xls]_S_1411"/>
      <sheetName val="[Spt-BH.xls][Spt-BH.xls]B__3933"/>
      <sheetName val="[Spt-BH.xls][Spt-BH.xls]B__3934"/>
      <sheetName val="[Spt-BH.xls][Spt-BH.xls]_S_1420"/>
      <sheetName val="[Spt-BH.xls][Spt-BH.xls]B__3935"/>
      <sheetName val="[Spt-BH.xls][Spt-BH.xls]B__3936"/>
      <sheetName val="[Spt-BH.xls]B____x005f_x0004______311"/>
      <sheetName val="[Spt-BH.xls]B___x005f_x0000__x000_305"/>
      <sheetName val="[Spt-BH.xls][Spt-BH.xls]B__3937"/>
      <sheetName val="[Spt-BH.xls][Spt-BH.xls]B__3926"/>
      <sheetName val="[Spt-BH.xls][Spt-BH.xls]B__3927"/>
      <sheetName val="[Spt-BH.xls][Spt-BH.xls]_S_1414"/>
      <sheetName val="[Spt-BH.xls][Spt-BH.xls]B__3928"/>
      <sheetName val="[Spt-BH.xls][Spt-BH.xls]B__3929"/>
      <sheetName val="[Spt-BH.xls][Spt-BH.xls]_S_1412"/>
      <sheetName val="[Spt-BH.xls][Spt-BH.xls]B__3938"/>
      <sheetName val="[Spt-BH.xls][Spt-BH.xls]B__3930"/>
      <sheetName val="[Spt-BH.xls][Spt-BH.xls]B__3931"/>
      <sheetName val="[Spt-BH.xls][Spt-BH.xls]_S_1415"/>
      <sheetName val="[Spt-BH.xls][Spt-BH_xls]B__3740"/>
      <sheetName val="[Spt-BH.xls][Spt-BH_xls]B__3741"/>
      <sheetName val="[Spt-BH.xls][Spt-BH_xls]B__3742"/>
      <sheetName val="[Spt-BH.xls][Spt-BH_xls]B__3743"/>
      <sheetName val="[Spt-BH.xls][Spt-BH_xls]_S_1236"/>
      <sheetName val="[Spt-BH.xls][Spt-BH_xls]B__3744"/>
      <sheetName val="[Spt-BH.xls][Spt-BH_xls]B__3745"/>
      <sheetName val="[Spt-BH.xls][Spt-BH_xls]B__3746"/>
      <sheetName val="[Spt-BH.xls][Spt-BH_xls]_S_1237"/>
      <sheetName val="[Spt-BH.xls][Spt-BH_xls]B__3747"/>
      <sheetName val="[Spt-BH.xls][Spt-BH_xls]B__3748"/>
      <sheetName val="[Spt-BH.xls][Spt-BH_xls]B__3749"/>
      <sheetName val="[Spt-BH.xls][Spt-BH_xls]B__3750"/>
      <sheetName val="[Spt-BH.xls][Spt-BH_xls]_S_1238"/>
      <sheetName val="[Spt-BH.xls][Spt-BH.xls]B__3932"/>
      <sheetName val="[Spt-BH.xls][Spt-BH.xls]_S_1413"/>
      <sheetName val="[Spt-BH.xls][Spt-BH_xls]B__3751"/>
      <sheetName val="[Spt-BH.xls][Spt-BH_xls]B__3752"/>
      <sheetName val="[Spt-BH.xls][Spt-BH_xls]_S_1239"/>
      <sheetName val="[Spt-BH.xls][Spt-BH_xls]B__3753"/>
      <sheetName val="[Spt-BH.xls][Spt-BH_xls]B__3754"/>
      <sheetName val="[Spt-BH.xls][Spt-BH_xls]_S_1240"/>
      <sheetName val="[Spt-BH.xls][Spt-BH.xls]B__3954"/>
      <sheetName val="[Spt-BH.xls][Spt-BH.xls]B__3955"/>
      <sheetName val="[Spt-BH.xls][Spt-BH.xls]_S_1424"/>
      <sheetName val="[Spt-BH.xls][Spt-BH.xls]B__3956"/>
      <sheetName val="[Spt-BH.xls][Spt-BH.xls]B__3957"/>
      <sheetName val="[Spt-BH.xls]B____x005f_x0004______312"/>
      <sheetName val="[Spt-BH.xls]B___x005f_x0000__x000_306"/>
      <sheetName val="[Spt-BH.xls][Spt-BH.xls]B__3958"/>
      <sheetName val="[Spt-BH.xls][Spt-BH.xls]B__3959"/>
      <sheetName val="[Spt-BH.xls][Spt-BH.xls]B__3939"/>
      <sheetName val="[Spt-BH.xls][Spt-BH.xls]_S_1421"/>
      <sheetName val="[Spt-BH.xls][Spt-BH_xls]B__3755"/>
      <sheetName val="[Spt-BH.xls][Spt-BH_xls]B__3756"/>
      <sheetName val="[Spt-BH.xls][Spt-BH_xls]B__3757"/>
      <sheetName val="[Spt-BH.xls][Spt-BH_xls]B__3758"/>
      <sheetName val="[Spt-BH.xls][Spt-BH_xls]_S_1241"/>
      <sheetName val="[Spt-BH.xls][Spt-BH_xls]B__3759"/>
      <sheetName val="[Spt-BH.xls][Spt-BH_xls]B__3760"/>
      <sheetName val="[Spt-BH.xls][Spt-BH_xls]B__3761"/>
      <sheetName val="[Spt-BH.xls][Spt-BH_xls]_S_1242"/>
      <sheetName val="[Spt-BH.xls][Spt-BH_xls]B__3762"/>
      <sheetName val="[Spt-BH.xls][Spt-BH_xls]B__3763"/>
      <sheetName val="[Spt-BH.xls][Spt-BH_xls]B__3764"/>
      <sheetName val="[Spt-BH.xls][Spt-BH_xls]B__3765"/>
      <sheetName val="[Spt-BH.xls][Spt-BH_xls]_S_1243"/>
      <sheetName val="[Spt-BH.xls][Spt-BH_xls]B__3766"/>
      <sheetName val="[Spt-BH.xls][Spt-BH_xls]B__3767"/>
      <sheetName val="[Spt-BH.xls][Spt-BH_xls]_S_1244"/>
      <sheetName val="[Spt-BH.xls][Spt-BH_xls]B__3768"/>
      <sheetName val="[Spt-BH.xls][Spt-BH_xls]B__3769"/>
      <sheetName val="[Spt-BH.xls][Spt-BH_xls]_S_1245"/>
      <sheetName val="[Spt-BH.xls][Spt-BH.xls]_S_1416"/>
      <sheetName val="[Spt-BH.xls][Spt-BH.xls]B__3940"/>
      <sheetName val="[Spt-BH.xls][Spt-BH.xls]B__3941"/>
      <sheetName val="[Spt-BH.xls][Spt-BH.xls]_S_1418"/>
      <sheetName val="[Spt-BH.xls][Spt-BH.xls]B__3942"/>
      <sheetName val="[Spt-BH.xls][Spt-BH.xls]B__3943"/>
      <sheetName val="[Spt-BH.xls][Spt-BH.xls]B__3944"/>
      <sheetName val="[Spt-BH.xls][Spt-BH.xls]B__3945"/>
      <sheetName val="[Spt-BH.xls][Spt-BH.xls]_S_1417"/>
      <sheetName val="[Spt-BH.xls][Spt-BH.xls]B__3947"/>
      <sheetName val="[Spt-BH.xls][Spt-BH.xls]B__3948"/>
      <sheetName val="[Spt-BH.xls][Spt-BH.xls]B__3949"/>
      <sheetName val="[Spt-BH.xls][Spt-BH.xls]B__3950"/>
      <sheetName val="[Spt-BH.xls]B____x005f_x0004______313"/>
      <sheetName val="[Spt-BH.xls]B___x005f_x0000__x000_307"/>
      <sheetName val="[Spt-BH.xls][Spt-BH.xls]B__3951"/>
      <sheetName val="[Spt-BH.xls][Spt-BH.xls]B__3952"/>
      <sheetName val="[Spt-BH.xls][Spt-BH.xls]B__3946"/>
      <sheetName val="[Spt-BH.xls][Spt-BH.xls]_S_1419"/>
      <sheetName val="[Spt-BH.xls][Spt-BH_xls]B__3770"/>
      <sheetName val="[Spt-BH.xls][Spt-BH_xls]B__3771"/>
      <sheetName val="[Spt-BH.xls][Spt-BH_xls]B__3772"/>
      <sheetName val="[Spt-BH.xls][Spt-BH_xls]B__3773"/>
      <sheetName val="[Spt-BH.xls][Spt-BH_xls]_S_1246"/>
      <sheetName val="[Spt-BH.xls][Spt-BH_xls]B__3774"/>
      <sheetName val="[Spt-BH.xls][Spt-BH_xls]B__3775"/>
      <sheetName val="[Spt-BH.xls][Spt-BH_xls]B__3776"/>
      <sheetName val="[Spt-BH.xls][Spt-BH_xls]_S_1247"/>
      <sheetName val="[Spt-BH.xls][Spt-BH_xls]B__3777"/>
      <sheetName val="[Spt-BH.xls][Spt-BH_xls]B__3778"/>
      <sheetName val="[Spt-BH.xls][Spt-BH_xls]B__3779"/>
      <sheetName val="[Spt-BH.xls][Spt-BH_xls]B__3780"/>
      <sheetName val="[Spt-BH.xls][Spt-BH_xls]_S_1248"/>
      <sheetName val="[Spt-BH.xls][Spt-BH_xls]B__3781"/>
      <sheetName val="[Spt-BH.xls][Spt-BH_xls]B__3782"/>
      <sheetName val="[Spt-BH.xls][Spt-BH_xls]_S_1249"/>
      <sheetName val="[Spt-BH.xls][Spt-BH_xls]B__3783"/>
      <sheetName val="[Spt-BH.xls][Spt-BH_xls]B__3784"/>
      <sheetName val="[Spt-BH.xls][Spt-BH_xls]_S_1250"/>
      <sheetName val="[Spt-BH.xls]B____x005f_x0004______314"/>
      <sheetName val="[Spt-BH.xls]B___x005f_x0000__x000_308"/>
      <sheetName val="[Spt-BH.xls][Spt-BH.xls]B__3953"/>
      <sheetName val="[Spt-BH.xls][Spt-BH_xls]B__3785"/>
      <sheetName val="[Spt-BH.xls][Spt-BH_xls]B__3786"/>
      <sheetName val="[Spt-BH.xls][Spt-BH_xls]B__3787"/>
      <sheetName val="[Spt-BH.xls][Spt-BH_xls]B__3788"/>
      <sheetName val="[Spt-BH.xls][Spt-BH_xls]_S_1251"/>
      <sheetName val="[Spt-BH.xls][Spt-BH_xls]B__3789"/>
      <sheetName val="[Spt-BH.xls][Spt-BH_xls]B__3790"/>
      <sheetName val="[Spt-BH.xls][Spt-BH_xls]B__3791"/>
      <sheetName val="[Spt-BH.xls][Spt-BH_xls]_S_1252"/>
      <sheetName val="[Spt-BH.xls][Spt-BH_xls]B__3792"/>
      <sheetName val="[Spt-BH.xls][Spt-BH_xls]B__3793"/>
      <sheetName val="[Spt-BH.xls][Spt-BH_xls]B__3794"/>
      <sheetName val="[Spt-BH.xls][Spt-BH_xls]B__3795"/>
      <sheetName val="[Spt-BH.xls][Spt-BH_xls]_S_1253"/>
      <sheetName val="[Spt-BH.xls][Spt-BH_xls]B__3796"/>
      <sheetName val="[Spt-BH.xls][Spt-BH_xls]B__3797"/>
      <sheetName val="[Spt-BH.xls][Spt-BH_xls]_S_1254"/>
      <sheetName val="[Spt-BH.xls][Spt-BH_xls]B__3798"/>
      <sheetName val="[Spt-BH.xls][Spt-BH_xls]B__3799"/>
      <sheetName val="[Spt-BH.xls][Spt-BH_xls]_S_1255"/>
      <sheetName val="[Spt-BH.xls][Spt-BH.xls]B__3967"/>
      <sheetName val="[Spt-BH.xls][Spt-BH.xls]B__3968"/>
      <sheetName val="[Spt-BH.xls][Spt-BH.xls]_S_1427"/>
      <sheetName val="[Spt-BH.xls][Spt-BH.xls]B__3969"/>
      <sheetName val="[Spt-BH.xls][Spt-BH.xls]B__3970"/>
      <sheetName val="[Spt-BH.xls]B____x005f_x0004______315"/>
      <sheetName val="[Spt-BH.xls]B___x005f_x0000__x000_309"/>
      <sheetName val="[Spt-BH.xls][Spt-BH.xls]B__3971"/>
      <sheetName val="[Spt-BH.xls][Spt-BH.xls]B__3972"/>
      <sheetName val="[Spt-BH.xls][Spt-BH.xls]B__3960"/>
      <sheetName val="[Spt-BH.xls][Spt-BH.xls]_S_1425"/>
      <sheetName val="[Spt-BH.xls][Spt-BH_xls]B__3800"/>
      <sheetName val="[Spt-BH.xls][Spt-BH_xls]B__3801"/>
      <sheetName val="[Spt-BH.xls][Spt-BH_xls]B__3802"/>
      <sheetName val="[Spt-BH.xls][Spt-BH_xls]B__3803"/>
      <sheetName val="[Spt-BH.xls][Spt-BH_xls]_S_1256"/>
      <sheetName val="[Spt-BH.xls][Spt-BH_xls]B__3804"/>
      <sheetName val="[Spt-BH.xls][Spt-BH_xls]B__3805"/>
      <sheetName val="[Spt-BH.xls][Spt-BH_xls]B__3806"/>
      <sheetName val="[Spt-BH.xls][Spt-BH_xls]_S_1257"/>
      <sheetName val="[Spt-BH.xls][Spt-BH_xls]B__3807"/>
      <sheetName val="[Spt-BH.xls][Spt-BH_xls]B__3808"/>
      <sheetName val="[Spt-BH.xls][Spt-BH_xls]B__3809"/>
      <sheetName val="[Spt-BH.xls][Spt-BH_xls]B__3810"/>
      <sheetName val="[Spt-BH.xls][Spt-BH_xls]_S_1258"/>
      <sheetName val="[Spt-BH.xls][Spt-BH_xls]B__3811"/>
      <sheetName val="[Spt-BH.xls][Spt-BH_xls]B__3812"/>
      <sheetName val="[Spt-BH.xls][Spt-BH_xls]_S_1259"/>
      <sheetName val="[Spt-BH.xls][Spt-BH_xls]B__3813"/>
      <sheetName val="[Spt-BH.xls][Spt-BH_xls]B__3814"/>
      <sheetName val="[Spt-BH.xls][Spt-BH_xls]_S_1260"/>
      <sheetName val="[Spt-BH.xls][Spt-BH.xls]_S_1422"/>
      <sheetName val="[Spt-BH.xls][Spt-BH.xls]B__3961"/>
      <sheetName val="[Spt-BH.xls][Spt-BH.xls]B__3962"/>
      <sheetName val="[Spt-BH.xls][Spt-BH.xls]B__3963"/>
      <sheetName val="[Spt-BH.xls][Spt-BH.xls]B__3964"/>
      <sheetName val="[Spt-BH.xls][Spt-BH.xls]B__3965"/>
      <sheetName val="[Spt-BH.xls][Spt-BH.xls]B__3966"/>
      <sheetName val="[Spt-BH.xls][Spt-BH.xls]_S_1423"/>
      <sheetName val="[Spt-BH.xls][Spt-BH.xls]B__3973"/>
      <sheetName val="[Spt-BH.xls][Spt-BH.xls]B__3974"/>
      <sheetName val="[Spt-BH.xls][Spt-BH.xls]_S_1429"/>
      <sheetName val="[Spt-BH.xls][Spt-BH.xls]B__3975"/>
      <sheetName val="[Spt-BH.xls][Spt-BH.xls]B__3976"/>
      <sheetName val="[Spt-BH.xls][Spt-BH.xls]B__3977"/>
      <sheetName val="[Spt-BH.xls][Spt-BH.xls]B__3978"/>
      <sheetName val="[Spt-BH.xls][Spt-BH.xls]_S_1428"/>
      <sheetName val="[Spt-BH.xls][Spt-BH.xls]_S_1426"/>
      <sheetName val="[Spt-BH.xls][Spt-BH.xls]_S_1430"/>
      <sheetName val="[Spt-BH.xls][Spt-BH.xls]_S_1437"/>
      <sheetName val="[Spt-BH.xls][Spt-BH.xls]B__3997"/>
      <sheetName val="[Spt-BH.xls][Spt-BH.xls]B__3998"/>
      <sheetName val="[Spt-BH.xls][Spt-BH.xls]_S_1440"/>
      <sheetName val="[Spt-BH.xls][Spt-BH.xls]B__3999"/>
      <sheetName val="[Spt-BH.xls][Spt-BH.xls]B__4000"/>
      <sheetName val="[Spt-BH.xls][Spt-BH.xls]B__4001"/>
      <sheetName val="[Spt-BH.xls][Spt-BH.xls]B__4002"/>
      <sheetName val="[Spt-BH.xls][Spt-BH.xls]_S_1438"/>
      <sheetName val="[Spt-BH.xls][Spt-BH.xls]_S_1431"/>
      <sheetName val="[Spt-BH.xls][Spt-BH.xls]B__3979"/>
      <sheetName val="[Spt-BH.xls][Spt-BH.xls]B__3980"/>
      <sheetName val="[Spt-BH.xls][Spt-BH.xls]B__3981"/>
      <sheetName val="[Spt-BH.xls][Spt-BH.xls]B__3982"/>
      <sheetName val="[Spt-BH.xls][Spt-BH.xls]B__3983"/>
      <sheetName val="[Spt-BH.xls][Spt-BH.xls]B__3984"/>
      <sheetName val="[Spt-BH.xls][Spt-BH.xls]_S_1432"/>
      <sheetName val="[Spt-BH.xls][Spt-BH.xls]_S_1433"/>
      <sheetName val="[Spt-BH.xls][Spt-BH.xls]B__3985"/>
      <sheetName val="[Spt-BH.xls][Spt-BH.xls]B__3986"/>
      <sheetName val="[Spt-BH.xls][Spt-BH.xls]B__3987"/>
      <sheetName val="[Spt-BH.xls][Spt-BH.xls]B__3988"/>
      <sheetName val="[Spt-BH.xls][Spt-BH.xls]B__3989"/>
      <sheetName val="[Spt-BH.xls][Spt-BH.xls]B__3990"/>
      <sheetName val="[Spt-BH.xls][Spt-BH.xls]_S_1434"/>
      <sheetName val="[Spt-BH.xls][Spt-BH.xls]_S_1435"/>
      <sheetName val="[Spt-BH.xls][Spt-BH.xls]B__3991"/>
      <sheetName val="[Spt-BH.xls][Spt-BH.xls]B__3992"/>
      <sheetName val="[Spt-BH.xls][Spt-BH.xls]B__3993"/>
      <sheetName val="[Spt-BH.xls][Spt-BH.xls]B__3994"/>
      <sheetName val="[Spt-BH.xls][Spt-BH.xls]B__3995"/>
      <sheetName val="[Spt-BH.xls][Spt-BH.xls]B__3996"/>
      <sheetName val="[Spt-BH.xls][Spt-BH.xls]_S_1436"/>
      <sheetName val="[Spt-BH.xls][Spt-BH.xls]_S_1439"/>
      <sheetName val="[Spt-BH.xls][Spt-BH.xls]_S_1443"/>
      <sheetName val="[Spt-BH.xls][Spt-BH.xls]B__4015"/>
      <sheetName val="[Spt-BH.xls][Spt-BH.xls]B__4016"/>
      <sheetName val="[Spt-BH.xls][Spt-BH.xls]_S_1446"/>
      <sheetName val="[Spt-BH.xls][Spt-BH.xls]B__4017"/>
      <sheetName val="[Spt-BH.xls][Spt-BH.xls]B__4018"/>
      <sheetName val="[Spt-BH.xls][Spt-BH.xls]B__4009"/>
      <sheetName val="[Spt-BH.xls][Spt-BH.xls]B__4010"/>
      <sheetName val="[Spt-BH.xls][Spt-BH.xls]_S_1445"/>
      <sheetName val="[Spt-BH.xls][Spt-BH.xls]B__4011"/>
      <sheetName val="[Spt-BH.xls][Spt-BH.xls]B__4012"/>
      <sheetName val="[Spt-BH.xls][Spt-BH.xls]B__4013"/>
      <sheetName val="[Spt-BH.xls][Spt-BH.xls]B__4014"/>
      <sheetName val="[Spt-BH.xls][Spt-BH.xls]_S_1444"/>
      <sheetName val="[Spt-BH.xls][Spt-BH.xls]_S_1441"/>
      <sheetName val="[Spt-BH.xls][Spt-BH.xls]B__4003"/>
      <sheetName val="[Spt-BH.xls][Spt-BH.xls]B__4004"/>
      <sheetName val="[Spt-BH.xls][Spt-BH.xls]B__4005"/>
      <sheetName val="[Spt-BH.xls][Spt-BH.xls]B__4006"/>
      <sheetName val="[Spt-BH.xls][Spt-BH.xls]B__4007"/>
      <sheetName val="[Spt-BH.xls][Spt-BH.xls]B__4008"/>
      <sheetName val="[Spt-BH.xls][Spt-BH.xls]_S_1442"/>
      <sheetName val="[Spt-BH.xls][Spt-BH.xls]B__4023"/>
      <sheetName val="[Spt-BH.xls][Spt-BH.xls]B__4024"/>
      <sheetName val="[Spt-BH.xls][Spt-BH.xls]_S_1450"/>
      <sheetName val="[Spt-BH.xls][Spt-BH.xls]B__4025"/>
      <sheetName val="[Spt-BH.xls][Spt-BH.xls]B__4026"/>
      <sheetName val="[Spt-BH.xls][Spt-BH.xls]B__4031"/>
      <sheetName val="[Spt-BH.xls][Spt-BH.xls]B__4032"/>
      <sheetName val="[Spt-BH.xls][Spt-BH.xls]B__4033"/>
      <sheetName val="[Spt-BH.xls][Spt-BH.xls]B__4034"/>
      <sheetName val="[Spt-BH.xls][Spt-BH.xls]_S_1448"/>
      <sheetName val="[Spt-BH.xls][Spt-BH.xls]_S_1449"/>
      <sheetName val="[Spt-BH.xls][Spt-BH.xls]B__4027"/>
      <sheetName val="[Spt-BH.xls][Spt-BH.xls]B__4028"/>
      <sheetName val="[Spt-BH.xls][Spt-BH.xls]B__4029"/>
      <sheetName val="[Spt-BH.xls][Spt-BH.xls]B__4030"/>
      <sheetName val="[Spt-BH.xls][Spt-BH.xls]_S_1453"/>
      <sheetName val="[Spt-BH.xls][Spt-BH.xls]_S_1452"/>
      <sheetName val="[Spt-BH.xls][Spt-BH.xls]_S_1455"/>
      <sheetName val="[Spt-BH.xls][Spt-BH.xls]_S_1454"/>
      <sheetName val="[Spt-BH.xls][Spt-BH.xls]B__4227"/>
      <sheetName val="[Spt-BH.xls][Spt-BH.xls]B__4228"/>
      <sheetName val="[Spt-BH.xls][Spt-BH.xls]B__4229"/>
      <sheetName val="[Spt-BH.xls][Spt-BH.xls]B__4230"/>
      <sheetName val="[Spt-BH.xls]B____x005f_x0004______316"/>
      <sheetName val="[Spt-BH.xls]B___x005f_x0000__x000_310"/>
      <sheetName val="[Spt-BH.xls][Spt-BH.xls]B__4231"/>
      <sheetName val="[Spt-BH.xls][Spt-BH.xls]B__4035"/>
      <sheetName val="[Spt-BH.xls][Spt-BH.xls]B__4036"/>
      <sheetName val="[Spt-BH.xls][Spt-BH.xls]_S_1520"/>
      <sheetName val="[Spt-BH.xls][Spt-BH.xls]B__4037"/>
      <sheetName val="[Spt-BH.xls][Spt-BH.xls]B__4038"/>
      <sheetName val="[Spt-BH.xls][Spt-BH.xls]_S_1456"/>
      <sheetName val="[Spt-BH.xls][Spt-BH.xls]B__4232"/>
      <sheetName val="[Spt-BH.xls][Spt-BH.xls]B__4039"/>
      <sheetName val="[Spt-BH.xls][Spt-BH.xls]B__4040"/>
      <sheetName val="[Spt-BH.xls][Spt-BH.xls]B__4041"/>
      <sheetName val="[Spt-BH.xls][Spt-BH.xls]B__4042"/>
      <sheetName val="[Spt-BH.xls][Spt-BH.xls]B__4043"/>
      <sheetName val="[Spt-BH.xls][Spt-BH.xls]B__4044"/>
      <sheetName val="[Spt-BH.xls][Spt-BH.xls]B__4045"/>
      <sheetName val="[Spt-BH.xls][Spt-BH.xls]B__4046"/>
      <sheetName val="[Spt-BH.xls][Spt-BH.xls]_S_1457"/>
      <sheetName val="[Spt-BH.xls][Spt-BH.xls]B__4047"/>
      <sheetName val="[Spt-BH.xls][Spt-BH.xls]B__4048"/>
      <sheetName val="[Spt-BH.xls][Spt-BH.xls]B__4049"/>
      <sheetName val="[Spt-BH.xls][Spt-BH.xls]B__4050"/>
      <sheetName val="[Spt-BH.xls][Spt-BH.xls]B__4051"/>
      <sheetName val="[Spt-BH.xls][Spt-BH.xls]B__4052"/>
      <sheetName val="[Spt-BH.xls][Spt-BH.xls]_S_1458"/>
      <sheetName val="[Spt-BH.xls][Spt-BH.xls]B__4053"/>
      <sheetName val="[Spt-BH.xls][Spt-BH.xls]B__4054"/>
      <sheetName val="[Spt-BH.xls][Spt-BH.xls]B__4055"/>
      <sheetName val="[Spt-BH.xls][Spt-BH.xls]B__4056"/>
      <sheetName val="[Spt-BH.xls][Spt-BH.xls]B__4057"/>
      <sheetName val="[Spt-BH.xls][Spt-BH.xls]B__4058"/>
      <sheetName val="[Spt-BH.xls][Spt-BH.xls]_S_1459"/>
      <sheetName val="[Spt-BH.xls][Spt-BH.xls]B__4059"/>
      <sheetName val="[Spt-BH.xls][Spt-BH.xls]_S_1461"/>
      <sheetName val="[Spt-BH.xls][Spt-BH.xls]_S_1464"/>
      <sheetName val="[Spt-BH.xls][Spt-BH.xls]B__4060"/>
      <sheetName val="[Spt-BH.xls][Spt-BH.xls]_S_1460"/>
      <sheetName val="[Spt-BH.xls]B____x005f_x0004______317"/>
      <sheetName val="[Spt-BH.xls]B___x005f_x0000__x000_311"/>
      <sheetName val="[Spt-BH.xls][Spt-BH_xls]B__3830"/>
      <sheetName val="[Spt-BH.xls][Spt-BH_xls]B__3831"/>
      <sheetName val="[Spt-BH.xls][Spt-BH_xls]B__3832"/>
      <sheetName val="[Spt-BH.xls][Spt-BH_xls]B__3833"/>
      <sheetName val="[Spt-BH.xls][Spt-BH_xls]_S_1266"/>
      <sheetName val="[Spt-BH.xls][Spt-BH_xls]B__3834"/>
      <sheetName val="[Spt-BH.xls][Spt-BH_xls]B__3835"/>
      <sheetName val="[Spt-BH.xls][Spt-BH_xls]B__3836"/>
      <sheetName val="[Spt-BH.xls][Spt-BH_xls]_S_1267"/>
      <sheetName val="[Spt-BH.xls][Spt-BH_xls]B__3837"/>
      <sheetName val="[Spt-BH.xls][Spt-BH_xls]B__3838"/>
      <sheetName val="[Spt-BH.xls][Spt-BH_xls]B__3839"/>
      <sheetName val="[Spt-BH.xls][Spt-BH_xls]B__3840"/>
      <sheetName val="[Spt-BH.xls][Spt-BH_xls]_S_1268"/>
      <sheetName val="[Spt-BH.xls][Spt-BH_xls]B__3841"/>
      <sheetName val="[Spt-BH.xls][Spt-BH_xls]B__3842"/>
      <sheetName val="[Spt-BH.xls][Spt-BH_xls]_S_1269"/>
      <sheetName val="[Spt-BH.xls][Spt-BH_xls]B__3843"/>
      <sheetName val="[Spt-BH.xls][Spt-BH_xls]B__3844"/>
      <sheetName val="[Spt-BH.xls][Spt-BH_xls]_S_1270"/>
      <sheetName val="[Spt-BH.xls][Spt-BH_xls]B__3815"/>
      <sheetName val="[Spt-BH.xls][Spt-BH_xls]B__3816"/>
      <sheetName val="[Spt-BH.xls][Spt-BH_xls]B__3817"/>
      <sheetName val="[Spt-BH.xls][Spt-BH_xls]B__3818"/>
      <sheetName val="[Spt-BH.xls][Spt-BH_xls]_S_1261"/>
      <sheetName val="[Spt-BH.xls][Spt-BH_xls]B__3819"/>
      <sheetName val="[Spt-BH.xls][Spt-BH_xls]B__3820"/>
      <sheetName val="[Spt-BH.xls][Spt-BH_xls]B__3821"/>
      <sheetName val="[Spt-BH.xls][Spt-BH_xls]_S_1262"/>
      <sheetName val="[Spt-BH.xls][Spt-BH_xls]B__3822"/>
      <sheetName val="[Spt-BH.xls][Spt-BH_xls]B__3823"/>
      <sheetName val="[Spt-BH.xls][Spt-BH_xls]B__3824"/>
      <sheetName val="[Spt-BH.xls][Spt-BH_xls]B__3825"/>
      <sheetName val="[Spt-BH.xls][Spt-BH_xls]_S_1263"/>
      <sheetName val="[Spt-BH.xls][Spt-BH_xls]B__3826"/>
      <sheetName val="[Spt-BH.xls][Spt-BH_xls]B__3827"/>
      <sheetName val="[Spt-BH.xls][Spt-BH_xls]_S_1264"/>
      <sheetName val="[Spt-BH.xls][Spt-BH_xls]B__3828"/>
      <sheetName val="[Spt-BH.xls][Spt-BH_xls]B__3829"/>
      <sheetName val="[Spt-BH.xls][Spt-BH_xls]_S_1265"/>
      <sheetName val="[Spt-BH.xls][Spt-BH.xls]_S_1462"/>
      <sheetName val="[Spt-BH.xls][Spt-BH.xls]_S_1463"/>
      <sheetName val="[Spt-BH.xls][Spt-BH.xls]B__4061"/>
      <sheetName val="[Spt-BH.xls][Spt-BH.xls]B__4062"/>
      <sheetName val="[Spt-BH.xls][Spt-BH.xls]_S_1465"/>
      <sheetName val="[Spt-BH.xls][Spt-BH.xls]B__4063"/>
      <sheetName val="[Spt-BH.xls][Spt-BH.xls]B__4064"/>
      <sheetName val="[Spt-BH.xls][Spt-BH.xls]B__4065"/>
      <sheetName val="[Spt-BH.xls][Spt-BH.xls]B__4066"/>
      <sheetName val="[Spt-BH.xls][Spt-BH.xls]_S_1467"/>
      <sheetName val="[Spt-BH.xls][Spt-BH.xls]B__4067"/>
      <sheetName val="[Spt-BH.xls][Spt-BH.xls]B__4068"/>
      <sheetName val="[Spt-BH.xls][Spt-BH.xls]B__4069"/>
      <sheetName val="[Spt-BH.xls][Spt-BH.xls]B__4070"/>
      <sheetName val="[Spt-BH.xls][Spt-BH.xls]_S_1466"/>
      <sheetName val="[Spt-BH.xls][Spt-BH.xls]_S_1468"/>
      <sheetName val="[Spt-BH.xls][Spt-BH.xls]_S_1470"/>
      <sheetName val="[Spt-BH.xls][Spt-BH.xls]_S_1469"/>
      <sheetName val="[Spt-BH.xls][Spt-BH.xls]_S_1471"/>
      <sheetName val="[Spt-BH.xls][Spt-BH.xls]B__4071"/>
      <sheetName val="[Spt-BH.xls][Spt-BH.xls]B__4072"/>
      <sheetName val="[Spt-BH.xls][Spt-BH.xls]_S_1474"/>
      <sheetName val="[Spt-BH.xls][Spt-BH.xls]B__4073"/>
      <sheetName val="[Spt-BH.xls][Spt-BH.xls]B__4074"/>
      <sheetName val="[Spt-BH.xls][Spt-BH.xls]B__4075"/>
      <sheetName val="[Spt-BH.xls][Spt-BH.xls]_S_1472"/>
      <sheetName val="[Spt-BH.xls][Spt-BH.xls]B__4076"/>
      <sheetName val="[Spt-BH.xls][Spt-BH.xls]_S_1473"/>
      <sheetName val="[Spt-BH.xls][Spt-BH.xls]B__4077"/>
      <sheetName val="[Spt-BH.xls][Spt-BH.xls]B__4078"/>
      <sheetName val="[Spt-BH.xls][Spt-BH.xls]_S_1476"/>
      <sheetName val="[Spt-BH.xls][Spt-BH.xls]B__4079"/>
      <sheetName val="[Spt-BH.xls][Spt-BH.xls]B__4080"/>
      <sheetName val="[Spt-BH.xls][Spt-BH.xls]B__4081"/>
      <sheetName val="[Spt-BH.xls][Spt-BH.xls]B__4082"/>
      <sheetName val="[Spt-BH.xls][Spt-BH.xls]_S_1475"/>
      <sheetName val="[Spt-BH.xls][Spt-BH.xls]B__4083"/>
      <sheetName val="[Spt-BH.xls][Spt-BH.xls]B__4084"/>
      <sheetName val="[Spt-BH.xls][Spt-BH.xls]_S_1479"/>
      <sheetName val="[Spt-BH.xls][Spt-BH.xls]B__4085"/>
      <sheetName val="[Spt-BH.xls][Spt-BH.xls]B__4086"/>
      <sheetName val="[Spt-BH.xls][Spt-BH.xls]B__4087"/>
      <sheetName val="[Spt-BH.xls][Spt-BH.xls]_S_1477"/>
      <sheetName val="[Spt-BH.xls][Spt-BH.xls]B__4088"/>
      <sheetName val="[Spt-BH.xls][Spt-BH.xls]_S_1478"/>
      <sheetName val="[Spt-BH.xls][Spt-BH.xls]B__4090"/>
      <sheetName val="[Spt-BH.xls][Spt-BH.xls]B__4091"/>
      <sheetName val="[Spt-BH.xls][Spt-BH.xls]_S_1481"/>
      <sheetName val="[Spt-BH.xls][Spt-BH.xls]B__4092"/>
      <sheetName val="[Spt-BH.xls][Spt-BH.xls]B__4093"/>
      <sheetName val="[Spt-BH.xls]B____x005f_x0004______318"/>
      <sheetName val="[Spt-BH.xls]B___x005f_x0000__x000_312"/>
      <sheetName val="[Spt-BH.xls][Spt-BH.xls]B__4094"/>
      <sheetName val="[Spt-BH.xls][Spt-BH.xls]B__4095"/>
      <sheetName val="[Spt-BH.xls][Spt-BH.xls]B__4089"/>
      <sheetName val="[Spt-BH.xls][Spt-BH.xls]_S_1480"/>
      <sheetName val="[Spt-BH.xls][Spt-BH_xls]B__3845"/>
      <sheetName val="[Spt-BH.xls][Spt-BH_xls]B__3846"/>
      <sheetName val="[Spt-BH.xls][Spt-BH_xls]B__3847"/>
      <sheetName val="[Spt-BH.xls][Spt-BH_xls]B__3848"/>
      <sheetName val="[Spt-BH.xls][Spt-BH_xls]_S_1271"/>
      <sheetName val="[Spt-BH.xls][Spt-BH_xls]B__3849"/>
      <sheetName val="[Spt-BH.xls][Spt-BH_xls]B__3850"/>
      <sheetName val="[Spt-BH.xls][Spt-BH_xls]B__3851"/>
      <sheetName val="[Spt-BH.xls][Spt-BH_xls]_S_1272"/>
      <sheetName val="[Spt-BH.xls][Spt-BH_xls]B__3852"/>
      <sheetName val="[Spt-BH.xls][Spt-BH_xls]B__3853"/>
      <sheetName val="[Spt-BH.xls][Spt-BH_xls]B__3854"/>
      <sheetName val="[Spt-BH.xls][Spt-BH_xls]B__3855"/>
      <sheetName val="[Spt-BH.xls][Spt-BH_xls]_S_1273"/>
      <sheetName val="[Spt-BH.xls][Spt-BH_xls]B__3856"/>
      <sheetName val="[Spt-BH.xls][Spt-BH_xls]B__3857"/>
      <sheetName val="[Spt-BH.xls][Spt-BH_xls]_S_1274"/>
      <sheetName val="[Spt-BH.xls][Spt-BH_xls]B__3858"/>
      <sheetName val="[Spt-BH.xls][Spt-BH_xls]B__3859"/>
      <sheetName val="[Spt-BH.xls][Spt-BH_xls]_S_1275"/>
      <sheetName val="[Spt-BH.xls][Spt-BH.xls]_S_1484"/>
      <sheetName val="[Spt-BH.xls][Spt-BH.xls]_S_1482"/>
      <sheetName val="[Spt-BH.xls][Spt-BH.xls]_S_1483"/>
      <sheetName val="[Spt-BH.xls][Spt-BH.xls]_S_1486"/>
      <sheetName val="[Spt-BH.xls][Spt-BH.xls]B__4096"/>
      <sheetName val="[Spt-BH.xls][Spt-BH.xls]B__4097"/>
      <sheetName val="[Spt-BH.xls][Spt-BH.xls]B__4098"/>
      <sheetName val="[Spt-BH.xls][Spt-BH.xls]B__4099"/>
      <sheetName val="[Spt-BH.xls][Spt-BH.xls]B__4100"/>
      <sheetName val="[Spt-BH.xls][Spt-BH.xls]B__4101"/>
      <sheetName val="[Spt-BH.xls][Spt-BH.xls]B__4109"/>
      <sheetName val="[Spt-BH.xls][Spt-BH.xls]B__4110"/>
      <sheetName val="[Spt-BH.xls][Spt-BH.xls]_S_1488"/>
      <sheetName val="[Spt-BH.xls][Spt-BH.xls]B__4111"/>
      <sheetName val="[Spt-BH.xls][Spt-BH.xls]B__4112"/>
      <sheetName val="[Spt-BH.xls]B____x005f_x0004______319"/>
      <sheetName val="[Spt-BH.xls]B___x005f_x0000__x000_313"/>
      <sheetName val="[Spt-BH.xls][Spt-BH.xls]B__4113"/>
      <sheetName val="[Spt-BH.xls][Spt-BH.xls]B__4114"/>
      <sheetName val="[Spt-BH.xls][Spt-BH.xls]B__4102"/>
      <sheetName val="[Spt-BH.xls][Spt-BH.xls]_S_1487"/>
      <sheetName val="[Spt-BH.xls][Spt-BH_xls]B__3860"/>
      <sheetName val="[Spt-BH.xls][Spt-BH_xls]B__3861"/>
      <sheetName val="[Spt-BH.xls][Spt-BH_xls]B__3862"/>
      <sheetName val="[Spt-BH.xls][Spt-BH_xls]B__3863"/>
      <sheetName val="[Spt-BH.xls][Spt-BH_xls]_S_1276"/>
      <sheetName val="[Spt-BH.xls][Spt-BH_xls]B__3864"/>
      <sheetName val="[Spt-BH.xls][Spt-BH_xls]B__3865"/>
      <sheetName val="[Spt-BH.xls][Spt-BH_xls]B__3866"/>
      <sheetName val="[Spt-BH.xls][Spt-BH_xls]_S_1277"/>
      <sheetName val="[Spt-BH.xls][Spt-BH_xls]B__3867"/>
      <sheetName val="[Spt-BH.xls][Spt-BH_xls]B__3868"/>
      <sheetName val="[Spt-BH.xls][Spt-BH_xls]B__3869"/>
      <sheetName val="[Spt-BH.xls][Spt-BH_xls]B__3870"/>
      <sheetName val="[Spt-BH.xls][Spt-BH_xls]_S_1278"/>
      <sheetName val="[Spt-BH.xls][Spt-BH_xls]B__3871"/>
      <sheetName val="[Spt-BH.xls][Spt-BH_xls]B__3872"/>
      <sheetName val="[Spt-BH.xls][Spt-BH_xls]_S_1279"/>
      <sheetName val="[Spt-BH.xls][Spt-BH_xls]B__3873"/>
      <sheetName val="[Spt-BH.xls][Spt-BH_xls]B__3874"/>
      <sheetName val="[Spt-BH.xls][Spt-BH_xls]_S_1280"/>
      <sheetName val="[Spt-BH.xls][Spt-BH.xls]B__4103"/>
      <sheetName val="[Spt-BH.xls][Spt-BH.xls]B__4104"/>
      <sheetName val="[Spt-BH.xls][Spt-BH.xls]B__4105"/>
      <sheetName val="[Spt-BH.xls][Spt-BH.xls]B__4106"/>
      <sheetName val="[Spt-BH.xls][Spt-BH.xls]B__4107"/>
      <sheetName val="[Spt-BH.xls][Spt-BH.xls]B__4108"/>
      <sheetName val="[Spt-BH.xls][Spt-BH.xls]_S_1485"/>
      <sheetName val="[Spt-BH.xls][Spt-BH.xls]_S_1489"/>
      <sheetName val="[Spt-BH.xls][Spt-BH.xls]B__4115"/>
      <sheetName val="[Spt-BH.xls][Spt-BH.xls]B__4116"/>
      <sheetName val="[Spt-BH.xls][Spt-BH.xls]_S_1491"/>
      <sheetName val="[Spt-BH.xls][Spt-BH.xls]B__4117"/>
      <sheetName val="[Spt-BH.xls][Spt-BH.xls]B__4118"/>
      <sheetName val="[Spt-BH.xls][Spt-BH.xls]B__4119"/>
      <sheetName val="[Spt-BH.xls][Spt-BH.xls]B__4120"/>
      <sheetName val="[Spt-BH.xls][Spt-BH.xls]_S_1490"/>
      <sheetName val="[Spt-BH.xls][Spt-BH.xls]B__4121"/>
      <sheetName val="[Spt-BH.xls][Spt-BH.xls]B__4122"/>
      <sheetName val="[Spt-BH.xls][Spt-BH.xls]_S_1494"/>
      <sheetName val="[Spt-BH.xls][Spt-BH.xls]B__4123"/>
      <sheetName val="[Spt-BH.xls][Spt-BH.xls]B__4124"/>
      <sheetName val="[Spt-BH.xls][Spt-BH.xls]B__4125"/>
      <sheetName val="[Spt-BH.xls][Spt-BH.xls]_S_1492"/>
      <sheetName val="[Spt-BH.xls][Spt-BH.xls]B__4126"/>
      <sheetName val="[Spt-BH.xls][Spt-BH.xls]_S_1493"/>
      <sheetName val="[Spt-BH.xls][Spt-BH.xls]B__4128"/>
      <sheetName val="[Spt-BH.xls][Spt-BH.xls]B__4129"/>
      <sheetName val="[Spt-BH.xls][Spt-BH.xls]_S_1497"/>
      <sheetName val="[Spt-BH.xls][Spt-BH.xls]B__4130"/>
      <sheetName val="[Spt-BH.xls][Spt-BH.xls]B__4131"/>
      <sheetName val="[Spt-BH.xls]B____x005f_x0004______320"/>
      <sheetName val="[Spt-BH.xls]B___x005f_x0000__x000_314"/>
      <sheetName val="[Spt-BH.xls][Spt-BH.xls]B__4132"/>
      <sheetName val="[Spt-BH.xls][Spt-BH.xls]B__4133"/>
      <sheetName val="[Spt-BH.xls][Spt-BH.xls]B__4127"/>
      <sheetName val="[Spt-BH.xls][Spt-BH.xls]_S_1495"/>
      <sheetName val="[Spt-BH.xls][Spt-BH_xls]B__3875"/>
      <sheetName val="[Spt-BH.xls][Spt-BH_xls]B__3876"/>
      <sheetName val="[Spt-BH.xls][Spt-BH_xls]B__3877"/>
      <sheetName val="[Spt-BH.xls][Spt-BH_xls]B__3878"/>
      <sheetName val="[Spt-BH.xls][Spt-BH_xls]_S_1281"/>
      <sheetName val="[Spt-BH.xls][Spt-BH_xls]B__3879"/>
      <sheetName val="[Spt-BH.xls][Spt-BH_xls]B__3880"/>
      <sheetName val="[Spt-BH.xls][Spt-BH_xls]B__3881"/>
      <sheetName val="[Spt-BH.xls][Spt-BH_xls]_S_1282"/>
      <sheetName val="[Spt-BH.xls][Spt-BH_xls]B__3882"/>
      <sheetName val="[Spt-BH.xls][Spt-BH_xls]B__3883"/>
      <sheetName val="[Spt-BH.xls][Spt-BH_xls]B__3884"/>
      <sheetName val="[Spt-BH.xls][Spt-BH_xls]B__3885"/>
      <sheetName val="[Spt-BH.xls][Spt-BH_xls]_S_1283"/>
      <sheetName val="[Spt-BH.xls][Spt-BH_xls]B__3886"/>
      <sheetName val="[Spt-BH.xls][Spt-BH_xls]B__3887"/>
      <sheetName val="[Spt-BH.xls][Spt-BH_xls]_S_1284"/>
      <sheetName val="[Spt-BH.xls][Spt-BH_xls]B__3888"/>
      <sheetName val="[Spt-BH.xls][Spt-BH_xls]B__3889"/>
      <sheetName val="[Spt-BH.xls][Spt-BH_xls]_S_1285"/>
      <sheetName val="[Spt-BH.xls][Spt-BH.xls]B__4135"/>
      <sheetName val="[Spt-BH.xls][Spt-BH.xls]_S_1496"/>
      <sheetName val="[Spt-BH.xls][Spt-BH.xls]B__4134"/>
      <sheetName val="[Spt-BH.xls][Spt-BH.xls]_S_1499"/>
      <sheetName val="[Spt-BH.xls][Spt-BH.xls]_S_1498"/>
      <sheetName val="[Spt-BH.xls][Spt-BH.xls]B__4136"/>
      <sheetName val="[Spt-BH.xls][Spt-BH.xls]B__4137"/>
      <sheetName val="[Spt-BH.xls][Spt-BH.xls]_S_1501"/>
      <sheetName val="[Spt-BH.xls][Spt-BH.xls]B__4138"/>
      <sheetName val="[Spt-BH.xls][Spt-BH.xls]B__4139"/>
      <sheetName val="[Spt-BH.xls][Spt-BH.xls]B__4140"/>
      <sheetName val="[Spt-BH.xls][Spt-BH.xls]B__4141"/>
      <sheetName val="[Spt-BH.xls][Spt-BH.xls]_S_1500"/>
      <sheetName val="[Spt-BH.xls][Spt-BH.xls]_S_1502"/>
      <sheetName val="[Spt-BH.xls][Spt-BH.xls]B__4161"/>
      <sheetName val="[Spt-BH.xls][Spt-BH.xls]B__4162"/>
      <sheetName val="[Spt-BH.xls][Spt-BH.xls]B__4163"/>
      <sheetName val="[Spt-BH.xls][Spt-BH.xls]B__4164"/>
      <sheetName val="[Spt-BH.xls]B____x005f_x0004______321"/>
      <sheetName val="[Spt-BH.xls]B___x005f_x0000__x000_315"/>
      <sheetName val="[Spt-BH.xls][Spt-BH.xls]B__4165"/>
      <sheetName val="[Spt-BH.xls][Spt-BH.xls]B__4142"/>
      <sheetName val="[Spt-BH.xls][Spt-BH.xls]B__4143"/>
      <sheetName val="[Spt-BH.xls][Spt-BH.xls]_S_1508"/>
      <sheetName val="[Spt-BH.xls][Spt-BH.xls]B__4144"/>
      <sheetName val="[Spt-BH.xls][Spt-BH.xls]B__4145"/>
      <sheetName val="[Spt-BH.xls][Spt-BH.xls]_S_1503"/>
      <sheetName val="[Spt-BH.xls][Spt-BH.xls]B__4166"/>
      <sheetName val="[Spt-BH.xls][Spt-BH.xls]B__4146"/>
      <sheetName val="[Spt-BH.xls][Spt-BH.xls]B__4147"/>
      <sheetName val="[Spt-BH.xls][Spt-BH.xls]_S_1509"/>
      <sheetName val="[Spt-BH.xls][Spt-BH_xls]B__3890"/>
      <sheetName val="[Spt-BH.xls][Spt-BH_xls]B__3891"/>
      <sheetName val="[Spt-BH.xls][Spt-BH_xls]B__3892"/>
      <sheetName val="[Spt-BH.xls][Spt-BH_xls]B__3893"/>
      <sheetName val="[Spt-BH.xls][Spt-BH_xls]_S_1286"/>
      <sheetName val="[Spt-BH.xls][Spt-BH_xls]B__3894"/>
      <sheetName val="[Spt-BH.xls][Spt-BH_xls]B__3895"/>
      <sheetName val="[Spt-BH.xls][Spt-BH_xls]B__3896"/>
      <sheetName val="[Spt-BH.xls][Spt-BH_xls]_S_1287"/>
      <sheetName val="[Spt-BH.xls][Spt-BH_xls]B__3897"/>
      <sheetName val="[Spt-BH.xls][Spt-BH_xls]B__3898"/>
      <sheetName val="[Spt-BH.xls][Spt-BH_xls]B__3899"/>
      <sheetName val="[Spt-BH.xls][Spt-BH_xls]B__3900"/>
      <sheetName val="[Spt-BH.xls][Spt-BH_xls]_S_1288"/>
      <sheetName val="[Spt-BH.xls][Spt-BH.xls]B__4148"/>
      <sheetName val="[Spt-BH.xls][Spt-BH.xls]_S_1504"/>
      <sheetName val="[Spt-BH.xls][Spt-BH_xls]B__3901"/>
      <sheetName val="[Spt-BH.xls][Spt-BH_xls]B__3902"/>
      <sheetName val="[Spt-BH.xls][Spt-BH_xls]_S_1289"/>
      <sheetName val="[Spt-BH.xls][Spt-BH_xls]B__3903"/>
      <sheetName val="[Spt-BH.xls][Spt-BH_xls]B__3904"/>
      <sheetName val="[Spt-BH.xls][Spt-BH_xls]_S_1290"/>
      <sheetName val="[Spt-BH.xls][Spt-BH.xls]B__4155"/>
      <sheetName val="[Spt-BH.xls][Spt-BH.xls]B__4156"/>
      <sheetName val="[Spt-BH.xls][Spt-BH.xls]B__4157"/>
      <sheetName val="[Spt-BH.xls][Spt-BH.xls]B__4158"/>
      <sheetName val="[Spt-BH.xls][Spt-BH.xls]B__4159"/>
      <sheetName val="[Spt-BH.xls][Spt-BH.xls]_S_1507"/>
      <sheetName val="[Spt-BH.xls][Spt-BH.xls]B__4160"/>
      <sheetName val="[Spt-BH.xls][Spt-BH.xls]B__4149"/>
      <sheetName val="[Spt-BH.xls][Spt-BH.xls]B__4150"/>
      <sheetName val="[Spt-BH.xls][Spt-BH.xls]B__4151"/>
      <sheetName val="[Spt-BH.xls][Spt-BH.xls]B__4152"/>
      <sheetName val="[Spt-BH.xls][Spt-BH.xls]B__4153"/>
      <sheetName val="[Spt-BH.xls][Spt-BH.xls]_S_1505"/>
      <sheetName val="[Spt-BH.xls][Spt-BH.xls]B__4154"/>
      <sheetName val="[Spt-BH.xls][Spt-BH.xls]_S_1506"/>
      <sheetName val="[Spt-BH.xls][Spt-BH.xls]B__4167"/>
      <sheetName val="[Spt-BH.xls][Spt-BH.xls]B__4168"/>
      <sheetName val="[Spt-BH.xls][Spt-BH.xls]B__4169"/>
      <sheetName val="[Spt-BH.xls][Spt-BH.xls]B__4170"/>
      <sheetName val="[Spt-BH.xls][Spt-BH.xls]B__4171"/>
      <sheetName val="[Spt-BH.xls][Spt-BH.xls]_S_1510"/>
      <sheetName val="[Spt-BH.xls][Spt-BH.xls]B__4172"/>
      <sheetName val="[Spt-BH.xls][Spt-BH.xls]B__4173"/>
      <sheetName val="[Spt-BH.xls][Spt-BH.xls]B__4174"/>
      <sheetName val="[Spt-BH.xls][Spt-BH.xls]B__4175"/>
      <sheetName val="[Spt-BH.xls][Spt-BH.xls]B__4176"/>
      <sheetName val="[Spt-BH.xls][Spt-BH.xls]B__4177"/>
      <sheetName val="[Spt-BH.xls][Spt-BH.xls]_S_1511"/>
      <sheetName val="[Spt-BH.xls][Spt-BH.xls]B__4178"/>
      <sheetName val="[Spt-BH.xls][Spt-BH.xls]B__4179"/>
      <sheetName val="[Spt-BH.xls][Spt-BH.xls]B__4180"/>
      <sheetName val="[Spt-BH.xls][Spt-BH.xls]B__4181"/>
      <sheetName val="[Spt-BH.xls][Spt-BH.xls]B__4182"/>
      <sheetName val="[Spt-BH.xls][Spt-BH.xls]B__4183"/>
      <sheetName val="[Spt-BH.xls][Spt-BH.xls]_S_1512"/>
      <sheetName val="[Spt-BH.xls][Spt-BH.xls]B__4184"/>
      <sheetName val="[Spt-BH.xls][Spt-BH.xls]B__4185"/>
      <sheetName val="[Spt-BH.xls][Spt-BH.xls]B__4186"/>
      <sheetName val="[Spt-BH.xls][Spt-BH.xls]B__4187"/>
      <sheetName val="[Spt-BH.xls][Spt-BH.xls]B__4188"/>
      <sheetName val="[Spt-BH.xls][Spt-BH.xls]B__4189"/>
      <sheetName val="[Spt-BH.xls][Spt-BH.xls]_S_1513"/>
      <sheetName val="[Spt-BH.xls][Spt-BH.xls]B__4190"/>
      <sheetName val="[Spt-BH.xls][Spt-BH.xls]B__4191"/>
      <sheetName val="[Spt-BH.xls][Spt-BH.xls]B__4192"/>
      <sheetName val="[Spt-BH.xls][Spt-BH.xls]B__4193"/>
      <sheetName val="[Spt-BH.xls][Spt-BH.xls]B__4194"/>
      <sheetName val="[Spt-BH.xls][Spt-BH.xls]B__4195"/>
      <sheetName val="[Spt-BH.xls][Spt-BH.xls]_S_1514"/>
      <sheetName val="[Spt-BH.xls][Spt-BH.xls]B__4196"/>
      <sheetName val="[Spt-BH.xls][Spt-BH.xls]B__4197"/>
      <sheetName val="[Spt-BH.xls][Spt-BH.xls]B__4198"/>
      <sheetName val="[Spt-BH.xls][Spt-BH.xls]B__4199"/>
      <sheetName val="[Spt-BH.xls][Spt-BH.xls]B__4200"/>
      <sheetName val="[Spt-BH.xls][Spt-BH.xls]B__4201"/>
      <sheetName val="[Spt-BH.xls][Spt-BH.xls]_S_1515"/>
      <sheetName val="[Spt-BH.xls][Spt-BH.xls]B__4202"/>
      <sheetName val="[Spt-BH.xls][Spt-BH.xls]B__4203"/>
      <sheetName val="[Spt-BH.xls][Spt-BH.xls]B__4204"/>
      <sheetName val="[Spt-BH.xls][Spt-BH.xls]B__4205"/>
      <sheetName val="[Spt-BH.xls][Spt-BH.xls]B__4206"/>
      <sheetName val="[Spt-BH.xls][Spt-BH.xls]B__4207"/>
      <sheetName val="[Spt-BH.xls][Spt-BH.xls]_S_1516"/>
      <sheetName val="[Spt-BH.xls][Spt-BH.xls]B__4208"/>
      <sheetName val="[Spt-BH.xls][Spt-BH.xls]B__4209"/>
      <sheetName val="[Spt-BH.xls][Spt-BH.xls]B__4210"/>
      <sheetName val="[Spt-BH.xls][Spt-BH.xls]B__4211"/>
      <sheetName val="[Spt-BH.xls][Spt-BH.xls]B__4212"/>
      <sheetName val="[Spt-BH.xls][Spt-BH.xls]B__4213"/>
      <sheetName val="[Spt-BH.xls][Spt-BH.xls]_S_1517"/>
      <sheetName val="[Spt-BH.xls][Spt-BH.xls]B__4214"/>
      <sheetName val="[Spt-BH.xls][Spt-BH.xls]B__4215"/>
      <sheetName val="[Spt-BH.xls][Spt-BH.xls]B__4216"/>
      <sheetName val="[Spt-BH.xls][Spt-BH.xls]B__4217"/>
      <sheetName val="[Spt-BH.xls][Spt-BH.xls]B__4218"/>
      <sheetName val="[Spt-BH.xls][Spt-BH.xls]B__4219"/>
      <sheetName val="[Spt-BH.xls][Spt-BH.xls]_S_1518"/>
      <sheetName val="[Spt-BH.xls][Spt-BH.xls]B__4220"/>
      <sheetName val="[Spt-BH.xls][Spt-BH.xls]B__4221"/>
      <sheetName val="[Spt-BH.xls][Spt-BH.xls]B__4222"/>
      <sheetName val="[Spt-BH.xls][Spt-BH.xls]B__4223"/>
      <sheetName val="[Spt-BH.xls][Spt-BH.xls]B__4224"/>
      <sheetName val="[Spt-BH.xls][Spt-BH.xls]B__4225"/>
      <sheetName val="[Spt-BH.xls][Spt-BH.xls]_S_1519"/>
      <sheetName val="[Spt-BH.xls][Spt-BH.xls]B__4226"/>
      <sheetName val="[Spt-BH.xls][Spt-BH.xls]_S_1524"/>
      <sheetName val="[Spt-BH.xls][Spt-BH.xls]_S_1521"/>
      <sheetName val="[Spt-BH.xls][Spt-BH.xls]_S_1522"/>
      <sheetName val="[Spt-BH.xls][Spt-BH.xls]B__4233"/>
      <sheetName val="[Spt-BH.xls][Spt-BH.xls]B__4234"/>
      <sheetName val="[Spt-BH.xls][Spt-BH.xls]B__4235"/>
      <sheetName val="[Spt-BH.xls][Spt-BH.xls]B__4236"/>
      <sheetName val="[Spt-BH.xls][Spt-BH.xls]B__4237"/>
      <sheetName val="[Spt-BH.xls][Spt-BH.xls]B__4238"/>
      <sheetName val="[Spt-BH.xls][Spt-BH.xls]_S_1523"/>
      <sheetName val="[Spt-BH.xls][Spt-BH.xls]_S_1530"/>
      <sheetName val="[Spt-BH.xls][Spt-BH.xls]_S_1526"/>
      <sheetName val="[Spt-BH.xls][Spt-BH.xls]_S_1527"/>
      <sheetName val="[Spt-BH.xls][Spt-BH.xls]_S_1528"/>
      <sheetName val="[Spt-BH.xls][Spt-BH.xls]_S_1529"/>
      <sheetName val="[Spt-BH.xls][Spt-BH.xls]_S_1531"/>
      <sheetName val="[Spt-BH.xls][Spt-BH.xls]_S_1532"/>
      <sheetName val="[Spt-BH.xls][Spt-BH.xls]_S_1533"/>
      <sheetName val="[Spt-BH.xls]B____x005f_x0004______322"/>
      <sheetName val="[Spt-BH.xls]B___x005f_x0000__x000_316"/>
      <sheetName val="[Spt-BH.xls][Spt-BH_xls]B__3905"/>
      <sheetName val="[Spt-BH.xls][Spt-BH_xls]B__3906"/>
      <sheetName val="[Spt-BH.xls][Spt-BH_xls]B__3907"/>
      <sheetName val="[Spt-BH.xls][Spt-BH_xls]B__3908"/>
      <sheetName val="[Spt-BH.xls][Spt-BH_xls]_S_1291"/>
      <sheetName val="[Spt-BH.xls][Spt-BH_xls]B__3909"/>
      <sheetName val="[Spt-BH.xls][Spt-BH_xls]B__3910"/>
      <sheetName val="[Spt-BH.xls][Spt-BH_xls]B__3911"/>
      <sheetName val="[Spt-BH.xls][Spt-BH_xls]_S_1292"/>
      <sheetName val="[Spt-BH.xls][Spt-BH_xls]B__3912"/>
      <sheetName val="[Spt-BH.xls][Spt-BH_xls]B__3913"/>
      <sheetName val="[Spt-BH.xls][Spt-BH_xls]B__3914"/>
      <sheetName val="[Spt-BH.xls][Spt-BH_xls]B__3915"/>
      <sheetName val="[Spt-BH.xls][Spt-BH_xls]_S_1293"/>
      <sheetName val="[Spt-BH.xls][Spt-BH_xls]B__3916"/>
      <sheetName val="[Spt-BH.xls][Spt-BH_xls]B__3917"/>
      <sheetName val="[Spt-BH.xls][Spt-BH_xls]_S_1294"/>
      <sheetName val="[Spt-BH.xls][Spt-BH_xls]B__3918"/>
      <sheetName val="[Spt-BH.xls][Spt-BH_xls]B__3919"/>
      <sheetName val="[Spt-BH.xls][Spt-BH_xls]_S_1295"/>
      <sheetName val="[Spt-BH.xls]B____x005f_x0004______323"/>
      <sheetName val="[Spt-BH.xls]B___x005f_x0000__x000_317"/>
      <sheetName val="[Spt-BH.xls][Spt-BH_xls]B__3920"/>
      <sheetName val="[Spt-BH.xls][Spt-BH_xls]B__3921"/>
      <sheetName val="[Spt-BH.xls][Spt-BH_xls]B__3922"/>
      <sheetName val="[Spt-BH.xls][Spt-BH_xls]B__3923"/>
      <sheetName val="[Spt-BH.xls][Spt-BH_xls]_S_1296"/>
      <sheetName val="[Spt-BH.xls][Spt-BH_xls]B__3924"/>
      <sheetName val="[Spt-BH.xls][Spt-BH_xls]B__3925"/>
      <sheetName val="[Spt-BH.xls][Spt-BH_xls]B__3926"/>
      <sheetName val="[Spt-BH.xls][Spt-BH_xls]_S_1297"/>
      <sheetName val="[Spt-BH.xls][Spt-BH_xls]B__3927"/>
      <sheetName val="[Spt-BH.xls][Spt-BH_xls]B__3928"/>
      <sheetName val="[Spt-BH.xls][Spt-BH_xls]B__3929"/>
      <sheetName val="[Spt-BH.xls][Spt-BH_xls]B__3930"/>
      <sheetName val="[Spt-BH.xls][Spt-BH_xls]_S_1298"/>
      <sheetName val="[Spt-BH.xls][Spt-BH_xls]B__3931"/>
      <sheetName val="[Spt-BH.xls][Spt-BH_xls]B__3932"/>
      <sheetName val="[Spt-BH.xls][Spt-BH_xls]_S_1299"/>
      <sheetName val="[Spt-BH.xls][Spt-BH_xls]B__3933"/>
      <sheetName val="[Spt-BH.xls][Spt-BH_xls]B__3934"/>
      <sheetName val="[Spt-BH.xls][Spt-BH_xls]_S_1300"/>
      <sheetName val="[Spt-BH.xls][Spt-BH.xls]B__4240"/>
      <sheetName val="[Spt-BH.xls][Spt-BH.xls]B__4241"/>
      <sheetName val="[Spt-BH.xls][Spt-BH.xls]B__4242"/>
      <sheetName val="[Spt-BH.xls][Spt-BH.xls]B__4243"/>
      <sheetName val="[Spt-BH.xls][Spt-BH.xls]B__4244"/>
      <sheetName val="[Spt-BH.xls][Spt-BH.xls]B__4245"/>
      <sheetName val="[Spt-BH.xls][Spt-BH.xls]B__4261"/>
      <sheetName val="[Spt-BH.xls][Spt-BH.xls]B__4262"/>
      <sheetName val="[Spt-BH.xls][Spt-BH.xls]_S_1534"/>
      <sheetName val="[Spt-BH.xls][Spt-BH.xls]B__4263"/>
      <sheetName val="[Spt-BH.xls][Spt-BH.xls]B__4264"/>
      <sheetName val="[Spt-BH.xls]B____x005f_x0004______326"/>
      <sheetName val="[Spt-BH.xls]B___x005f_x0000__x000_320"/>
      <sheetName val="[Spt-BH.xls][Spt-BH.xls]B__4265"/>
      <sheetName val="[Spt-BH.xls][Spt-BH.xls]B__4266"/>
      <sheetName val="[Spt-BH.xls][Spt-BH.xls]B__4246"/>
      <sheetName val="[Spt-BH.xls][Spt-BH_xls]B__3965"/>
      <sheetName val="[Spt-BH.xls][Spt-BH_xls]B__3966"/>
      <sheetName val="[Spt-BH.xls][Spt-BH_xls]B__3967"/>
      <sheetName val="[Spt-BH.xls][Spt-BH_xls]B__3968"/>
      <sheetName val="[Spt-BH.xls][Spt-BH_xls]_S_1311"/>
      <sheetName val="[Spt-BH.xls][Spt-BH_xls]B__3969"/>
      <sheetName val="[Spt-BH.xls][Spt-BH_xls]B__3970"/>
      <sheetName val="[Spt-BH.xls][Spt-BH_xls]B__3971"/>
      <sheetName val="[Spt-BH.xls][Spt-BH_xls]_S_1312"/>
      <sheetName val="[Spt-BH.xls][Spt-BH_xls]B__3972"/>
      <sheetName val="[Spt-BH.xls][Spt-BH_xls]B__3973"/>
      <sheetName val="[Spt-BH.xls][Spt-BH_xls]B__3974"/>
      <sheetName val="[Spt-BH.xls][Spt-BH_xls]B__3975"/>
      <sheetName val="[Spt-BH.xls][Spt-BH_xls]_S_1313"/>
      <sheetName val="[Spt-BH.xls][Spt-BH_xls]B__3976"/>
      <sheetName val="[Spt-BH.xls][Spt-BH_xls]B__3977"/>
      <sheetName val="[Spt-BH.xls][Spt-BH_xls]_S_1314"/>
      <sheetName val="[Spt-BH.xls][Spt-BH_xls]B__3978"/>
      <sheetName val="[Spt-BH.xls][Spt-BH_xls]B__3979"/>
      <sheetName val="[Spt-BH.xls][Spt-BH_xls]_S_1315"/>
      <sheetName val="[Spt-BH.xls]B____x005f_x0004______324"/>
      <sheetName val="[Spt-BH.xls]B___x005f_x0000__x000_318"/>
      <sheetName val="[Spt-BH.xls][Spt-BH_xls]B__3935"/>
      <sheetName val="[Spt-BH.xls][Spt-BH_xls]B__3936"/>
      <sheetName val="[Spt-BH.xls][Spt-BH_xls]B__3937"/>
      <sheetName val="[Spt-BH.xls][Spt-BH_xls]B__3938"/>
      <sheetName val="[Spt-BH.xls][Spt-BH_xls]_S_1301"/>
      <sheetName val="[Spt-BH.xls][Spt-BH_xls]B__3939"/>
      <sheetName val="[Spt-BH.xls][Spt-BH_xls]B__3940"/>
      <sheetName val="[Spt-BH.xls][Spt-BH_xls]B__3941"/>
      <sheetName val="[Spt-BH.xls][Spt-BH_xls]_S_1302"/>
      <sheetName val="[Spt-BH.xls][Spt-BH_xls]B__3942"/>
      <sheetName val="[Spt-BH.xls][Spt-BH_xls]B__3943"/>
      <sheetName val="[Spt-BH.xls][Spt-BH_xls]B__3944"/>
      <sheetName val="[Spt-BH.xls][Spt-BH_xls]B__3945"/>
      <sheetName val="[Spt-BH.xls][Spt-BH_xls]_S_1303"/>
      <sheetName val="[Spt-BH.xls][Spt-BH_xls]B__3946"/>
      <sheetName val="[Spt-BH.xls][Spt-BH_xls]B__3947"/>
      <sheetName val="[Spt-BH.xls][Spt-BH_xls]_S_1304"/>
      <sheetName val="[Spt-BH.xls][Spt-BH_xls]B__3948"/>
      <sheetName val="[Spt-BH.xls][Spt-BH_xls]B__3949"/>
      <sheetName val="[Spt-BH.xls][Spt-BH_xls]_S_1305"/>
      <sheetName val="[Spt-BH.xls]B____x005f_x0004______325"/>
      <sheetName val="[Spt-BH.xls]B___x005f_x0000__x000_319"/>
      <sheetName val="[Spt-BH.xls][Spt-BH.xls]B__4239"/>
      <sheetName val="[Spt-BH.xls][Spt-BH_xls]B__3950"/>
      <sheetName val="[Spt-BH.xls][Spt-BH_xls]B__3951"/>
      <sheetName val="[Spt-BH.xls][Spt-BH_xls]B__3952"/>
      <sheetName val="[Spt-BH.xls][Spt-BH_xls]B__3953"/>
      <sheetName val="[Spt-BH.xls][Spt-BH_xls]_S_1306"/>
      <sheetName val="[Spt-BH.xls][Spt-BH_xls]B__3954"/>
      <sheetName val="[Spt-BH.xls][Spt-BH_xls]B__3955"/>
      <sheetName val="[Spt-BH.xls][Spt-BH_xls]B__3956"/>
      <sheetName val="[Spt-BH.xls][Spt-BH_xls]_S_1307"/>
      <sheetName val="[Spt-BH.xls][Spt-BH_xls]B__3957"/>
      <sheetName val="[Spt-BH.xls][Spt-BH_xls]B__3958"/>
      <sheetName val="[Spt-BH.xls][Spt-BH_xls]B__3959"/>
      <sheetName val="[Spt-BH.xls][Spt-BH_xls]B__3960"/>
      <sheetName val="[Spt-BH.xls][Spt-BH_xls]_S_1308"/>
      <sheetName val="[Spt-BH.xls][Spt-BH_xls]B__3961"/>
      <sheetName val="[Spt-BH.xls][Spt-BH_xls]B__3962"/>
      <sheetName val="[Spt-BH.xls][Spt-BH_xls]_S_1309"/>
      <sheetName val="[Spt-BH.xls][Spt-BH_xls]B__3963"/>
      <sheetName val="[Spt-BH.xls][Spt-BH_xls]B__3964"/>
      <sheetName val="[Spt-BH.xls][Spt-BH_xls]_S_1310"/>
      <sheetName val="[Spt-BH.xls][Spt-BH.xls]B__4275"/>
      <sheetName val="[Spt-BH.xls][Spt-BH.xls]B__4276"/>
      <sheetName val="[Spt-BH.xls][Spt-BH.xls]_S_1536"/>
      <sheetName val="[Spt-BH.xls][Spt-BH.xls]B__4277"/>
      <sheetName val="[Spt-BH.xls][Spt-BH.xls]B__4278"/>
      <sheetName val="[Spt-BH.xls]B____x005f_x0004______329"/>
      <sheetName val="[Spt-BH.xls]B___x005f_x0000__x000_323"/>
      <sheetName val="[Spt-BH.xls][Spt-BH.xls]B__4279"/>
      <sheetName val="[Spt-BH.xls][Spt-BH.xls]B__4280"/>
      <sheetName val="[Spt-BH.xls][Spt-BH.xls]B__4267"/>
      <sheetName val="[Spt-BH.xls][Spt-BH.xls]_S_1535"/>
      <sheetName val="[Spt-BH.xls][Spt-BH_xls]B__4010"/>
      <sheetName val="[Spt-BH.xls][Spt-BH_xls]B__4011"/>
      <sheetName val="[Spt-BH.xls][Spt-BH_xls]B__4012"/>
      <sheetName val="[Spt-BH.xls][Spt-BH_xls]B__4013"/>
      <sheetName val="[Spt-BH.xls][Spt-BH_xls]_S_1326"/>
      <sheetName val="[Spt-BH.xls][Spt-BH_xls]B__4014"/>
      <sheetName val="[Spt-BH.xls][Spt-BH_xls]B__4015"/>
      <sheetName val="[Spt-BH.xls][Spt-BH_xls]B__4016"/>
      <sheetName val="[Spt-BH.xls][Spt-BH_xls]_S_1327"/>
      <sheetName val="[Spt-BH.xls][Spt-BH_xls]B__4017"/>
      <sheetName val="[Spt-BH.xls][Spt-BH_xls]B__4018"/>
      <sheetName val="[Spt-BH.xls][Spt-BH_xls]B__4019"/>
      <sheetName val="[Spt-BH.xls][Spt-BH_xls]B__4020"/>
      <sheetName val="[Spt-BH.xls][Spt-BH_xls]_S_1328"/>
      <sheetName val="[Spt-BH.xls][Spt-BH_xls]B__4021"/>
      <sheetName val="[Spt-BH.xls][Spt-BH_xls]B__4022"/>
      <sheetName val="[Spt-BH.xls][Spt-BH_xls]_S_1329"/>
      <sheetName val="[Spt-BH.xls][Spt-BH_xls]B__4023"/>
      <sheetName val="[Spt-BH.xls][Spt-BH_xls]B__4024"/>
      <sheetName val="[Spt-BH.xls][Spt-BH_xls]_S_1330"/>
      <sheetName val="[Spt-BH.xls][Spt-BH.xls]B__4247"/>
      <sheetName val="[Spt-BH.xls][Spt-BH.xls]B__4248"/>
      <sheetName val="[Spt-BH.xls][Spt-BH.xls]B__4249"/>
      <sheetName val="[Spt-BH.xls][Spt-BH.xls]B__4250"/>
      <sheetName val="[Spt-BH.xls][Spt-BH.xls]B__4251"/>
      <sheetName val="[Spt-BH.xls][Spt-BH.xls]B__4252"/>
      <sheetName val="[Spt-BH.xls]B____x005f_x0004______327"/>
      <sheetName val="[Spt-BH.xls]B___x005f_x0000__x000_321"/>
      <sheetName val="[Spt-BH.xls][Spt-BH.xls]B__4253"/>
      <sheetName val="[Spt-BH.xls][Spt-BH_xls]B__3980"/>
      <sheetName val="[Spt-BH.xls][Spt-BH_xls]B__3981"/>
      <sheetName val="[Spt-BH.xls][Spt-BH_xls]B__3982"/>
      <sheetName val="[Spt-BH.xls][Spt-BH_xls]B__3983"/>
      <sheetName val="[Spt-BH.xls][Spt-BH_xls]_S_1316"/>
      <sheetName val="[Spt-BH.xls][Spt-BH_xls]B__3984"/>
      <sheetName val="[Spt-BH.xls][Spt-BH_xls]B__3985"/>
      <sheetName val="[Spt-BH.xls][Spt-BH_xls]B__3986"/>
      <sheetName val="[Spt-BH.xls][Spt-BH_xls]_S_1317"/>
      <sheetName val="[Spt-BH.xls][Spt-BH_xls]B__3987"/>
      <sheetName val="[Spt-BH.xls][Spt-BH_xls]B__3988"/>
      <sheetName val="[Spt-BH.xls][Spt-BH_xls]B__3989"/>
      <sheetName val="[Spt-BH.xls][Spt-BH_xls]B__3990"/>
      <sheetName val="[Spt-BH.xls][Spt-BH_xls]_S_1318"/>
      <sheetName val="[Spt-BH.xls][Spt-BH_xls]B__3991"/>
      <sheetName val="[Spt-BH.xls][Spt-BH_xls]B__3992"/>
      <sheetName val="[Spt-BH.xls][Spt-BH_xls]_S_1319"/>
      <sheetName val="[Spt-BH.xls][Spt-BH_xls]B__3993"/>
      <sheetName val="[Spt-BH.xls][Spt-BH_xls]B__3994"/>
      <sheetName val="[Spt-BH.xls][Spt-BH_xls]_S_1320"/>
      <sheetName val="[Spt-BH.xls][Spt-BH.xls]B__4254"/>
      <sheetName val="[Spt-BH.xls][Spt-BH.xls]B__4255"/>
      <sheetName val="[Spt-BH.xls][Spt-BH.xls]B__4256"/>
      <sheetName val="[Spt-BH.xls][Spt-BH.xls]B__4257"/>
      <sheetName val="[Spt-BH.xls][Spt-BH.xls]B__4258"/>
      <sheetName val="[Spt-BH.xls][Spt-BH.xls]B__4259"/>
      <sheetName val="[Spt-BH.xls]B____x005f_x0004______328"/>
      <sheetName val="[Spt-BH.xls]B___x005f_x0000__x000_322"/>
      <sheetName val="[Spt-BH.xls][Spt-BH.xls]B__4260"/>
      <sheetName val="[Spt-BH.xls][Spt-BH_xls]B__3995"/>
      <sheetName val="[Spt-BH.xls][Spt-BH_xls]B__3996"/>
      <sheetName val="[Spt-BH.xls][Spt-BH_xls]B__3997"/>
      <sheetName val="[Spt-BH.xls][Spt-BH_xls]B__3998"/>
      <sheetName val="[Spt-BH.xls][Spt-BH_xls]_S_1321"/>
      <sheetName val="[Spt-BH.xls][Spt-BH_xls]B__3999"/>
      <sheetName val="[Spt-BH.xls][Spt-BH_xls]B__4000"/>
      <sheetName val="[Spt-BH.xls][Spt-BH_xls]B__4001"/>
      <sheetName val="[Spt-BH.xls][Spt-BH_xls]_S_1322"/>
      <sheetName val="[Spt-BH.xls][Spt-BH_xls]B__4002"/>
      <sheetName val="[Spt-BH.xls][Spt-BH_xls]B__4003"/>
      <sheetName val="[Spt-BH.xls][Spt-BH_xls]B__4004"/>
      <sheetName val="[Spt-BH.xls][Spt-BH_xls]B__4005"/>
      <sheetName val="[Spt-BH.xls][Spt-BH_xls]_S_1323"/>
      <sheetName val="[Spt-BH.xls][Spt-BH_xls]B__4006"/>
      <sheetName val="[Spt-BH.xls][Spt-BH_xls]B__4007"/>
      <sheetName val="[Spt-BH.xls][Spt-BH_xls]_S_1324"/>
      <sheetName val="[Spt-BH.xls][Spt-BH_xls]B__4008"/>
      <sheetName val="[Spt-BH.xls][Spt-BH_xls]B__4009"/>
      <sheetName val="[Spt-BH.xls][Spt-BH_xls]_S_1325"/>
      <sheetName val="[Spt-BH.xls][Spt-BH.xls]B__4282"/>
      <sheetName val="[Spt-BH.xls][Spt-BH.xls]B__4283"/>
      <sheetName val="[Spt-BH.xls][Spt-BH.xls]_S_1538"/>
      <sheetName val="[Spt-BH.xls][Spt-BH.xls]B__4284"/>
      <sheetName val="[Spt-BH.xls][Spt-BH.xls]B__4285"/>
      <sheetName val="[Spt-BH.xls]B____x005f_x0004______331"/>
      <sheetName val="[Spt-BH.xls]B___x005f_x0000__x000_325"/>
      <sheetName val="[Spt-BH.xls][Spt-BH.xls]B__4286"/>
      <sheetName val="[Spt-BH.xls][Spt-BH.xls]B__4287"/>
      <sheetName val="[Spt-BH.xls][Spt-BH.xls]B__4281"/>
      <sheetName val="[Spt-BH.xls][Spt-BH.xls]_S_1537"/>
      <sheetName val="[Spt-BH.xls][Spt-BH_xls]B__4040"/>
      <sheetName val="[Spt-BH.xls][Spt-BH_xls]B__4041"/>
      <sheetName val="[Spt-BH.xls][Spt-BH_xls]B__4042"/>
      <sheetName val="[Spt-BH.xls][Spt-BH_xls]B__4043"/>
      <sheetName val="[Spt-BH.xls][Spt-BH_xls]_S_1336"/>
      <sheetName val="[Spt-BH.xls][Spt-BH_xls]B__4044"/>
      <sheetName val="[Spt-BH.xls][Spt-BH_xls]B__4045"/>
      <sheetName val="[Spt-BH.xls][Spt-BH_xls]B__4046"/>
      <sheetName val="[Spt-BH.xls][Spt-BH_xls]_S_1337"/>
      <sheetName val="[Spt-BH.xls][Spt-BH_xls]B__4047"/>
      <sheetName val="[Spt-BH.xls][Spt-BH_xls]B__4048"/>
      <sheetName val="[Spt-BH.xls][Spt-BH_xls]B__4049"/>
      <sheetName val="[Spt-BH.xls][Spt-BH_xls]B__4050"/>
      <sheetName val="[Spt-BH.xls][Spt-BH_xls]_S_1338"/>
      <sheetName val="[Spt-BH.xls][Spt-BH_xls]B__4051"/>
      <sheetName val="[Spt-BH.xls][Spt-BH_xls]B__4052"/>
      <sheetName val="[Spt-BH.xls][Spt-BH_xls]_S_1339"/>
      <sheetName val="[Spt-BH.xls][Spt-BH_xls]B__4053"/>
      <sheetName val="[Spt-BH.xls][Spt-BH_xls]B__4054"/>
      <sheetName val="[Spt-BH.xls][Spt-BH_xls]_S_1340"/>
      <sheetName val="[Spt-BH.xls][Spt-BH.xls]B__4268"/>
      <sheetName val="[Spt-BH.xls][Spt-BH.xls]B__4269"/>
      <sheetName val="[Spt-BH.xls][Spt-BH.xls]B__4270"/>
      <sheetName val="[Spt-BH.xls][Spt-BH.xls]B__4271"/>
      <sheetName val="[Spt-BH.xls][Spt-BH.xls]B__4272"/>
      <sheetName val="[Spt-BH.xls][Spt-BH.xls]B__4273"/>
      <sheetName val="[Spt-BH.xls]B____x005f_x0004______330"/>
      <sheetName val="[Spt-BH.xls]B___x005f_x0000__x000_324"/>
      <sheetName val="[Spt-BH.xls][Spt-BH.xls]B__4274"/>
      <sheetName val="[Spt-BH.xls][Spt-BH_xls]B__4025"/>
      <sheetName val="[Spt-BH.xls][Spt-BH_xls]B__4026"/>
      <sheetName val="[Spt-BH.xls][Spt-BH_xls]B__4027"/>
      <sheetName val="[Spt-BH.xls][Spt-BH_xls]B__4028"/>
      <sheetName val="[Spt-BH.xls][Spt-BH_xls]_S_1331"/>
      <sheetName val="[Spt-BH.xls][Spt-BH_xls]B__4029"/>
      <sheetName val="[Spt-BH.xls][Spt-BH_xls]B__4030"/>
      <sheetName val="[Spt-BH.xls][Spt-BH_xls]B__4031"/>
      <sheetName val="[Spt-BH.xls][Spt-BH_xls]_S_1332"/>
      <sheetName val="[Spt-BH.xls][Spt-BH_xls]B__4032"/>
      <sheetName val="[Spt-BH.xls][Spt-BH_xls]B__4033"/>
      <sheetName val="[Spt-BH.xls][Spt-BH_xls]B__4034"/>
      <sheetName val="[Spt-BH.xls][Spt-BH_xls]B__4035"/>
      <sheetName val="[Spt-BH.xls][Spt-BH_xls]_S_1333"/>
      <sheetName val="[Spt-BH.xls][Spt-BH_xls]B__4036"/>
      <sheetName val="[Spt-BH.xls][Spt-BH_xls]B__4037"/>
      <sheetName val="[Spt-BH.xls][Spt-BH_xls]_S_1334"/>
      <sheetName val="[Spt-BH.xls][Spt-BH_xls]B__4038"/>
      <sheetName val="[Spt-BH.xls][Spt-BH_xls]B__4039"/>
      <sheetName val="[Spt-BH.xls][Spt-BH_xls]_S_1335"/>
      <sheetName val="[Spt-BH.xls][Spt-BH.xls]B__4288"/>
      <sheetName val="[Spt-BH.xls][Spt-BH.xls]B__4289"/>
      <sheetName val="[Spt-BH.xls][Spt-BH.xls]_S_1539"/>
      <sheetName val="[Spt-BH.xls][Spt-BH.xls]B__4290"/>
      <sheetName val="[Spt-BH.xls][Spt-BH.xls]B__4291"/>
      <sheetName val="[Spt-BH.xls][Spt-BH.xls]_S_1540"/>
      <sheetName val="[Spt-BH.xls][Spt-BH.xls]_S_1541"/>
      <sheetName val="[Spt-BH.xls]B____x005f_x0004______332"/>
      <sheetName val="[Spt-BH.xls]B___x005f_x0000__x000_326"/>
      <sheetName val="[Spt-BH.xls][Spt-BH.xls]B__4292"/>
      <sheetName val="[Spt-BH.xls][Spt-BH.xls]B__4293"/>
      <sheetName val="[Spt-BH.xls][Spt-BH.xls]B__4294"/>
      <sheetName val="[Spt-BH.xls][Spt-BH.xls]B__4295"/>
      <sheetName val="[Spt-BH.xls][Spt-BH.xls]B__4296"/>
      <sheetName val="[Spt-BH.xls][Spt-BH.xls]B__4297"/>
      <sheetName val="[Spt-BH.xls][Spt-BH.xls]B__4298"/>
      <sheetName val="[Spt-BH.xls][Spt-BH.xls]_S_1542"/>
      <sheetName val="[Spt-BH.xls][Spt-BH_xls]B__4055"/>
      <sheetName val="[Spt-BH.xls][Spt-BH_xls]B__4056"/>
      <sheetName val="[Spt-BH.xls][Spt-BH_xls]B__4057"/>
      <sheetName val="[Spt-BH.xls][Spt-BH_xls]B__4058"/>
      <sheetName val="[Spt-BH.xls][Spt-BH_xls]_S_1341"/>
      <sheetName val="[Spt-BH.xls][Spt-BH_xls]B__4059"/>
      <sheetName val="[Spt-BH.xls][Spt-BH_xls]B__4060"/>
      <sheetName val="[Spt-BH.xls][Spt-BH_xls]B__4061"/>
      <sheetName val="[Spt-BH.xls][Spt-BH_xls]_S_1342"/>
      <sheetName val="[Spt-BH.xls][Spt-BH_xls]B__4062"/>
      <sheetName val="[Spt-BH.xls][Spt-BH_xls]B__4063"/>
      <sheetName val="[Spt-BH.xls][Spt-BH_xls]B__4064"/>
      <sheetName val="[Spt-BH.xls][Spt-BH_xls]B__4065"/>
      <sheetName val="[Spt-BH.xls][Spt-BH_xls]_S_1343"/>
      <sheetName val="[Spt-BH.xls][Spt-BH_xls]B__4066"/>
      <sheetName val="[Spt-BH.xls][Spt-BH_xls]B__4067"/>
      <sheetName val="[Spt-BH.xls][Spt-BH_xls]_S_1344"/>
      <sheetName val="[Spt-BH.xls][Spt-BH_xls]B__4068"/>
      <sheetName val="[Spt-BH.xls][Spt-BH_xls]B__4069"/>
      <sheetName val="[Spt-BH.xls][Spt-BH_xls]_S_1345"/>
      <sheetName val="[Spt-BH.xls][Spt-BH.xls]_S_1543"/>
      <sheetName val="[Spt-BH.xls]B____x005f_x0004______333"/>
      <sheetName val="[Spt-BH.xls]B___x005f_x0000__x000_327"/>
      <sheetName val="[Spt-BH.xls][Spt-BH.xls]B__4299"/>
      <sheetName val="[Spt-BH.xls][Spt-BH.xls]B__4300"/>
      <sheetName val="[Spt-BH.xls][Spt-BH.xls]B__4301"/>
      <sheetName val="[Spt-BH.xls][Spt-BH.xls]B__4302"/>
      <sheetName val="[Spt-BH.xls][Spt-BH.xls]B__4303"/>
      <sheetName val="[Spt-BH.xls][Spt-BH.xls]B__4304"/>
      <sheetName val="[Spt-BH.xls][Spt-BH.xls]B__4305"/>
      <sheetName val="[Spt-BH.xls][Spt-BH.xls]_S_1544"/>
      <sheetName val="[Spt-BH.xls][Spt-BH_xls]B__4070"/>
      <sheetName val="[Spt-BH.xls][Spt-BH_xls]B__4071"/>
      <sheetName val="[Spt-BH.xls][Spt-BH_xls]B__4072"/>
      <sheetName val="[Spt-BH.xls][Spt-BH_xls]B__4073"/>
      <sheetName val="[Spt-BH.xls][Spt-BH_xls]_S_1346"/>
      <sheetName val="[Spt-BH.xls][Spt-BH_xls]B__4074"/>
      <sheetName val="[Spt-BH.xls][Spt-BH_xls]B__4075"/>
      <sheetName val="[Spt-BH.xls][Spt-BH_xls]B__4076"/>
      <sheetName val="[Spt-BH.xls][Spt-BH_xls]_S_1347"/>
      <sheetName val="[Spt-BH.xls][Spt-BH_xls]B__4077"/>
      <sheetName val="[Spt-BH.xls][Spt-BH_xls]B__4078"/>
      <sheetName val="[Spt-BH.xls][Spt-BH_xls]B__4079"/>
      <sheetName val="[Spt-BH.xls][Spt-BH_xls]B__4080"/>
      <sheetName val="[Spt-BH.xls][Spt-BH_xls]_S_1348"/>
      <sheetName val="[Spt-BH.xls][Spt-BH_xls]B__4081"/>
      <sheetName val="[Spt-BH.xls][Spt-BH_xls]B__4082"/>
      <sheetName val="[Spt-BH.xls][Spt-BH_xls]_S_1349"/>
      <sheetName val="[Spt-BH.xls][Spt-BH_xls]B__4083"/>
      <sheetName val="[Spt-BH.xls][Spt-BH_xls]B__4084"/>
      <sheetName val="[Spt-BH.xls][Spt-BH_xls]_S_1350"/>
      <sheetName val="[Spt-BH.xls][Spt-BH.xls]_S_1545"/>
      <sheetName val="[Spt-BH.xls]B____x005f_x0004______334"/>
      <sheetName val="[Spt-BH.xls]B___x005f_x0000__x000_328"/>
      <sheetName val="[Spt-BH.xls][Spt-BH.xls]B__4306"/>
      <sheetName val="[Spt-BH.xls][Spt-BH.xls]B__4307"/>
      <sheetName val="[Spt-BH.xls][Spt-BH.xls]B__4308"/>
      <sheetName val="[Spt-BH.xls][Spt-BH.xls]B__4309"/>
      <sheetName val="[Spt-BH.xls][Spt-BH.xls]B__4310"/>
      <sheetName val="[Spt-BH.xls][Spt-BH.xls]B__4311"/>
      <sheetName val="[Spt-BH.xls][Spt-BH.xls]B__4312"/>
      <sheetName val="[Spt-BH.xls][Spt-BH.xls]_S_1546"/>
      <sheetName val="[Spt-BH.xls][Spt-BH_xls]B__4085"/>
      <sheetName val="[Spt-BH.xls][Spt-BH_xls]B__4086"/>
      <sheetName val="[Spt-BH.xls][Spt-BH_xls]B__4087"/>
      <sheetName val="[Spt-BH.xls][Spt-BH_xls]B__4088"/>
      <sheetName val="[Spt-BH.xls][Spt-BH_xls]_S_1351"/>
      <sheetName val="[Spt-BH.xls][Spt-BH_xls]B__4089"/>
      <sheetName val="[Spt-BH.xls][Spt-BH_xls]B__4090"/>
      <sheetName val="[Spt-BH.xls][Spt-BH_xls]B__4091"/>
      <sheetName val="[Spt-BH.xls][Spt-BH_xls]_S_1352"/>
      <sheetName val="[Spt-BH.xls][Spt-BH_xls]B__4092"/>
      <sheetName val="[Spt-BH.xls][Spt-BH_xls]B__4093"/>
      <sheetName val="[Spt-BH.xls][Spt-BH_xls]B__4094"/>
      <sheetName val="[Spt-BH.xls][Spt-BH_xls]B__4095"/>
      <sheetName val="[Spt-BH.xls][Spt-BH_xls]_S_1353"/>
      <sheetName val="[Spt-BH.xls][Spt-BH_xls]B__4096"/>
      <sheetName val="[Spt-BH.xls][Spt-BH_xls]B__4097"/>
      <sheetName val="[Spt-BH.xls][Spt-BH_xls]_S_1354"/>
      <sheetName val="[Spt-BH.xls][Spt-BH_xls]B__4098"/>
      <sheetName val="[Spt-BH.xls][Spt-BH_xls]B__4099"/>
      <sheetName val="[Spt-BH.xls][Spt-BH_xls]_S_1355"/>
      <sheetName val="[Spt-BH.xls][Spt-BH.xls]_S_1547"/>
      <sheetName val="[Spt-BH.xls]B____x005f_x0004______335"/>
      <sheetName val="[Spt-BH.xls]B___x005f_x0000__x000_329"/>
      <sheetName val="[Spt-BH.xls][Spt-BH.xls]B__4313"/>
      <sheetName val="[Spt-BH.xls][Spt-BH.xls]B__4314"/>
      <sheetName val="[Spt-BH.xls][Spt-BH.xls]B__4315"/>
      <sheetName val="[Spt-BH.xls][Spt-BH.xls]B__4316"/>
      <sheetName val="[Spt-BH.xls][Spt-BH.xls]B__4317"/>
      <sheetName val="[Spt-BH.xls][Spt-BH.xls]B__4318"/>
      <sheetName val="[Spt-BH.xls][Spt-BH.xls]B__4319"/>
      <sheetName val="[Spt-BH.xls][Spt-BH.xls]_S_1548"/>
      <sheetName val="[Spt-BH.xls][Spt-BH_xls]B__4100"/>
      <sheetName val="[Spt-BH.xls][Spt-BH_xls]B__4101"/>
      <sheetName val="[Spt-BH.xls][Spt-BH_xls]B__4102"/>
      <sheetName val="[Spt-BH.xls][Spt-BH_xls]B__4103"/>
      <sheetName val="[Spt-BH.xls][Spt-BH_xls]_S_1356"/>
      <sheetName val="[Spt-BH.xls][Spt-BH_xls]B__4104"/>
      <sheetName val="[Spt-BH.xls][Spt-BH_xls]B__4105"/>
      <sheetName val="[Spt-BH.xls][Spt-BH_xls]B__4106"/>
      <sheetName val="[Spt-BH.xls][Spt-BH_xls]_S_1357"/>
      <sheetName val="[Spt-BH.xls][Spt-BH_xls]B__4107"/>
      <sheetName val="[Spt-BH.xls][Spt-BH_xls]B__4108"/>
      <sheetName val="[Spt-BH.xls][Spt-BH_xls]B__4109"/>
      <sheetName val="[Spt-BH.xls][Spt-BH_xls]B__4110"/>
      <sheetName val="[Spt-BH.xls][Spt-BH_xls]_S_1358"/>
      <sheetName val="[Spt-BH.xls][Spt-BH_xls]B__4111"/>
      <sheetName val="[Spt-BH.xls][Spt-BH_xls]B__4112"/>
      <sheetName val="[Spt-BH.xls][Spt-BH_xls]_S_1359"/>
      <sheetName val="[Spt-BH.xls][Spt-BH_xls]B__4113"/>
      <sheetName val="[Spt-BH.xls][Spt-BH_xls]B__4114"/>
      <sheetName val="[Spt-BH.xls][Spt-BH_xls]_S_1360"/>
      <sheetName val="[Spt-BH.xls][Spt-BH.xls]_S_1549"/>
      <sheetName val="[Spt-BH.xls]B____x005f_x0004______336"/>
      <sheetName val="[Spt-BH.xls]B___x005f_x0000__x000_330"/>
      <sheetName val="[Spt-BH.xls][Spt-BH.xls]B__4320"/>
      <sheetName val="[Spt-BH.xls][Spt-BH.xls]B__4321"/>
      <sheetName val="[Spt-BH.xls][Spt-BH.xls]B__4322"/>
      <sheetName val="[Spt-BH.xls][Spt-BH.xls]B__4323"/>
      <sheetName val="[Spt-BH.xls][Spt-BH.xls]B__4324"/>
      <sheetName val="[Spt-BH.xls][Spt-BH.xls]B__4325"/>
      <sheetName val="[Spt-BH.xls][Spt-BH.xls]B__4326"/>
      <sheetName val="[Spt-BH.xls][Spt-BH.xls]_S_1550"/>
      <sheetName val="[Spt-BH.xls][Spt-BH_xls]B__4115"/>
      <sheetName val="[Spt-BH.xls][Spt-BH_xls]B__4116"/>
      <sheetName val="[Spt-BH.xls][Spt-BH_xls]B__4117"/>
      <sheetName val="[Spt-BH.xls][Spt-BH_xls]B__4118"/>
      <sheetName val="[Spt-BH.xls][Spt-BH_xls]_S_1361"/>
      <sheetName val="[Spt-BH.xls][Spt-BH_xls]B__4119"/>
      <sheetName val="[Spt-BH.xls][Spt-BH_xls]B__4120"/>
      <sheetName val="[Spt-BH.xls][Spt-BH_xls]B__4121"/>
      <sheetName val="[Spt-BH.xls][Spt-BH_xls]_S_1362"/>
      <sheetName val="[Spt-BH.xls][Spt-BH_xls]B__4122"/>
      <sheetName val="[Spt-BH.xls][Spt-BH_xls]B__4123"/>
      <sheetName val="[Spt-BH.xls][Spt-BH_xls]B__4124"/>
      <sheetName val="[Spt-BH.xls][Spt-BH_xls]B__4125"/>
      <sheetName val="[Spt-BH.xls][Spt-BH_xls]_S_1363"/>
      <sheetName val="[Spt-BH.xls][Spt-BH_xls]B__4126"/>
      <sheetName val="[Spt-BH.xls][Spt-BH_xls]B__4127"/>
      <sheetName val="[Spt-BH.xls][Spt-BH_xls]_S_1364"/>
      <sheetName val="[Spt-BH.xls][Spt-BH_xls]B__4128"/>
      <sheetName val="[Spt-BH.xls][Spt-BH_xls]B__4129"/>
      <sheetName val="[Spt-BH.xls][Spt-BH_xls]_S_1365"/>
      <sheetName val="[Spt-BH.xls][Spt-BH.xls]B__4372"/>
      <sheetName val="[Spt-BH.xls][Spt-BH.xls]B__4373"/>
      <sheetName val="[Spt-BH.xls][Spt-BH.xls]_S_1570"/>
      <sheetName val="[Spt-BH.xls][Spt-BH.xls]B__4374"/>
      <sheetName val="[Spt-BH.xls][Spt-BH.xls]B__4375"/>
      <sheetName val="[Spt-BH.xls]B____x005f_x0004______339"/>
      <sheetName val="[Spt-BH.xls]B___x005f_x0000__x000_333"/>
      <sheetName val="[Spt-BH.xls][Spt-BH.xls]B__4376"/>
      <sheetName val="[Spt-BH.xls][Spt-BH.xls]B__4377"/>
      <sheetName val="[Spt-BH.xls][Spt-BH.xls]B__4353"/>
      <sheetName val="[Spt-BH.xls][Spt-BH.xls]_S_1568"/>
      <sheetName val="[Spt-BH.xls][Spt-BH_xls]B__4160"/>
      <sheetName val="[Spt-BH.xls][Spt-BH_xls]B__4161"/>
      <sheetName val="[Spt-BH.xls][Spt-BH_xls]B__4162"/>
      <sheetName val="[Spt-BH.xls][Spt-BH_xls]B__4163"/>
      <sheetName val="[Spt-BH.xls][Spt-BH_xls]_S_1376"/>
      <sheetName val="[Spt-BH.xls][Spt-BH_xls]B__4164"/>
      <sheetName val="[Spt-BH.xls][Spt-BH_xls]B__4165"/>
      <sheetName val="[Spt-BH.xls][Spt-BH_xls]B__4166"/>
      <sheetName val="[Spt-BH.xls][Spt-BH_xls]_S_1377"/>
      <sheetName val="[Spt-BH.xls][Spt-BH_xls]B__4167"/>
      <sheetName val="[Spt-BH.xls][Spt-BH_xls]B__4168"/>
      <sheetName val="[Spt-BH.xls][Spt-BH_xls]B__4169"/>
      <sheetName val="[Spt-BH.xls][Spt-BH_xls]B__4170"/>
      <sheetName val="[Spt-BH.xls][Spt-BH_xls]_S_1378"/>
      <sheetName val="[Spt-BH.xls][Spt-BH_xls]B__4171"/>
      <sheetName val="[Spt-BH.xls][Spt-BH_xls]B__4172"/>
      <sheetName val="[Spt-BH.xls][Spt-BH_xls]_S_1379"/>
      <sheetName val="[Spt-BH.xls][Spt-BH_xls]B__4173"/>
      <sheetName val="[Spt-BH.xls][Spt-BH_xls]B__4174"/>
      <sheetName val="[Spt-BH.xls][Spt-BH_xls]_S_1380"/>
      <sheetName val="[Spt-BH.xls][Spt-BH.xls]_S_1553"/>
      <sheetName val="[Spt-BH.xls][Spt-BH.xls]B__4341"/>
      <sheetName val="[Spt-BH.xls][Spt-BH.xls]B__4342"/>
      <sheetName val="[Spt-BH.xls][Spt-BH.xls]B__4343"/>
      <sheetName val="[Spt-BH.xls][Spt-BH.xls]B__4344"/>
      <sheetName val="[Spt-BH.xls]B____x005f_x0004______338"/>
      <sheetName val="[Spt-BH.xls]B___x005f_x0000__x000_332"/>
      <sheetName val="[Spt-BH.xls][Spt-BH.xls]B__4345"/>
      <sheetName val="[Spt-BH.xls][Spt-BH.xls]B__4334"/>
      <sheetName val="[Spt-BH.xls][Spt-BH.xls]B__4335"/>
      <sheetName val="[Spt-BH.xls][Spt-BH.xls]_S_1555"/>
      <sheetName val="[Spt-BH.xls][Spt-BH.xls]B__4336"/>
      <sheetName val="[Spt-BH.xls][Spt-BH.xls]B__4337"/>
      <sheetName val="[Spt-BH.xls][Spt-BH.xls]B__4346"/>
      <sheetName val="[Spt-BH.xls][Spt-BH.xls]B__4338"/>
      <sheetName val="[Spt-BH.xls][Spt-BH.xls]B__4339"/>
      <sheetName val="[Spt-BH.xls][Spt-BH.xls]B__4340"/>
      <sheetName val="[Spt-BH.xls][Spt-BH.xls]_S_1554"/>
      <sheetName val="[Spt-BH.xls][Spt-BH.xls]_S_1556"/>
      <sheetName val="[Spt-BH.xls][Spt-BH_xls]B__4145"/>
      <sheetName val="[Spt-BH.xls][Spt-BH_xls]B__4146"/>
      <sheetName val="[Spt-BH.xls][Spt-BH_xls]B__4147"/>
      <sheetName val="[Spt-BH.xls][Spt-BH_xls]B__4148"/>
      <sheetName val="[Spt-BH.xls][Spt-BH_xls]_S_1371"/>
      <sheetName val="[Spt-BH.xls][Spt-BH_xls]B__4149"/>
      <sheetName val="[Spt-BH.xls][Spt-BH_xls]B__4150"/>
      <sheetName val="[Spt-BH.xls][Spt-BH_xls]B__4151"/>
      <sheetName val="[Spt-BH.xls][Spt-BH_xls]_S_1372"/>
      <sheetName val="[Spt-BH.xls][Spt-BH_xls]B__4152"/>
      <sheetName val="[Spt-BH.xls][Spt-BH_xls]B__4153"/>
      <sheetName val="[Spt-BH.xls][Spt-BH_xls]B__4154"/>
      <sheetName val="[Spt-BH.xls][Spt-BH_xls]B__4155"/>
      <sheetName val="[Spt-BH.xls][Spt-BH_xls]_S_1373"/>
      <sheetName val="[Spt-BH.xls][Spt-BH_xls]B__4156"/>
      <sheetName val="[Spt-BH.xls][Spt-BH_xls]B__4157"/>
      <sheetName val="[Spt-BH.xls][Spt-BH_xls]_S_1374"/>
      <sheetName val="[Spt-BH.xls][Spt-BH_xls]B__4158"/>
      <sheetName val="[Spt-BH.xls][Spt-BH_xls]B__4159"/>
      <sheetName val="[Spt-BH.xls][Spt-BH_xls]_S_1375"/>
      <sheetName val="[Spt-BH.xls][Spt-BH.xls]_S_1559"/>
      <sheetName val="[Spt-BH.xls][Spt-BH.xls]B__4354"/>
      <sheetName val="[Spt-BH.xls][Spt-BH.xls]B__4355"/>
      <sheetName val="[Spt-BH.xls][Spt-BH.xls]B__4356"/>
      <sheetName val="[Spt-BH.xls][Spt-BH.xls]B__4357"/>
      <sheetName val="[Spt-BH.xls][Spt-BH.xls]B__4358"/>
      <sheetName val="[Spt-BH.xls][Spt-BH.xls]B__4359"/>
      <sheetName val="[Spt-BH.xls][Spt-BH.xls]_S_1560"/>
      <sheetName val="[Spt-BH.xls][Spt-BH.xls]B__4360"/>
      <sheetName val="[Spt-BH.xls][Spt-BH.xls]B__4361"/>
      <sheetName val="[Spt-BH.xls][Spt-BH.xls]_S_1564"/>
      <sheetName val="[Spt-BH.xls][Spt-BH.xls]B__4362"/>
      <sheetName val="[Spt-BH.xls][Spt-BH.xls]B__4363"/>
      <sheetName val="[Spt-BH.xls][Spt-BH.xls]B__4364"/>
      <sheetName val="[Spt-BH.xls][Spt-BH.xls]_S_1562"/>
      <sheetName val="[Spt-BH.xls][Spt-BH.xls]B__4365"/>
      <sheetName val="[Spt-BH.xls][Spt-BH.xls]_S_1563"/>
      <sheetName val="[Spt-BH.xls][Spt-BH.xls]_S_1561"/>
      <sheetName val="[Spt-BH.xls][Spt-BH.xls]_S_1565"/>
      <sheetName val="[Spt-BH.xls][Spt-BH.xls]B__4366"/>
      <sheetName val="[Spt-BH.xls][Spt-BH.xls]B__4367"/>
      <sheetName val="[Spt-BH.xls][Spt-BH.xls]B__4368"/>
      <sheetName val="[Spt-BH.xls][Spt-BH.xls]B__4369"/>
      <sheetName val="[Spt-BH.xls][Spt-BH.xls]B__4370"/>
      <sheetName val="[Spt-BH.xls][Spt-BH.xls]B__4371"/>
      <sheetName val="[Spt-BH.xls][Spt-BH.xls]_S_1566"/>
      <sheetName val="[Spt-BH.xls][Spt-BH.xls]_S_1569"/>
      <sheetName val="[Spt-BH.xls][Spt-BH.xls]B__4378"/>
      <sheetName val="[Spt-BH.xls][Spt-BH.xls]B__4379"/>
      <sheetName val="[Spt-BH.xls][Spt-BH.xls]_S_1573"/>
      <sheetName val="[Spt-BH.xls][Spt-BH.xls]B__4380"/>
      <sheetName val="[Spt-BH.xls][Spt-BH.xls]B__4381"/>
      <sheetName val="[Spt-BH.xls][Spt-BH.xls]B__4382"/>
      <sheetName val="[Spt-BH.xls][Spt-BH.xls]B__4383"/>
      <sheetName val="[Spt-BH.xls][Spt-BH.xls]_S_1571"/>
      <sheetName val="[Spt-BH.xls][Spt-BH.xls]_S_1572"/>
      <sheetName val="[Spt-BH.xls][Spt-BH.xls]_S_1661"/>
      <sheetName val="[Spt-BH.xls]B____x005f_x0004______340"/>
      <sheetName val="[Spt-BH.xls]B___x005f_x0000__x000_334"/>
      <sheetName val="[Spt-BH.xls][Spt-BH.xls]B__4384"/>
      <sheetName val="[Spt-BH.xls][Spt-BH_xls]B__4175"/>
      <sheetName val="[Spt-BH.xls][Spt-BH_xls]B__4176"/>
      <sheetName val="[Spt-BH.xls][Spt-BH_xls]B__4177"/>
      <sheetName val="[Spt-BH.xls][Spt-BH_xls]B__4178"/>
      <sheetName val="[Spt-BH.xls][Spt-BH_xls]_S_1381"/>
      <sheetName val="[Spt-BH.xls][Spt-BH_xls]B__4179"/>
      <sheetName val="[Spt-BH.xls][Spt-BH_xls]B__4180"/>
      <sheetName val="[Spt-BH.xls][Spt-BH_xls]B__4181"/>
      <sheetName val="[Spt-BH.xls][Spt-BH_xls]_S_1382"/>
      <sheetName val="[Spt-BH.xls][Spt-BH_xls]B__4182"/>
      <sheetName val="[Spt-BH.xls][Spt-BH_xls]B__4183"/>
      <sheetName val="[Spt-BH.xls][Spt-BH_xls]B__4184"/>
      <sheetName val="[Spt-BH.xls][Spt-BH_xls]B__4185"/>
      <sheetName val="[Spt-BH.xls][Spt-BH_xls]_S_1383"/>
      <sheetName val="[Spt-BH.xls][Spt-BH_xls]B__4186"/>
      <sheetName val="[Spt-BH.xls][Spt-BH_xls]B__4187"/>
      <sheetName val="[Spt-BH.xls][Spt-BH_xls]_S_1384"/>
      <sheetName val="[Spt-BH.xls][Spt-BH_xls]B__4188"/>
      <sheetName val="[Spt-BH.xls][Spt-BH_xls]B__4189"/>
      <sheetName val="[Spt-BH.xls][Spt-BH_xls]_S_1385"/>
      <sheetName val="[Spt-BH.xls][Spt-BH.xls]B__4409"/>
      <sheetName val="[Spt-BH.xls][Spt-BH.xls]B__4410"/>
      <sheetName val="[Spt-BH.xls][Spt-BH.xls]_S_1582"/>
      <sheetName val="[Spt-BH.xls][Spt-BH.xls]B__4411"/>
      <sheetName val="[Spt-BH.xls][Spt-BH.xls]B__4412"/>
      <sheetName val="[Spt-BH.xls][Spt-BH.xls]_S_1581"/>
      <sheetName val="[Spt-BH.xls][Spt-BH.xls]B__4403"/>
      <sheetName val="[Spt-BH.xls][Spt-BH.xls]B__4404"/>
      <sheetName val="[Spt-BH.xls][Spt-BH.xls]B__4405"/>
      <sheetName val="[Spt-BH.xls][Spt-BH.xls]B__4406"/>
      <sheetName val="[Spt-BH.xls][Spt-BH.xls]B__4407"/>
      <sheetName val="[Spt-BH.xls][Spt-BH.xls]_S_1579"/>
      <sheetName val="[Spt-BH.xls][Spt-BH.xls]B__4408"/>
      <sheetName val="[Spt-BH.xls][Spt-BH.xls]_S_1580"/>
      <sheetName val="[Spt-BH.xls][Spt-BH.xls]B__4391"/>
      <sheetName val="[Spt-BH.xls][Spt-BH.xls]B__4392"/>
      <sheetName val="[Spt-BH.xls][Spt-BH.xls]B__4393"/>
      <sheetName val="[Spt-BH.xls][Spt-BH.xls]B__4394"/>
      <sheetName val="[Spt-BH.xls][Spt-BH.xls]B__4395"/>
      <sheetName val="[Spt-BH.xls][Spt-BH.xls]_S_1575"/>
      <sheetName val="[Spt-BH.xls][Spt-BH.xls]B__4396"/>
      <sheetName val="[Spt-BH.xls][Spt-BH.xls]_S_1576"/>
      <sheetName val="[Spt-BH.xls][Spt-BH.xls]B__4385"/>
      <sheetName val="[Spt-BH.xls][Spt-BH.xls]B__4386"/>
      <sheetName val="[Spt-BH.xls][Spt-BH.xls]B__4387"/>
      <sheetName val="[Spt-BH.xls][Spt-BH.xls]B__4388"/>
      <sheetName val="[Spt-BH.xls][Spt-BH.xls]B__4389"/>
      <sheetName val="[Spt-BH.xls][Spt-BH.xls]B__4390"/>
      <sheetName val="[Spt-BH.xls][Spt-BH.xls]_S_1574"/>
      <sheetName val="[Spt-BH.xls][Spt-BH.xls]B__4397"/>
      <sheetName val="[Spt-BH.xls][Spt-BH.xls]B__4398"/>
      <sheetName val="[Spt-BH.xls][Spt-BH.xls]B__4399"/>
      <sheetName val="[Spt-BH.xls][Spt-BH.xls]B__4400"/>
      <sheetName val="[Spt-BH.xls][Spt-BH.xls]B__4401"/>
      <sheetName val="[Spt-BH.xls][Spt-BH.xls]_S_1577"/>
      <sheetName val="[Spt-BH.xls][Spt-BH.xls]B__4402"/>
      <sheetName val="[Spt-BH.xls][Spt-BH.xls]_S_1578"/>
      <sheetName val="[Spt-BH.xls][Spt-BH.xls]B__4419"/>
      <sheetName val="[Spt-BH.xls][Spt-BH.xls]B__4420"/>
      <sheetName val="[Spt-BH.xls][Spt-BH.xls]_S_1593"/>
      <sheetName val="[Spt-BH.xls][Spt-BH.xls]B__4421"/>
      <sheetName val="[Spt-BH.xls][Spt-BH.xls]B__4422"/>
      <sheetName val="[Spt-BH.xls][Spt-BH.xls]B__4423"/>
      <sheetName val="[Spt-BH.xls][Spt-BH.xls]_S_1585"/>
      <sheetName val="[Spt-BH.xls][Spt-BH.xls]B__4424"/>
      <sheetName val="[Spt-BH.xls][Spt-BH.xls]_S_1586"/>
      <sheetName val="[Spt-BH.xls][Spt-BH.xls]B__4413"/>
      <sheetName val="[Spt-BH.xls][Spt-BH.xls]B__4414"/>
      <sheetName val="[Spt-BH.xls][Spt-BH.xls]B__4415"/>
      <sheetName val="[Spt-BH.xls][Spt-BH.xls]B__4416"/>
      <sheetName val="[Spt-BH.xls][Spt-BH.xls]B__4417"/>
      <sheetName val="[Spt-BH.xls][Spt-BH.xls]_S_1583"/>
      <sheetName val="[Spt-BH.xls][Spt-BH.xls]B__4418"/>
      <sheetName val="[Spt-BH.xls][Spt-BH.xls]_S_1584"/>
      <sheetName val="[Spt-BH.xls][Spt-BH.xls]B__4445"/>
      <sheetName val="[Spt-BH.xls][Spt-BH.xls]B__4446"/>
      <sheetName val="[Spt-BH.xls][Spt-BH.xls]B__4447"/>
      <sheetName val="[Spt-BH.xls][Spt-BH.xls]B__4448"/>
      <sheetName val="[Spt-BH.xls]B____x005f_x0004______341"/>
      <sheetName val="[Spt-BH.xls]B___x005f_x0000__x000_335"/>
      <sheetName val="[Spt-BH.xls][Spt-BH.xls]B__4449"/>
      <sheetName val="[Spt-BH.xls][Spt-BH.xls]B__4450"/>
      <sheetName val="[Spt-BH.xls][Spt-BH.xls]B__4425"/>
      <sheetName val="[Spt-BH.xls][Spt-BH.xls]_S_1594"/>
      <sheetName val="[Spt-BH.xls][Spt-BH_xls]B__4190"/>
      <sheetName val="[Spt-BH.xls][Spt-BH_xls]B__4191"/>
      <sheetName val="[Spt-BH.xls][Spt-BH_xls]B__4192"/>
      <sheetName val="[Spt-BH.xls][Spt-BH_xls]B__4193"/>
      <sheetName val="[Spt-BH.xls][Spt-BH_xls]_S_1386"/>
      <sheetName val="[Spt-BH.xls][Spt-BH_xls]B__4194"/>
      <sheetName val="[Spt-BH.xls][Spt-BH_xls]B__4195"/>
      <sheetName val="[Spt-BH.xls][Spt-BH_xls]B__4196"/>
      <sheetName val="[Spt-BH.xls][Spt-BH_xls]_S_1387"/>
      <sheetName val="[Spt-BH.xls][Spt-BH_xls]B__4197"/>
      <sheetName val="[Spt-BH.xls][Spt-BH_xls]B__4198"/>
      <sheetName val="[Spt-BH.xls][Spt-BH_xls]B__4199"/>
      <sheetName val="[Spt-BH.xls][Spt-BH_xls]B__4200"/>
      <sheetName val="[Spt-BH.xls][Spt-BH_xls]_S_1388"/>
      <sheetName val="[Spt-BH.xls][Spt-BH_xls]B__4201"/>
      <sheetName val="[Spt-BH.xls][Spt-BH_xls]B__4202"/>
      <sheetName val="[Spt-BH.xls][Spt-BH_xls]_S_1389"/>
      <sheetName val="[Spt-BH.xls][Spt-BH_xls]B__4203"/>
      <sheetName val="[Spt-BH.xls][Spt-BH_xls]B__4204"/>
      <sheetName val="[Spt-BH.xls][Spt-BH_xls]_S_1390"/>
      <sheetName val="[Spt-BH.xls][Spt-BH.xls]B__4426"/>
      <sheetName val="[Spt-BH.xls][Spt-BH.xls]B__4427"/>
      <sheetName val="[Spt-BH.xls][Spt-BH.xls]B__4428"/>
      <sheetName val="[Spt-BH.xls][Spt-BH.xls]B__4429"/>
      <sheetName val="[Spt-BH.xls][Spt-BH.xls]B__4430"/>
      <sheetName val="[Spt-BH.xls][Spt-BH.xls]_S_1587"/>
      <sheetName val="[Spt-BH.xls][Spt-BH.xls]B__4431"/>
      <sheetName val="[Spt-BH.xls][Spt-BH.xls]_S_1588"/>
      <sheetName val="[Spt-BH.xls]B____x005f_x0004______342"/>
      <sheetName val="[Spt-BH.xls]B___x005f_x0000__x000_336"/>
      <sheetName val="[Spt-BH.xls][Spt-BH.xls]B__4432"/>
      <sheetName val="[Spt-BH.xls][Spt-BH_xls]B__4205"/>
      <sheetName val="[Spt-BH.xls][Spt-BH_xls]B__4206"/>
      <sheetName val="[Spt-BH.xls][Spt-BH_xls]B__4207"/>
      <sheetName val="[Spt-BH.xls][Spt-BH_xls]B__4208"/>
      <sheetName val="[Spt-BH.xls][Spt-BH_xls]_S_1391"/>
      <sheetName val="[Spt-BH.xls][Spt-BH_xls]B__4209"/>
      <sheetName val="[Spt-BH.xls][Spt-BH_xls]B__4210"/>
      <sheetName val="[Spt-BH.xls][Spt-BH_xls]B__4211"/>
      <sheetName val="[Spt-BH.xls][Spt-BH_xls]_S_1392"/>
      <sheetName val="[Spt-BH.xls][Spt-BH_xls]B__4212"/>
      <sheetName val="[Spt-BH.xls][Spt-BH_xls]B__4213"/>
      <sheetName val="[Spt-BH.xls][Spt-BH_xls]B__4214"/>
      <sheetName val="[Spt-BH.xls][Spt-BH_xls]B__4215"/>
      <sheetName val="[Spt-BH.xls][Spt-BH_xls]_S_1393"/>
      <sheetName val="[Spt-BH.xls][Spt-BH_xls]B__4216"/>
      <sheetName val="[Spt-BH.xls][Spt-BH_xls]B__4217"/>
      <sheetName val="[Spt-BH.xls][Spt-BH_xls]_S_1394"/>
      <sheetName val="[Spt-BH.xls][Spt-BH_xls]B__4218"/>
      <sheetName val="[Spt-BH.xls][Spt-BH_xls]B__4219"/>
      <sheetName val="[Spt-BH.xls][Spt-BH_xls]_S_1395"/>
      <sheetName val="[Spt-BH.xls][Spt-BH.xls]_S_1589"/>
      <sheetName val="[Spt-BH.xls][Spt-BH.xls]B__4433"/>
      <sheetName val="[Spt-BH.xls][Spt-BH.xls]B__4434"/>
      <sheetName val="[Spt-BH.xls][Spt-BH.xls]B__4435"/>
      <sheetName val="[Spt-BH.xls][Spt-BH.xls]B__4436"/>
      <sheetName val="[Spt-BH.xls][Spt-BH.xls]B__4437"/>
      <sheetName val="[Spt-BH.xls][Spt-BH.xls]B__4438"/>
      <sheetName val="[Spt-BH.xls][Spt-BH.xls]_S_1590"/>
      <sheetName val="[Spt-BH.xls][Spt-BH.xls]_S_1591"/>
      <sheetName val="[Spt-BH.xls][Spt-BH.xls]B__4439"/>
      <sheetName val="[Spt-BH.xls][Spt-BH.xls]B__4440"/>
      <sheetName val="[Spt-BH.xls][Spt-BH.xls]B__4441"/>
      <sheetName val="[Spt-BH.xls][Spt-BH.xls]B__4442"/>
      <sheetName val="[Spt-BH.xls][Spt-BH.xls]B__4443"/>
      <sheetName val="[Spt-BH.xls][Spt-BH.xls]B__4444"/>
      <sheetName val="[Spt-BH.xls][Spt-BH.xls]_S_1592"/>
      <sheetName val="[Spt-BH.xls][Spt-BH.xls]_S_1603"/>
      <sheetName val="[Spt-BH.xls][Spt-BH.xls]_S_1602"/>
      <sheetName val="[Spt-BH.xls][Spt-BH.xls]_S_1596"/>
      <sheetName val="[Spt-BH.xls][Spt-BH.xls]_S_1597"/>
      <sheetName val="[Spt-BH.xls][Spt-BH.xls]_S_1595"/>
      <sheetName val="[Spt-BH.xls][Spt-BH.xls]_S_1599"/>
      <sheetName val="[Spt-BH.xls][Spt-BH.xls]_S_1600"/>
      <sheetName val="[Spt-BH.xls][Spt-BH.xls]_S_1598"/>
      <sheetName val="[Spt-BH.xls][Spt-BH.xls]_S_1601"/>
      <sheetName val="[Spt-BH.xls]B____x005f_x0004______344"/>
      <sheetName val="[Spt-BH.xls]B___x005f_x0000__x000_338"/>
      <sheetName val="[Spt-BH.xls]B____x005f_x0004______343"/>
      <sheetName val="[Spt-BH.xls]B___x005f_x0000__x000_337"/>
      <sheetName val="[Spt-BH.xls]B____x005f_x0004______346"/>
      <sheetName val="[Spt-BH.xls]B___x005f_x0000__x000_340"/>
      <sheetName val="[Spt-BH.xls]B____x005f_x0004______345"/>
      <sheetName val="[Spt-BH.xls]B___x005f_x0000__x000_339"/>
      <sheetName val="[Spt-BH.xls]B____x005f_x0004______347"/>
      <sheetName val="[Spt-BH.xls]B___x005f_x0000__x000_341"/>
      <sheetName val="[Spt-BH.xls]B____x005f_x0004______348"/>
      <sheetName val="[Spt-BH.xls]B___x005f_x0000__x000_342"/>
      <sheetName val="[Spt-BH.xls]B____x005f_x0004______352"/>
      <sheetName val="[Spt-BH.xls]B___x005f_x0000__x000_346"/>
      <sheetName val="[Spt-BH.xls]B____x005f_x0004______350"/>
      <sheetName val="[Spt-BH.xls]B___x005f_x0000__x000_344"/>
      <sheetName val="[Spt-BH.xls]B____x005f_x0004______349"/>
      <sheetName val="[Spt-BH.xls]B___x005f_x0000__x000_343"/>
      <sheetName val="[Spt-BH.xls]B____x005f_x0004______351"/>
      <sheetName val="[Spt-BH.xls]B___x005f_x0000__x000_345"/>
      <sheetName val="[Spt-BH.xls]B____x005f_x0004______361"/>
      <sheetName val="[Spt-BH.xls]B___x005f_x0000__x000_355"/>
      <sheetName val="[Spt-BH.xls][Spt-BH.xls]B__4451"/>
      <sheetName val="[Spt-BH.xls]B____x005f_x0004______353"/>
      <sheetName val="[Spt-BH.xls]B___x005f_x0000__x000_347"/>
      <sheetName val="[Spt-BH.xls]B____x005f_x0004______356"/>
      <sheetName val="[Spt-BH.xls]B___x005f_x0000__x000_350"/>
      <sheetName val="[Spt-BH.xls]B____x005f_x0004______354"/>
      <sheetName val="[Spt-BH.xls]B___x005f_x0000__x000_348"/>
      <sheetName val="[Spt-BH.xls]B____x005f_x0004______355"/>
      <sheetName val="[Spt-BH.xls]B___x005f_x0000__x000_349"/>
      <sheetName val="[Spt-BH.xls]B____x005f_x0004______357"/>
      <sheetName val="[Spt-BH.xls]B___x005f_x0000__x000_351"/>
      <sheetName val="[Spt-BH.xls]B____x005f_x0004______360"/>
      <sheetName val="[Spt-BH.xls]B___x005f_x0000__x000_354"/>
      <sheetName val="[Spt-BH.xls]B____x005f_x0004______358"/>
      <sheetName val="[Spt-BH.xls]B___x005f_x0000__x000_352"/>
      <sheetName val="[Spt-BH.xls]B____x005f_x0004______359"/>
      <sheetName val="[Spt-BH.xls]B___x005f_x0000__x000_353"/>
      <sheetName val="[Spt-BH.xls][Spt-BH.xls]B__4453"/>
      <sheetName val="[Spt-BH.xls][Spt-BH.xls]B__4454"/>
      <sheetName val="[Spt-BH.xls][Spt-BH.xls]B__4455"/>
      <sheetName val="[Spt-BH.xls][Spt-BH.xls]B__4456"/>
      <sheetName val="[Spt-BH.xls]B____x005f_x0004______362"/>
      <sheetName val="[Spt-BH.xls]B___x005f_x0000__x000_356"/>
      <sheetName val="[Spt-BH.xls][Spt-BH.xls]B__4457"/>
      <sheetName val="[Spt-BH.xls][Spt-BH.xls]B__4458"/>
      <sheetName val="[Spt-BH.xls][Spt-BH.xls]B__4452"/>
      <sheetName val="[Spt-BH.xls][Spt-BH.xls]B__4459"/>
      <sheetName val="[Spt-BH.xls][Spt-BH.xls]B__4460"/>
      <sheetName val="[Spt-BH.xls][Spt-BH.xls]B__4461"/>
      <sheetName val="[Spt-BH.xls][Spt-BH.xls]B__4462"/>
      <sheetName val="[Spt-BH.xls][Spt-BH.xls]B__4463"/>
      <sheetName val="[Spt-BH.xls][Spt-BH.xls]B__4464"/>
      <sheetName val="[Spt-BH.xls][Spt-BH.xls]B__4466"/>
      <sheetName val="[Spt-BH.xls][Spt-BH.xls]B__4467"/>
      <sheetName val="[Spt-BH.xls][Spt-BH.xls]B__4468"/>
      <sheetName val="[Spt-BH.xls][Spt-BH.xls]B__4469"/>
      <sheetName val="[Spt-BH.xls]B____x005f_x0004______363"/>
      <sheetName val="[Spt-BH.xls]B___x005f_x0000__x000_357"/>
      <sheetName val="[Spt-BH.xls][Spt-BH.xls]B__4470"/>
      <sheetName val="[Spt-BH.xls][Spt-BH.xls]B__4471"/>
      <sheetName val="[Spt-BH.xls][Spt-BH.xls]B__4465"/>
      <sheetName val="[Spt-BH.xls][Spt-BH.xls]B__4489"/>
      <sheetName val="[Spt-BH.xls][Spt-BH.xls]B__4490"/>
      <sheetName val="[Spt-BH.xls][Spt-BH.xls]B__4491"/>
      <sheetName val="[Spt-BH.xls][Spt-BH.xls]B__4492"/>
      <sheetName val="[Spt-BH.xls]B____x005f_x0004______364"/>
      <sheetName val="[Spt-BH.xls]B___x005f_x0000__x000_358"/>
      <sheetName val="[Spt-BH.xls][Spt-BH.xls]B__4493"/>
      <sheetName val="[Spt-BH.xls][Spt-BH.xls]B__4478"/>
      <sheetName val="[Spt-BH.xls][Spt-BH.xls]B__4479"/>
      <sheetName val="[Spt-BH.xls][Spt-BH.xls]B__4480"/>
      <sheetName val="[Spt-BH.xls][Spt-BH.xls]B__4481"/>
      <sheetName val="[Spt-BH.xls][Spt-BH.xls]B__4482"/>
      <sheetName val="[Spt-BH.xls][Spt-BH.xls]B__4483"/>
      <sheetName val="[Spt-BH.xls]B____x005f_x0004______366"/>
      <sheetName val="[Spt-BH.xls]B___x005f_x0000__x000_360"/>
      <sheetName val="[Spt-BH.xls][Spt-BH.xls]B__4472"/>
      <sheetName val="[Spt-BH.xls][Spt-BH.xls]B__4473"/>
      <sheetName val="[Spt-BH.xls][Spt-BH.xls]B__4474"/>
      <sheetName val="[Spt-BH.xls][Spt-BH.xls]B__4475"/>
      <sheetName val="[Spt-BH.xls][Spt-BH.xls]B__4476"/>
      <sheetName val="[Spt-BH.xls][Spt-BH.xls]B__4477"/>
      <sheetName val="[Spt-BH.xls]B____x005f_x0004______365"/>
      <sheetName val="[Spt-BH.xls]B___x005f_x0000__x000_359"/>
      <sheetName val="[Spt-BH.xls][Spt-BH.xls]B__4494"/>
      <sheetName val="[Spt-BH.xls][Spt-BH.xls]B__4484"/>
      <sheetName val="[Spt-BH.xls][Spt-BH.xls]B__4485"/>
      <sheetName val="[Spt-BH.xls][Spt-BH.xls]B__4486"/>
      <sheetName val="[Spt-BH.xls][Spt-BH.xls]B__4487"/>
      <sheetName val="[Spt-BH.xls][Spt-BH.xls]B__4488"/>
      <sheetName val="[Spt-BH.xls][Spt-BH.xls]B__4495"/>
      <sheetName val="[Spt-BH.xls][Spt-BH.xls]B__4496"/>
      <sheetName val="[Spt-BH.xls][Spt-BH.xls]B__4497"/>
      <sheetName val="[Spt-BH.xls][Spt-BH.xls]B__4498"/>
      <sheetName val="[Spt-BH.xls][Spt-BH.xls]B__4499"/>
      <sheetName val="[Spt-BH.xls][Spt-BH.xls]B__4500"/>
      <sheetName val="[Spt-BH.xls][Spt-BH.xls]B__4526"/>
      <sheetName val="[Spt-BH.xls][Spt-BH.xls]B__4527"/>
      <sheetName val="[Spt-BH.xls][Spt-BH.xls]B__4528"/>
      <sheetName val="[Spt-BH.xls][Spt-BH.xls]B__4529"/>
      <sheetName val="[Spt-BH.xls][Spt-BH.xls]B__4530"/>
      <sheetName val="[Spt-BH.xls][Spt-BH.xls]B__4531"/>
      <sheetName val="[Spt-BH.xls][Spt-BH.xls]B__4501"/>
      <sheetName val="[Spt-BH.xls][Spt-BH.xls]B__4502"/>
      <sheetName val="[Spt-BH.xls][Spt-BH.xls]B__4503"/>
      <sheetName val="[Spt-BH.xls][Spt-BH.xls]B__4504"/>
      <sheetName val="[Spt-BH.xls][Spt-BH.xls]B__4505"/>
      <sheetName val="[Spt-BH.xls][Spt-BH.xls]B__4506"/>
      <sheetName val="[Spt-BH.xls][Spt-BH.xls]B__4533"/>
      <sheetName val="[Spt-BH.xls][Spt-BH.xls]B__4534"/>
      <sheetName val="[Spt-BH.xls][Spt-BH.xls]B__4535"/>
      <sheetName val="[Spt-BH.xls][Spt-BH.xls]B__4536"/>
      <sheetName val="[Spt-BH.xls]B____x005f_x0004______368"/>
      <sheetName val="[Spt-BH.xls]B___x005f_x0000__x000_362"/>
      <sheetName val="[Spt-BH.xls][Spt-BH.xls]B__4537"/>
      <sheetName val="[Spt-BH.xls][Spt-BH.xls]B__4538"/>
      <sheetName val="[Spt-BH.xls][Spt-BH.xls]B__4532"/>
      <sheetName val="[Spt-BH.xls][Spt-BH.xls]B__4507"/>
      <sheetName val="[Spt-BH.xls][Spt-BH.xls]B__4508"/>
      <sheetName val="[Spt-BH.xls][Spt-BH.xls]B__4509"/>
      <sheetName val="[Spt-BH.xls][Spt-BH.xls]B__4510"/>
      <sheetName val="[Spt-BH.xls][Spt-BH.xls]B__4511"/>
      <sheetName val="[Spt-BH.xls][Spt-BH.xls]B__4512"/>
      <sheetName val="[Spt-BH.xls]B____x005f_x0004______367"/>
      <sheetName val="[Spt-BH.xls]B___x005f_x0000__x000_361"/>
      <sheetName val="[Spt-BH.xls][Spt-BH.xls]B__4513"/>
      <sheetName val="[Spt-BH.xls][Spt-BH.xls]B__4514"/>
      <sheetName val="[Spt-BH.xls][Spt-BH.xls]B__4515"/>
      <sheetName val="[Spt-BH.xls][Spt-BH.xls]B__4516"/>
      <sheetName val="[Spt-BH.xls][Spt-BH.xls]B__4517"/>
      <sheetName val="[Spt-BH.xls][Spt-BH.xls]B__4518"/>
      <sheetName val="[Spt-BH.xls][Spt-BH.xls]B__4519"/>
      <sheetName val="[Spt-BH.xls][Spt-BH.xls]B__4520"/>
      <sheetName val="[Spt-BH.xls][Spt-BH.xls]B__4521"/>
      <sheetName val="[Spt-BH.xls][Spt-BH.xls]B__4522"/>
      <sheetName val="[Spt-BH.xls][Spt-BH.xls]B__4523"/>
      <sheetName val="[Spt-BH.xls][Spt-BH.xls]B__4524"/>
      <sheetName val="[Spt-BH.xls][Spt-BH.xls]B__4525"/>
      <sheetName val="[Spt-BH.xls][Spt-BH.xls]B__4539"/>
      <sheetName val="[Spt-BH.xls][Spt-BH.xls]B__4540"/>
      <sheetName val="[Spt-BH.xls][Spt-BH.xls]B__4541"/>
      <sheetName val="[Spt-BH.xls][Spt-BH.xls]B__4542"/>
      <sheetName val="[Spt-BH.xls][Spt-BH.xls]B__4543"/>
      <sheetName val="[Spt-BH.xls][Spt-BH.xls]B__4544"/>
      <sheetName val="[Spt-BH.xls][Spt-BH.xls]B__4551"/>
      <sheetName val="[Spt-BH.xls][Spt-BH.xls]B__4552"/>
      <sheetName val="[Spt-BH.xls][Spt-BH.xls]B__4553"/>
      <sheetName val="[Spt-BH.xls][Spt-BH.xls]B__4554"/>
      <sheetName val="[Spt-BH.xls][Spt-BH.xls]B__4555"/>
      <sheetName val="[Spt-BH.xls][Spt-BH.xls]B__4556"/>
      <sheetName val="[Spt-BH.xls][Spt-BH.xls]B__4545"/>
      <sheetName val="[Spt-BH.xls][Spt-BH.xls]B__4546"/>
      <sheetName val="[Spt-BH.xls][Spt-BH.xls]B__4547"/>
      <sheetName val="[Spt-BH.xls][Spt-BH.xls]B__4548"/>
      <sheetName val="[Spt-BH.xls][Spt-BH.xls]B__4549"/>
      <sheetName val="[Spt-BH.xls][Spt-BH.xls]B__4550"/>
      <sheetName val="[Spt-BH.xls][Spt-BH.xls]B__4564"/>
      <sheetName val="[Spt-BH.xls][Spt-BH.xls]B__4565"/>
      <sheetName val="[Spt-BH.xls][Spt-BH.xls]B__4566"/>
      <sheetName val="[Spt-BH.xls][Spt-BH.xls]B__4567"/>
      <sheetName val="[Spt-BH.xls]B____x005f_x0004______369"/>
      <sheetName val="[Spt-BH.xls]B___x005f_x0000__x000_363"/>
      <sheetName val="[Spt-BH.xls][Spt-BH.xls]B__4568"/>
      <sheetName val="[Spt-BH.xls][Spt-BH.xls]B__4557"/>
      <sheetName val="[Spt-BH.xls][Spt-BH.xls]B__4558"/>
      <sheetName val="[Spt-BH.xls][Spt-BH.xls]B__4559"/>
      <sheetName val="[Spt-BH.xls][Spt-BH.xls]B__4560"/>
      <sheetName val="[Spt-BH.xls][Spt-BH.xls]B__4569"/>
      <sheetName val="[Spt-BH.xls][Spt-BH.xls]B__4561"/>
      <sheetName val="[Spt-BH.xls][Spt-BH.xls]B__4562"/>
      <sheetName val="[Spt-BH.xls][Spt-BH.xls]B__4563"/>
      <sheetName val="[Spt-BH.xls][Spt-BH.xls]B__4570"/>
      <sheetName val="[Spt-BH.xls][Spt-BH.xls]B__4571"/>
      <sheetName val="[Spt-BH.xls][Spt-BH.xls]_S_1604"/>
      <sheetName val="[Spt-BH.xls][Spt-BH.xls]B__4572"/>
      <sheetName val="[Spt-BH.xls][Spt-BH.xls]B__4573"/>
      <sheetName val="[Spt-BH.xls][Spt-BH.xls]B__4574"/>
      <sheetName val="[Spt-BH.xls][Spt-BH.xls]B__4575"/>
      <sheetName val="[Spt-BH.xls][Spt-BH.xls]B__4577"/>
      <sheetName val="[Spt-BH.xls][Spt-BH.xls]B__4578"/>
      <sheetName val="[Spt-BH.xls][Spt-BH.xls]_S_1606"/>
      <sheetName val="[Spt-BH.xls][Spt-BH.xls]B__4579"/>
      <sheetName val="[Spt-BH.xls][Spt-BH.xls]B__4580"/>
      <sheetName val="[Spt-BH.xls]B____x005f_x0004______370"/>
      <sheetName val="[Spt-BH.xls]B___x005f_x0000__x000_364"/>
      <sheetName val="[Spt-BH.xls][Spt-BH.xls]B__4581"/>
      <sheetName val="[Spt-BH.xls][Spt-BH.xls]B__4582"/>
      <sheetName val="[Spt-BH.xls][Spt-BH.xls]B__4576"/>
      <sheetName val="[Spt-BH.xls][Spt-BH.xls]B__4584"/>
      <sheetName val="[Spt-BH.xls][Spt-BH.xls]B__4585"/>
      <sheetName val="[Spt-BH.xls][Spt-BH.xls]_S_1608"/>
      <sheetName val="[Spt-BH.xls][Spt-BH.xls]B__4586"/>
      <sheetName val="[Spt-BH.xls][Spt-BH.xls]B__4587"/>
      <sheetName val="[Spt-BH.xls]B____x005f_x0004______371"/>
      <sheetName val="[Spt-BH.xls]B___x005f_x0000__x000_365"/>
      <sheetName val="[Spt-BH.xls][Spt-BH.xls]B__4588"/>
      <sheetName val="[Spt-BH.xls][Spt-BH.xls]B__4589"/>
      <sheetName val="[Spt-BH.xls][Spt-BH.xls]B__4583"/>
      <sheetName val="[Spt-BH.xls][Spt-BH.xls]_S_1605"/>
      <sheetName val="[Spt-BH.xls][Spt-BH.xls]_S_1607"/>
      <sheetName val="[Spt-BH.xls][Spt-BH.xls]_S_1609"/>
      <sheetName val="[Spt-BH.xls][Spt-BH.xls]_S_1614"/>
      <sheetName val="[Spt-BH.xls][Spt-BH.xls]B__4590"/>
      <sheetName val="[Spt-BH.xls][Spt-BH.xls]B__4591"/>
      <sheetName val="[Spt-BH.xls][Spt-BH.xls]_S_1616"/>
      <sheetName val="[Spt-BH.xls][Spt-BH.xls]B__4592"/>
      <sheetName val="[Spt-BH.xls][Spt-BH.xls]B__4593"/>
      <sheetName val="[Spt-BH.xls][Spt-BH.xls]B__4594"/>
      <sheetName val="[Spt-BH.xls][Spt-BH.xls]B__4595"/>
      <sheetName val="[Spt-BH.xls][Spt-BH.xls]_S_1615"/>
      <sheetName val="[Spt-BH.xls][Spt-BH.xls]_S_1613"/>
      <sheetName val="[Spt-BH.xls][Spt-BH.xls]_S_1612"/>
      <sheetName val="[Spt-BH.xls][Spt-BH.xls]_S_1610"/>
      <sheetName val="[Spt-BH.xls][Spt-BH.xls]_S_1611"/>
      <sheetName val="[Spt-BH.xls][Spt-BH.xls]B__4596"/>
      <sheetName val="[Spt-BH.xls][Spt-BH.xls]B__4597"/>
      <sheetName val="[Spt-BH.xls][Spt-BH.xls]_S_1618"/>
      <sheetName val="[Spt-BH.xls][Spt-BH.xls]B__4598"/>
      <sheetName val="[Spt-BH.xls][Spt-BH.xls]B__4599"/>
      <sheetName val="[Spt-BH.xls][Spt-BH.xls]B__4600"/>
      <sheetName val="[Spt-BH.xls][Spt-BH.xls]B__4601"/>
      <sheetName val="[Spt-BH.xls][Spt-BH.xls]_S_1617"/>
      <sheetName val="[Spt-BH.xls][Spt-BH.xls]B__4784"/>
      <sheetName val="[Spt-BH.xls][Spt-BH.xls]B__4785"/>
      <sheetName val="[Spt-BH.xls][Spt-BH.xls]B__4602"/>
      <sheetName val="[Spt-BH.xls][Spt-BH.xls]B__4603"/>
      <sheetName val="[Spt-BH.xls][Spt-BH.xls]B__4604"/>
      <sheetName val="[Spt-BH.xls][Spt-BH.xls]B__4605"/>
      <sheetName val="[Spt-BH.xls][Spt-BH.xls]B__4606"/>
      <sheetName val="[Spt-BH.xls][Spt-BH.xls]B__4607"/>
      <sheetName val="[Spt-BH.xls][Spt-BH.xls]B__4615"/>
      <sheetName val="[Spt-BH.xls][Spt-BH.xls]B__4616"/>
      <sheetName val="[Spt-BH.xls][Spt-BH.xls]B__4617"/>
      <sheetName val="[Spt-BH.xls][Spt-BH.xls]B__4618"/>
      <sheetName val="[Spt-BH.xls]B____x005f_x0004______372"/>
      <sheetName val="[Spt-BH.xls]B___x005f_x0000__x000_366"/>
      <sheetName val="[Spt-BH.xls][Spt-BH.xls]B__4619"/>
      <sheetName val="[Spt-BH.xls][Spt-BH.xls]B__4620"/>
      <sheetName val="[Spt-BH.xls][Spt-BH.xls]B__4608"/>
      <sheetName val="[Spt-BH.xls][Spt-BH.xls]B__4622"/>
      <sheetName val="[Spt-BH.xls][Spt-BH.xls]B__4623"/>
      <sheetName val="[Spt-BH.xls][Spt-BH.xls]B__4624"/>
      <sheetName val="[Spt-BH.xls][Spt-BH.xls]B__4625"/>
      <sheetName val="[Spt-BH.xls]B____x005f_x0004______373"/>
      <sheetName val="[Spt-BH.xls]B___x005f_x0000__x000_367"/>
      <sheetName val="[Spt-BH.xls][Spt-BH.xls]B__4626"/>
      <sheetName val="[Spt-BH.xls][Spt-BH.xls]B__4627"/>
      <sheetName val="[Spt-BH.xls][Spt-BH.xls]B__4621"/>
      <sheetName val="[Spt-BH.xls][Spt-BH.xls]B__4609"/>
      <sheetName val="[Spt-BH.xls][Spt-BH.xls]B__4610"/>
      <sheetName val="[Spt-BH.xls][Spt-BH.xls]B__4611"/>
      <sheetName val="[Spt-BH.xls][Spt-BH.xls]B__4612"/>
      <sheetName val="[Spt-BH.xls][Spt-BH.xls]B__4613"/>
      <sheetName val="[Spt-BH.xls][Spt-BH.xls]B__4614"/>
      <sheetName val="[Spt-BH.xls][Spt-BH.xls]B__4635"/>
      <sheetName val="[Spt-BH.xls][Spt-BH.xls]B__4636"/>
      <sheetName val="[Spt-BH.xls][Spt-BH.xls]B__4637"/>
      <sheetName val="[Spt-BH.xls][Spt-BH.xls]B__4638"/>
      <sheetName val="[Spt-BH.xls][Spt-BH.xls]B__4639"/>
      <sheetName val="[Spt-BH.xls][Spt-BH.xls]B__4640"/>
      <sheetName val="[Spt-BH.xls][Spt-BH.xls]B__4656"/>
      <sheetName val="[Spt-BH.xls][Spt-BH.xls]B__4657"/>
      <sheetName val="[Spt-BH.xls][Spt-BH.xls]B__4658"/>
      <sheetName val="[Spt-BH.xls][Spt-BH.xls]B__4659"/>
      <sheetName val="[Spt-BH.xls]B____x005f_x0004______375"/>
      <sheetName val="[Spt-BH.xls]B___x005f_x0000__x000_369"/>
      <sheetName val="[Spt-BH.xls][Spt-BH.xls]B__4660"/>
      <sheetName val="[Spt-BH.xls][Spt-BH.xls]B__4661"/>
      <sheetName val="[Spt-BH.xls][Spt-BH.xls]B__4641"/>
      <sheetName val="[Spt-BH.xls][Spt-BH.xls]B__4628"/>
      <sheetName val="[Spt-BH.xls][Spt-BH.xls]B__4629"/>
      <sheetName val="[Spt-BH.xls][Spt-BH.xls]B__4630"/>
      <sheetName val="[Spt-BH.xls][Spt-BH.xls]B__4631"/>
      <sheetName val="[Spt-BH.xls][Spt-BH.xls]B__4632"/>
      <sheetName val="[Spt-BH.xls][Spt-BH.xls]B__4633"/>
      <sheetName val="[Spt-BH.xls]B____x005f_x0004______374"/>
      <sheetName val="[Spt-BH.xls]B___x005f_x0000__x000_368"/>
      <sheetName val="[Spt-BH.xls][Spt-BH.xls]B__4634"/>
      <sheetName val="[Spt-BH.xls][Spt-BH.xls]B__4642"/>
      <sheetName val="[Spt-BH.xls][Spt-BH.xls]B__4643"/>
      <sheetName val="[Spt-BH.xls][Spt-BH.xls]B__4644"/>
      <sheetName val="[Spt-BH.xls][Spt-BH.xls]B__4645"/>
      <sheetName val="[Spt-BH.xls][Spt-BH.xls]B__4646"/>
      <sheetName val="[Spt-BH.xls][Spt-BH.xls]B__4647"/>
      <sheetName val="[Spt-BH.xls]B____x005f_x0004______376"/>
      <sheetName val="[Spt-BH.xls]B___x005f_x0000__x000_370"/>
      <sheetName val="[Spt-BH.xls][Spt-BH.xls]B__4648"/>
      <sheetName val="[Spt-BH.xls][Spt-BH.xls]B__4669"/>
      <sheetName val="[Spt-BH.xls][Spt-BH.xls]B__4670"/>
      <sheetName val="[Spt-BH.xls][Spt-BH.xls]B__4671"/>
      <sheetName val="[Spt-BH.xls][Spt-BH.xls]B__4672"/>
      <sheetName val="[Spt-BH.xls]B____x005f_x0004______378"/>
      <sheetName val="[Spt-BH.xls]B___x005f_x0000__x000_372"/>
      <sheetName val="[Spt-BH.xls][Spt-BH.xls]B__4673"/>
      <sheetName val="[Spt-BH.xls][Spt-BH.xls]B__4674"/>
      <sheetName val="[Spt-BH.xls][Spt-BH.xls]B__4662"/>
      <sheetName val="[Spt-BH.xls][Spt-BH.xls]B__4649"/>
      <sheetName val="[Spt-BH.xls][Spt-BH.xls]B__4650"/>
      <sheetName val="[Spt-BH.xls][Spt-BH.xls]B__4651"/>
      <sheetName val="[Spt-BH.xls][Spt-BH.xls]B__4652"/>
      <sheetName val="[Spt-BH.xls][Spt-BH.xls]B__4653"/>
      <sheetName val="[Spt-BH.xls][Spt-BH.xls]B__4654"/>
      <sheetName val="[Spt-BH.xls]B____x005f_x0004______377"/>
      <sheetName val="[Spt-BH.xls]B___x005f_x0000__x000_371"/>
      <sheetName val="[Spt-BH.xls][Spt-BH.xls]B__4655"/>
      <sheetName val="[Spt-BH.xls][Spt-BH.xls]B__4663"/>
      <sheetName val="[Spt-BH.xls][Spt-BH.xls]B__4664"/>
      <sheetName val="[Spt-BH.xls][Spt-BH.xls]B__4665"/>
      <sheetName val="[Spt-BH.xls][Spt-BH.xls]B__4666"/>
      <sheetName val="[Spt-BH.xls][Spt-BH.xls]B__4667"/>
      <sheetName val="[Spt-BH.xls][Spt-BH.xls]B__4668"/>
      <sheetName val="[Spt-BH.xls][Spt-BH.xls]B__4675"/>
      <sheetName val="[Spt-BH.xls][Spt-BH.xls]B__4676"/>
      <sheetName val="[Spt-BH.xls][Spt-BH.xls]B__4677"/>
      <sheetName val="[Spt-BH.xls][Spt-BH.xls]B__4678"/>
      <sheetName val="[Spt-BH.xls][Spt-BH.xls]B__4679"/>
      <sheetName val="[Spt-BH.xls][Spt-BH.xls]B__4680"/>
      <sheetName val="[Spt-BH.xls][Spt-BH.xls]B__4681"/>
      <sheetName val="[Spt-BH.xls][Spt-BH.xls]B__4682"/>
      <sheetName val="[Spt-BH.xls][Spt-BH.xls]B__4683"/>
      <sheetName val="[Spt-BH.xls][Spt-BH.xls]B__4684"/>
      <sheetName val="[Spt-BH.xls][Spt-BH.xls]B__4685"/>
      <sheetName val="[Spt-BH.xls][Spt-BH.xls]B__4686"/>
      <sheetName val="[Spt-BH.xls][Spt-BH.xls]_S_1619"/>
      <sheetName val="[Spt-BH.xls][Spt-BH.xls]B__4687"/>
      <sheetName val="[Spt-BH.xls][Spt-BH.xls]B__4688"/>
      <sheetName val="[Spt-BH.xls][Spt-BH.xls]B__4689"/>
      <sheetName val="[Spt-BH.xls][Spt-BH.xls]B__4690"/>
      <sheetName val="[Spt-BH.xls][Spt-BH.xls]B__4691"/>
      <sheetName val="[Spt-BH.xls][Spt-BH.xls]B__4692"/>
      <sheetName val="[Spt-BH.xls][Spt-BH.xls]B__4694"/>
      <sheetName val="[Spt-BH.xls][Spt-BH.xls]B__4695"/>
      <sheetName val="[Spt-BH.xls][Spt-BH.xls]_S_1620"/>
      <sheetName val="[Spt-BH.xls][Spt-BH.xls]B__4696"/>
      <sheetName val="[Spt-BH.xls][Spt-BH.xls]B__4697"/>
      <sheetName val="[Spt-BH.xls]B____x005f_x0004______379"/>
      <sheetName val="[Spt-BH.xls]B___x005f_x0000__x000_373"/>
      <sheetName val="[Spt-BH.xls][Spt-BH.xls]B__4698"/>
      <sheetName val="[Spt-BH.xls][Spt-BH.xls]B__4699"/>
      <sheetName val="[Spt-BH.xls][Spt-BH.xls]B__4693"/>
      <sheetName val="[Spt-BH.xls][Spt-BH.xls]B__4701"/>
      <sheetName val="[Spt-BH.xls][Spt-BH.xls]B__4702"/>
      <sheetName val="[Spt-BH.xls][Spt-BH.xls]_S_1622"/>
      <sheetName val="[Spt-BH.xls][Spt-BH.xls]B__4703"/>
      <sheetName val="[Spt-BH.xls][Spt-BH.xls]B__4704"/>
      <sheetName val="[Spt-BH.xls]B____x005f_x0004______380"/>
      <sheetName val="[Spt-BH.xls]B___x005f_x0000__x000_374"/>
      <sheetName val="[Spt-BH.xls][Spt-BH.xls]B__4705"/>
      <sheetName val="[Spt-BH.xls][Spt-BH.xls]B__4706"/>
      <sheetName val="[Spt-BH.xls][Spt-BH.xls]B__4700"/>
      <sheetName val="[Spt-BH.xls][Spt-BH.xls]_S_1621"/>
      <sheetName val="[Spt-BH.xls][Spt-BH.xls]B__4707"/>
      <sheetName val="[Spt-BH.xls][Spt-BH.xls]B__4708"/>
      <sheetName val="[Spt-BH.xls][Spt-BH.xls]_S_1623"/>
      <sheetName val="[Spt-BH.xls][Spt-BH.xls]B__4709"/>
      <sheetName val="[Spt-BH.xls][Spt-BH.xls]B__4710"/>
      <sheetName val="[Spt-BH.xls][Spt-BH.xls]B__4711"/>
      <sheetName val="[Spt-BH.xls][Spt-BH.xls]B__4712"/>
      <sheetName val="[Spt-BH.xls][Spt-BH.xls]B__4713"/>
      <sheetName val="[Spt-BH.xls][Spt-BH.xls]B__4714"/>
      <sheetName val="[Spt-BH.xls][Spt-BH.xls]_S_1625"/>
      <sheetName val="[Spt-BH.xls][Spt-BH.xls]B__4715"/>
      <sheetName val="[Spt-BH.xls][Spt-BH.xls]B__4716"/>
      <sheetName val="[Spt-BH.xls][Spt-BH.xls]B__4717"/>
      <sheetName val="[Spt-BH.xls][Spt-BH.xls]B__4718"/>
      <sheetName val="[Spt-BH.xls][Spt-BH.xls]_S_1624"/>
      <sheetName val="[Spt-BH.xls][Spt-BH.xls]_S_1627"/>
      <sheetName val="[Spt-BH.xls][Spt-BH.xls]_S_1626"/>
      <sheetName val="[Spt-BH.xls][Spt-BH.xls]B__4723"/>
      <sheetName val="[Spt-BH.xls][Spt-BH.xls]B__4724"/>
      <sheetName val="[Spt-BH.xls][Spt-BH.xls]_S_1630"/>
      <sheetName val="[Spt-BH.xls][Spt-BH.xls]B__4725"/>
      <sheetName val="[Spt-BH.xls][Spt-BH.xls]B__4726"/>
      <sheetName val="[Spt-BH.xls]B____x005f_x0004______381"/>
      <sheetName val="[Spt-BH.xls]B___x005f_x0000__x000_375"/>
      <sheetName val="[Spt-BH.xls][Spt-BH.xls]B__4727"/>
      <sheetName val="[Spt-BH.xls][Spt-BH.xls]B__4719"/>
      <sheetName val="[Spt-BH.xls][Spt-BH.xls]B__4720"/>
      <sheetName val="[Spt-BH.xls][Spt-BH.xls]_S_1629"/>
      <sheetName val="[Spt-BH.xls][Spt-BH.xls]B__4721"/>
      <sheetName val="[Spt-BH.xls][Spt-BH.xls]B__4722"/>
      <sheetName val="[Spt-BH.xls][Spt-BH.xls]_S_1628"/>
      <sheetName val="[Spt-BH.xls][Spt-BH.xls]B__4728"/>
      <sheetName val="[Spt-BH.xls][Spt-BH.xls]B__4729"/>
      <sheetName val="[Spt-BH.xls][Spt-BH.xls]B__4730"/>
      <sheetName val="[Spt-BH.xls][Spt-BH.xls]_S_1632"/>
      <sheetName val="[Spt-BH.xls][Spt-BH.xls]B__4731"/>
      <sheetName val="[Spt-BH.xls][Spt-BH.xls]B__4732"/>
      <sheetName val="[Spt-BH.xls][Spt-BH.xls]B__4733"/>
      <sheetName val="[Spt-BH.xls][Spt-BH.xls]B__4734"/>
      <sheetName val="[Spt-BH.xls][Spt-BH.xls]_S_1631"/>
      <sheetName val="[Spt-BH.xls][Spt-BH.xls]B__4735"/>
      <sheetName val="[Spt-BH.xls][Spt-BH.xls]B__4736"/>
      <sheetName val="[Spt-BH.xls][Spt-BH.xls]_S_1635"/>
      <sheetName val="[Spt-BH.xls][Spt-BH.xls]B__4737"/>
      <sheetName val="[Spt-BH.xls][Spt-BH.xls]B__4738"/>
      <sheetName val="[Spt-BH.xls][Spt-BH.xls]B__4739"/>
      <sheetName val="[Spt-BH.xls][Spt-BH.xls]B__4740"/>
      <sheetName val="[Spt-BH.xls][Spt-BH.xls]_S_1633"/>
      <sheetName val="[Spt-BH.xls][Spt-BH.xls]_S_1634"/>
      <sheetName val="[Spt-BH.xls][Spt-BH.xls]_S_1639"/>
      <sheetName val="[Spt-BH.xls][Spt-BH.xls]_S_1636"/>
      <sheetName val="[Spt-BH.xls][Spt-BH.xls]_S_1637"/>
      <sheetName val="[Spt-BH.xls][Spt-BH.xls]_S_1638"/>
      <sheetName val="[Spt-BH.xls][Spt-BH.xls]B__4741"/>
      <sheetName val="[Spt-BH.xls][Spt-BH.xls]B__4742"/>
      <sheetName val="[Spt-BH.xls][Spt-BH.xls]_S_1644"/>
      <sheetName val="[Spt-BH.xls][Spt-BH.xls]B__4743"/>
      <sheetName val="[Spt-BH.xls][Spt-BH.xls]B__4744"/>
      <sheetName val="[Spt-BH.xls][Spt-BH.xls]B__4745"/>
      <sheetName val="[Spt-BH.xls][Spt-BH.xls]_S_1640"/>
      <sheetName val="[Spt-BH.xls][Spt-BH.xls]B__4746"/>
      <sheetName val="[Spt-BH.xls][Spt-BH.xls]_S_1641"/>
      <sheetName val="[Spt-BH.xls]B____x005f_x0004______382"/>
      <sheetName val="[Spt-BH.xls]B___x005f_x0000__x000_376"/>
      <sheetName val="[Spt-BH.xls][Spt-BH.xls]_S_1642"/>
      <sheetName val="[Spt-BH.xls][Spt-BH.xls]_S_1643"/>
      <sheetName val="[Spt-BH.xls][Spt-BH.xls]_S_1645"/>
      <sheetName val="[Spt-BH.xls][Spt-BH.xls]_S_1648"/>
      <sheetName val="[Spt-BH.xls][Spt-BH.xls]B__4760"/>
      <sheetName val="[Spt-BH.xls][Spt-BH.xls]B__4761"/>
      <sheetName val="[Spt-BH.xls][Spt-BH.xls]_S_1649"/>
      <sheetName val="[Spt-BH.xls][Spt-BH.xls]B__4762"/>
      <sheetName val="[Spt-BH.xls][Spt-BH.xls]B__4763"/>
      <sheetName val="[Spt-BH.xls][Spt-BH.xls]B__4764"/>
      <sheetName val="[Spt-BH.xls][Spt-BH.xls]B__4765"/>
      <sheetName val="[Spt-BH.xls]B____x005f_x0004______383"/>
      <sheetName val="[Spt-BH.xls]B___x005f_x0000__x000_377"/>
      <sheetName val="[Spt-BH.xls][Spt-BH.xls]B__4747"/>
      <sheetName val="[Spt-BH.xls][Spt-BH.xls]B__4748"/>
      <sheetName val="[Spt-BH.xls][Spt-BH.xls]B__4749"/>
      <sheetName val="[Spt-BH.xls][Spt-BH.xls]B__4750"/>
      <sheetName val="[Spt-BH.xls][Spt-BH.xls]_S_1646"/>
      <sheetName val="[Spt-BH.xls][Spt-BH.xls]B__4751"/>
      <sheetName val="[Spt-BH.xls][Spt-BH.xls]B__4752"/>
      <sheetName val="[Spt-BH.xls][Spt-BH.xls]B__4753"/>
      <sheetName val="[Spt-BH.xls][Spt-BH.xls]_S_1647"/>
      <sheetName val="[Spt-BH.xls][Spt-BH.xls]B__4754"/>
      <sheetName val="[Spt-BH.xls][Spt-BH.xls]B__4755"/>
      <sheetName val="[Spt-BH.xls][Spt-BH.xls]B__4756"/>
      <sheetName val="[Spt-BH.xls][Spt-BH.xls]B__4757"/>
      <sheetName val="[Spt-BH.xls][Spt-BH.xls]B__4758"/>
      <sheetName val="[Spt-BH.xls][Spt-BH.xls]B__4759"/>
      <sheetName val="[Spt-BH.xls][Spt-BH.xls]B__4766"/>
      <sheetName val="[Spt-BH.xls][Spt-BH.xls]B__4767"/>
      <sheetName val="[Spt-BH.xls][Spt-BH.xls]_S_1651"/>
      <sheetName val="[Spt-BH.xls][Spt-BH.xls]B__4768"/>
      <sheetName val="[Spt-BH.xls][Spt-BH.xls]B__4769"/>
      <sheetName val="[Spt-BH.xls][Spt-BH.xls]B__4770"/>
      <sheetName val="[Spt-BH.xls][Spt-BH.xls]B__4771"/>
      <sheetName val="[Spt-BH.xls][Spt-BH.xls]_S_1650"/>
      <sheetName val="[Spt-BH.xls][Spt-BH.xls]_S_1652"/>
      <sheetName val="[Spt-BH.xls][Spt-BH.xls]B__4772"/>
      <sheetName val="[Spt-BH.xls][Spt-BH.xls]B__4773"/>
      <sheetName val="[Spt-BH.xls][Spt-BH.xls]_S_1654"/>
      <sheetName val="[Spt-BH.xls][Spt-BH.xls]B__4774"/>
      <sheetName val="[Spt-BH.xls][Spt-BH.xls]B__4775"/>
      <sheetName val="[Spt-BH.xls][Spt-BH.xls]B__4776"/>
      <sheetName val="[Spt-BH.xls][Spt-BH.xls]B__4777"/>
      <sheetName val="[Spt-BH.xls][Spt-BH.xls]_S_1653"/>
      <sheetName val="[Spt-BH.xls][Spt-BH.xls]B__4778"/>
      <sheetName val="[Spt-BH.xls][Spt-BH.xls]B__4779"/>
      <sheetName val="[Spt-BH.xls][Spt-BH.xls]B__4780"/>
      <sheetName val="[Spt-BH.xls][Spt-BH.xls]B__4781"/>
      <sheetName val="[Spt-BH.xls][Spt-BH.xls]B__4782"/>
      <sheetName val="[Spt-BH.xls][Spt-BH.xls]B__4783"/>
      <sheetName val="[Spt-BH.xls][Spt-BH.xls]B__4786"/>
      <sheetName val="[Spt-BH.xls][Spt-BH.xls]B__4787"/>
      <sheetName val="[Spt-BH.xls][Spt-BH.xls]B__4795"/>
      <sheetName val="[Spt-BH.xls][Spt-BH.xls]B__4796"/>
      <sheetName val="[Spt-BH.xls][Spt-BH.xls]_S_1660"/>
      <sheetName val="[Spt-BH.xls][Spt-BH.xls]B__4797"/>
      <sheetName val="[Spt-BH.xls][Spt-BH.xls]B__4798"/>
      <sheetName val="[Spt-BH.xls]B____x005f_x0004______384"/>
      <sheetName val="[Spt-BH.xls]B___x005f_x0000__x000_378"/>
      <sheetName val="[Spt-BH.xls][Spt-BH.xls]B__4799"/>
      <sheetName val="[Spt-BH.xls][Spt-BH.xls]B__4788"/>
      <sheetName val="[Spt-BH.xls][Spt-BH.xls]B__4789"/>
      <sheetName val="[Spt-BH.xls][Spt-BH.xls]_S_1657"/>
      <sheetName val="[Spt-BH.xls][Spt-BH.xls]B__4790"/>
      <sheetName val="[Spt-BH.xls][Spt-BH.xls]B__4791"/>
      <sheetName val="[Spt-BH.xls][Spt-BH.xls]B__4800"/>
      <sheetName val="[Spt-BH.xls][Spt-BH.xls]_S_1655"/>
      <sheetName val="[Spt-BH.xls][Spt-BH.xls]B__4792"/>
      <sheetName val="[Spt-BH.xls][Spt-BH.xls]B__4793"/>
      <sheetName val="[Spt-BH.xls][Spt-BH.xls]B__4794"/>
      <sheetName val="[Spt-BH.xls][Spt-BH.xls]_S_1658"/>
      <sheetName val="[Spt-BH.xls][Spt-BH.xls]_S_1656"/>
      <sheetName val="[Spt-BH.xls][Spt-BH.xls]_S_1659"/>
      <sheetName val="[Spt-BH.xls][Spt-BH.xls]_S_1662"/>
      <sheetName val="[Spt-BH.xls][Spt-BH.xls]_S_1663"/>
      <sheetName val="[Spt-BH.xls][Spt-BH.xls]_S_1664"/>
      <sheetName val="[Spt-BH.xls][Spt-BH.xls]_S_1665"/>
      <sheetName val="[Spt-BH.xls][Spt-BH.xls]B__4801"/>
      <sheetName val="[Spt-BH.xls][Spt-BH.xls]B__4802"/>
      <sheetName val="[Spt-BH.xls][Spt-BH.xls]_S_1667"/>
      <sheetName val="[Spt-BH.xls][Spt-BH.xls]B__4803"/>
      <sheetName val="[Spt-BH.xls][Spt-BH.xls]B__4804"/>
      <sheetName val="[Spt-BH.xls][Spt-BH.xls]B__4805"/>
      <sheetName val="[Spt-BH.xls][Spt-BH.xls]B__4806"/>
      <sheetName val="[Spt-BH.xls][Spt-BH.xls]_S_1666"/>
      <sheetName val="[Spt-BH.xls][Spt-BH.xls]B__4807"/>
      <sheetName val="[Spt-BH.xls][Spt-BH.xls]B__4809"/>
      <sheetName val="[Spt-BH.xls][Spt-BH.xls]B__4810"/>
      <sheetName val="[Spt-BH.xls][Spt-BH.xls]B__4811"/>
      <sheetName val="[Spt-BH.xls][Spt-BH.xls]B__4812"/>
      <sheetName val="[Spt-BH.xls]B____x005f_x0004______386"/>
      <sheetName val="[Spt-BH.xls]B___x005f_x0000__x000_380"/>
      <sheetName val="[Spt-BH.xls][Spt-BH.xls]B__4813"/>
      <sheetName val="[Spt-BH.xls][Spt-BH.xls]B__4814"/>
      <sheetName val="[Spt-BH.xls][Spt-BH.xls]B__4808"/>
      <sheetName val="[Spt-BH.xls]B____x005f_x0004______385"/>
      <sheetName val="[Spt-BH.xls]B___x005f_x0000__x000_379"/>
      <sheetName val="[Spt-BH.xls][Spt-BH.xls]B__4822"/>
      <sheetName val="[Spt-BH.xls][Spt-BH.xls]B__4823"/>
      <sheetName val="[Spt-BH.xls][Spt-BH.xls]B__4824"/>
      <sheetName val="[Spt-BH.xls][Spt-BH.xls]B__4825"/>
      <sheetName val="[Spt-BH.xls]B____x005f_x0004______387"/>
      <sheetName val="[Spt-BH.xls]B___x005f_x0000__x000_381"/>
      <sheetName val="[Spt-BH.xls][Spt-BH.xls]B__4826"/>
      <sheetName val="[Spt-BH.xls][Spt-BH.xls]B__4815"/>
      <sheetName val="[Spt-BH.xls][Spt-BH.xls]B__4816"/>
      <sheetName val="[Spt-BH.xls][Spt-BH.xls]B__4817"/>
      <sheetName val="[Spt-BH.xls][Spt-BH.xls]B__4818"/>
      <sheetName val="[Spt-BH.xls][Spt-BH.xls]B__4827"/>
      <sheetName val="[Spt-BH.xls][Spt-BH.xls]B__4819"/>
      <sheetName val="[Spt-BH.xls][Spt-BH.xls]B__4820"/>
      <sheetName val="[Spt-BH.xls][Spt-BH.xls]B__4821"/>
      <sheetName val="[Spt-BH.xls][Spt-BH.xls]B__4835"/>
      <sheetName val="[Spt-BH.xls][Spt-BH.xls]B__4836"/>
      <sheetName val="[Spt-BH.xls][Spt-BH.xls]B__4837"/>
      <sheetName val="[Spt-BH.xls][Spt-BH.xls]B__4838"/>
      <sheetName val="[Spt-BH.xls]B____x005f_x0004______388"/>
      <sheetName val="[Spt-BH.xls]B___x005f_x0000__x000_382"/>
      <sheetName val="[Spt-BH.xls][Spt-BH.xls]B__4839"/>
      <sheetName val="[Spt-BH.xls][Spt-BH.xls]B__4828"/>
      <sheetName val="[Spt-BH.xls][Spt-BH.xls]B__4829"/>
      <sheetName val="[Spt-BH.xls][Spt-BH.xls]B__4830"/>
      <sheetName val="[Spt-BH.xls][Spt-BH.xls]B__4831"/>
      <sheetName val="[Spt-BH.xls][Spt-BH.xls]B__4840"/>
      <sheetName val="[Spt-BH.xls][Spt-BH.xls]B__4832"/>
      <sheetName val="[Spt-BH.xls][Spt-BH.xls]B__4833"/>
      <sheetName val="[Spt-BH.xls][Spt-BH.xls]B__4834"/>
      <sheetName val="[Spt-BH.xls][Spt-BH.xls]B__4841"/>
      <sheetName val="[Spt-BH.xls][Spt-BH.xls]B__4842"/>
      <sheetName val="[Spt-BH.xls][Spt-BH.xls]B__4843"/>
      <sheetName val="[Spt-BH.xls][Spt-BH.xls]B__4844"/>
      <sheetName val="[Spt-BH.xls][Spt-BH.xls]B__4845"/>
      <sheetName val="[Spt-BH.xls][Spt-BH.xls]_S_1668"/>
      <sheetName val="[Spt-BH.xls][Spt-BH.xls]_S_1669"/>
      <sheetName val="[Spt-BH.xls][Spt-BH.xls]B__5228"/>
      <sheetName val="[Spt-BH.xls][Spt-BH.xls]B__5229"/>
      <sheetName val="[Spt-BH.xls][Spt-BH.xls]_S_1810"/>
      <sheetName val="[Spt-BH.xls][Spt-BH.xls]B__5230"/>
      <sheetName val="[Spt-BH.xls][Spt-BH.xls]B__5231"/>
      <sheetName val="[Spt-BH.xls]B____x005f_x0004______421"/>
      <sheetName val="[Spt-BH.xls]B___x005f_x0000__x000_415"/>
      <sheetName val="[Spt-BH.xls][Spt-BH.xls]B__5232"/>
      <sheetName val="[Spt-BH.xls][Spt-BH.xls]_S_1808"/>
      <sheetName val="[Spt-BH.xls][Spt-BH_xls]B__5052"/>
      <sheetName val="[Spt-BH.xls][Spt-BH_xls]B__5053"/>
      <sheetName val="[Spt-BH.xls][Spt-BH_xls]B__5054"/>
      <sheetName val="[Spt-BH.xls][Spt-BH_xls]B__5055"/>
      <sheetName val="[Spt-BH.xls][Spt-BH_xls]_S_1672"/>
      <sheetName val="[Spt-BH.xls][Spt-BH_xls]B__5056"/>
      <sheetName val="[Spt-BH.xls][Spt-BH_xls]B__5057"/>
      <sheetName val="[Spt-BH.xls][Spt-BH_xls]B__5058"/>
      <sheetName val="[Spt-BH.xls][Spt-BH_xls]_S_1673"/>
      <sheetName val="[Spt-BH.xls][Spt-BH_xls]B__5059"/>
      <sheetName val="[Spt-BH.xls][Spt-BH_xls]B__5060"/>
      <sheetName val="[Spt-BH.xls][Spt-BH_xls]B__5061"/>
      <sheetName val="[Spt-BH.xls][Spt-BH_xls]B__5062"/>
      <sheetName val="[Spt-BH.xls][Spt-BH_xls]_S_1674"/>
      <sheetName val="[Spt-BH.xls][Spt-BH.xls]B__5233"/>
      <sheetName val="[Spt-BH.xls][Spt-BH.xls]B__5221"/>
      <sheetName val="[Spt-BH.xls][Spt-BH.xls]B__5222"/>
      <sheetName val="[Spt-BH.xls][Spt-BH.xls]_S_1809"/>
      <sheetName val="[Spt-BH.xls][Spt-BH.xls]B__5223"/>
      <sheetName val="[Spt-BH.xls][Spt-BH.xls]B__5224"/>
      <sheetName val="[Spt-BH.xls][Spt-BH.xls]_S_1806"/>
      <sheetName val="[Spt-BH.xls][Spt-BH.xls]B__5225"/>
      <sheetName val="[Spt-BH.xls][Spt-BH.xls]B__5226"/>
      <sheetName val="[Spt-BH.xls][Spt-BH.xls]B__5227"/>
      <sheetName val="[Spt-BH.xls]B____x005f_x0004______419"/>
      <sheetName val="[Spt-BH.xls]B___x005f_x0000__x000_413"/>
      <sheetName val="[Spt-BH.xls][Spt-BH.xls]_S_1807"/>
      <sheetName val="[Spt-BH.xls][Spt-BH_xls]B__5022"/>
      <sheetName val="[Spt-BH.xls][Spt-BH_xls]B__5023"/>
      <sheetName val="[Spt-BH.xls][Spt-BH_xls]B__5024"/>
      <sheetName val="[Spt-BH.xls][Spt-BH_xls]B__5025"/>
      <sheetName val="[Spt-BH.xls][Spt-BH_xls]_S_1662"/>
      <sheetName val="[Spt-BH.xls][Spt-BH_xls]B__5026"/>
      <sheetName val="[Spt-BH.xls][Spt-BH_xls]B__5027"/>
      <sheetName val="[Spt-BH.xls][Spt-BH_xls]B__5028"/>
      <sheetName val="[Spt-BH.xls][Spt-BH_xls]_S_1663"/>
      <sheetName val="[Spt-BH.xls][Spt-BH_xls]B__5029"/>
      <sheetName val="[Spt-BH.xls][Spt-BH_xls]B__5030"/>
      <sheetName val="[Spt-BH.xls][Spt-BH_xls]B__5031"/>
      <sheetName val="[Spt-BH.xls][Spt-BH_xls]B__5032"/>
      <sheetName val="[Spt-BH.xls][Spt-BH_xls]_S_1664"/>
      <sheetName val="[Spt-BH.xls][Spt-BH.xls]B__5207"/>
      <sheetName val="[Spt-BH.xls][Spt-BH.xls]B__5208"/>
      <sheetName val="[Spt-BH.xls][Spt-BH.xls]B__5209"/>
      <sheetName val="[Spt-BH.xls][Spt-BH.xls]B__5210"/>
      <sheetName val="[Spt-BH.xls][Spt-BH.xls]_S_1802"/>
      <sheetName val="[Spt-BH.xls][Spt-BH.xls]B__5211"/>
      <sheetName val="[Spt-BH.xls][Spt-BH.xls]B__5212"/>
      <sheetName val="[Spt-BH.xls][Spt-BH.xls]B__5213"/>
      <sheetName val="[Spt-BH.xls][Spt-BH.xls]_S_1675"/>
      <sheetName val="[Spt-BH.xls][Spt-BH.xls]_S_1673"/>
      <sheetName val="[Spt-BH.xls][Spt-BH.xls]_S_1674"/>
      <sheetName val="[Spt-BH.xls][Spt-BH.xls]_S_1672"/>
      <sheetName val="[Spt-BH.xls][Spt-BH.xls]_S_1670"/>
      <sheetName val="[Spt-BH.xls][Spt-BH.xls]_S_1671"/>
      <sheetName val="[Spt-BH.xls][Spt-BH.xls]_S_1686"/>
      <sheetName val="[Spt-BH.xls][Spt-BH.xls]_S_1676"/>
      <sheetName val="[Spt-BH.xls][Spt-BH.xls]B__4846"/>
      <sheetName val="[Spt-BH.xls][Spt-BH.xls]B__4847"/>
      <sheetName val="[Spt-BH.xls][Spt-BH.xls]_S_1678"/>
      <sheetName val="[Spt-BH.xls][Spt-BH.xls]B__4848"/>
      <sheetName val="[Spt-BH.xls][Spt-BH.xls]B__4849"/>
      <sheetName val="[Spt-BH.xls][Spt-BH.xls]B__4850"/>
      <sheetName val="[Spt-BH.xls][Spt-BH.xls]B__4853"/>
      <sheetName val="[Spt-BH.xls][Spt-BH.xls]B__4854"/>
      <sheetName val="[Spt-BH.xls][Spt-BH.xls]_S_1680"/>
      <sheetName val="[Spt-BH.xls][Spt-BH.xls]B__4855"/>
      <sheetName val="[Spt-BH.xls][Spt-BH.xls]B__4856"/>
      <sheetName val="[Spt-BH.xls][Spt-BH.xls]B__4857"/>
      <sheetName val="[Spt-BH.xls][Spt-BH.xls]B__4858"/>
      <sheetName val="[Spt-BH.xls][Spt-BH.xls]B__4851"/>
      <sheetName val="[Spt-BH.xls][Spt-BH.xls]B__4852"/>
      <sheetName val="[Spt-BH.xls][Spt-BH.xls]_S_1679"/>
      <sheetName val="[Spt-BH.xls][Spt-BH.xls]_S_1677"/>
      <sheetName val="[Spt-BH.xls][Spt-BH_xls]B__4220"/>
      <sheetName val="[Spt-BH.xls][Spt-BH_xls]B__4221"/>
      <sheetName val="[Spt-BH.xls][Spt-BH_xls]B__4222"/>
      <sheetName val="[Spt-BH.xls][Spt-BH_xls]B__4223"/>
      <sheetName val="[Spt-BH.xls][Spt-BH_xls]B__4224"/>
      <sheetName val="[Spt-BH.xls][Spt-BH_xls]B__4225"/>
      <sheetName val="[Spt-BH.xls][Spt-BH_xls]B__4226"/>
      <sheetName val="[Spt-BH.xls][Spt-BH_xls]_S_1396"/>
      <sheetName val="[Spt-BH.xls][Spt-BH_xls]B__4227"/>
      <sheetName val="[Spt-BH.xls][Spt-BH_xls]B__4228"/>
      <sheetName val="[Spt-BH.xls][Spt-BH_xls]B__4229"/>
      <sheetName val="[Spt-BH.xls][Spt-BH_xls]B__4230"/>
      <sheetName val="[Spt-BH.xls][Spt-BH_xls]_S_1397"/>
      <sheetName val="[Spt-BH.xls][Spt-BH_xls]B__4231"/>
      <sheetName val="[Spt-BH.xls][Spt-BH_xls]B__4232"/>
      <sheetName val="[Spt-BH.xls][Spt-BH_xls]B__4233"/>
      <sheetName val="[Spt-BH.xls][Spt-BH_xls]_S_1398"/>
      <sheetName val="[Spt-BH.xls][Spt-BH_xls]B__4234"/>
      <sheetName val="[Spt-BH.xls][Spt-BH_xls]B__4235"/>
      <sheetName val="[Spt-BH.xls][Spt-BH_xls]B__4236"/>
      <sheetName val="[Spt-BH.xls][Spt-BH_xls]B__4237"/>
      <sheetName val="[Spt-BH.xls][Spt-BH_xls]_S_1399"/>
      <sheetName val="[Spt-BH.xls][Spt-BH_xls]B__4238"/>
      <sheetName val="[Spt-BH.xls][Spt-BH_xls]B__4239"/>
      <sheetName val="[Spt-BH.xls][Spt-BH_xls]_S_1400"/>
      <sheetName val="[Spt-BH.xls][Spt-BH_xls]B__4240"/>
      <sheetName val="[Spt-BH.xls][Spt-BH_xls]B__4241"/>
      <sheetName val="[Spt-BH.xls][Spt-BH_xls]_S_1401"/>
      <sheetName val="[Spt-BH.xls][Spt-BH_xls]B__4242"/>
      <sheetName val="[Spt-BH.xls][Spt-BH_xls]B__4243"/>
      <sheetName val="[Spt-BH.xls][Spt-BH_xls]B__4244"/>
      <sheetName val="[Spt-BH.xls][Spt-BH_xls]B__4245"/>
      <sheetName val="[Spt-BH.xls][Spt-BH_xls]_S_1402"/>
      <sheetName val="[Spt-BH.xls][Spt-BH_xls]B__4246"/>
      <sheetName val="[Spt-BH.xls][Spt-BH_xls]B__4247"/>
      <sheetName val="[Spt-BH.xls][Spt-BH_xls]B__4248"/>
      <sheetName val="[Spt-BH.xls][Spt-BH_xls]_S_1403"/>
      <sheetName val="[Spt-BH.xls][Spt-BH_xls]B__4249"/>
      <sheetName val="[Spt-BH.xls][Spt-BH_xls]B__4250"/>
      <sheetName val="[Spt-BH.xls][Spt-BH_xls]B__4251"/>
      <sheetName val="[Spt-BH.xls][Spt-BH_xls]B__4252"/>
      <sheetName val="[Spt-BH.xls][Spt-BH_xls]_S_1404"/>
      <sheetName val="[Spt-BH.xls][Spt-BH_xls]B__4253"/>
      <sheetName val="[Spt-BH.xls][Spt-BH_xls]B__4254"/>
      <sheetName val="[Spt-BH.xls][Spt-BH_xls]_S_1405"/>
      <sheetName val="[Spt-BH.xls][Spt-BH_xls]B__4255"/>
      <sheetName val="[Spt-BH.xls][Spt-BH_xls]B__4256"/>
      <sheetName val="[Spt-BH.xls][Spt-BH_xls]_S_1406"/>
      <sheetName val="[Spt-BH.xls][Spt-BH_xls]B__4257"/>
      <sheetName val="[Spt-BH.xls][Spt-BH_xls]B__4258"/>
      <sheetName val="[Spt-BH.xls][Spt-BH_xls]B__4259"/>
      <sheetName val="[Spt-BH.xls][Spt-BH_xls]B__4260"/>
      <sheetName val="[Spt-BH.xls][Spt-BH_xls]_S_1407"/>
      <sheetName val="[Spt-BH.xls][Spt-BH_xls]B__4261"/>
      <sheetName val="[Spt-BH.xls][Spt-BH_xls]B__4262"/>
      <sheetName val="[Spt-BH.xls][Spt-BH_xls]B__4263"/>
      <sheetName val="[Spt-BH.xls][Spt-BH_xls]_S_1408"/>
      <sheetName val="[Spt-BH.xls][Spt-BH_xls]B__4264"/>
      <sheetName val="[Spt-BH.xls][Spt-BH_xls]B__4265"/>
      <sheetName val="[Spt-BH.xls][Spt-BH_xls]B__4266"/>
      <sheetName val="[Spt-BH.xls][Spt-BH_xls]B__4267"/>
      <sheetName val="[Spt-BH.xls][Spt-BH_xls]_S_1409"/>
      <sheetName val="[Spt-BH.xls][Spt-BH_xls]B__4268"/>
      <sheetName val="[Spt-BH.xls][Spt-BH_xls]B__4269"/>
      <sheetName val="[Spt-BH.xls][Spt-BH_xls]_S_1410"/>
      <sheetName val="[Spt-BH.xls][Spt-BH_xls]B__4270"/>
      <sheetName val="[Spt-BH.xls][Spt-BH_xls]B__4271"/>
      <sheetName val="[Spt-BH.xls][Spt-BH_xls]_S_1411"/>
      <sheetName val="[Spt-BH.xls][Spt-BH_xls]B__4302"/>
      <sheetName val="[Spt-BH.xls][Spt-BH_xls]B__4303"/>
      <sheetName val="[Spt-BH.xls][Spt-BH_xls]B__4304"/>
      <sheetName val="[Spt-BH.xls][Spt-BH_xls]B__4305"/>
      <sheetName val="[Spt-BH.xls][Spt-BH_xls]_S_1422"/>
      <sheetName val="[Spt-BH.xls][Spt-BH_xls]B__4306"/>
      <sheetName val="[Spt-BH.xls][Spt-BH_xls]B__4307"/>
      <sheetName val="[Spt-BH.xls][Spt-BH_xls]B__4308"/>
      <sheetName val="[Spt-BH.xls][Spt-BH_xls]_S_1423"/>
      <sheetName val="[Spt-BH.xls][Spt-BH_xls]B__4309"/>
      <sheetName val="[Spt-BH.xls][Spt-BH_xls]B__4310"/>
      <sheetName val="[Spt-BH.xls][Spt-BH_xls]B__4311"/>
      <sheetName val="[Spt-BH.xls][Spt-BH_xls]B__4312"/>
      <sheetName val="[Spt-BH.xls][Spt-BH_xls]_S_1424"/>
      <sheetName val="[Spt-BH.xls][Spt-BH_xls]B__4313"/>
      <sheetName val="[Spt-BH.xls][Spt-BH_xls]B__4314"/>
      <sheetName val="[Spt-BH.xls][Spt-BH_xls]_S_1425"/>
      <sheetName val="[Spt-BH.xls][Spt-BH_xls]B__4315"/>
      <sheetName val="[Spt-BH.xls][Spt-BH_xls]B__4316"/>
      <sheetName val="[Spt-BH.xls][Spt-BH_xls]_S_1426"/>
      <sheetName val="[Spt-BH.xls][Spt-BH_xls]B__4272"/>
      <sheetName val="[Spt-BH.xls][Spt-BH_xls]B__4273"/>
      <sheetName val="[Spt-BH.xls][Spt-BH_xls]B__4274"/>
      <sheetName val="[Spt-BH.xls][Spt-BH_xls]B__4275"/>
      <sheetName val="[Spt-BH.xls][Spt-BH_xls]_S_1412"/>
      <sheetName val="[Spt-BH.xls][Spt-BH_xls]B__4276"/>
      <sheetName val="[Spt-BH.xls][Spt-BH_xls]B__4277"/>
      <sheetName val="[Spt-BH.xls][Spt-BH_xls]B__4278"/>
      <sheetName val="[Spt-BH.xls][Spt-BH_xls]_S_1413"/>
      <sheetName val="[Spt-BH.xls][Spt-BH_xls]B__4279"/>
      <sheetName val="[Spt-BH.xls][Spt-BH_xls]B__4280"/>
      <sheetName val="[Spt-BH.xls][Spt-BH_xls]B__4281"/>
      <sheetName val="[Spt-BH.xls][Spt-BH_xls]B__4282"/>
      <sheetName val="[Spt-BH.xls][Spt-BH_xls]_S_1414"/>
      <sheetName val="[Spt-BH.xls][Spt-BH_xls]B__4283"/>
      <sheetName val="[Spt-BH.xls][Spt-BH_xls]B__4284"/>
      <sheetName val="[Spt-BH.xls][Spt-BH_xls]_S_1415"/>
      <sheetName val="[Spt-BH.xls][Spt-BH_xls]B__4285"/>
      <sheetName val="[Spt-BH.xls][Spt-BH_xls]B__4286"/>
      <sheetName val="[Spt-BH.xls][Spt-BH_xls]_S_1416"/>
      <sheetName val="[Spt-BH.xls][Spt-BH_xls]B__4287"/>
      <sheetName val="[Spt-BH.xls][Spt-BH_xls]B__4288"/>
      <sheetName val="[Spt-BH.xls][Spt-BH_xls]B__4289"/>
      <sheetName val="[Spt-BH.xls][Spt-BH_xls]B__4290"/>
      <sheetName val="[Spt-BH.xls][Spt-BH_xls]_S_1417"/>
      <sheetName val="[Spt-BH.xls][Spt-BH_xls]B__4291"/>
      <sheetName val="[Spt-BH.xls][Spt-BH_xls]B__4292"/>
      <sheetName val="[Spt-BH.xls][Spt-BH_xls]B__4293"/>
      <sheetName val="[Spt-BH.xls][Spt-BH_xls]_S_1418"/>
      <sheetName val="[Spt-BH.xls][Spt-BH_xls]B__4294"/>
      <sheetName val="[Spt-BH.xls][Spt-BH_xls]B__4295"/>
      <sheetName val="[Spt-BH.xls][Spt-BH_xls]B__4296"/>
      <sheetName val="[Spt-BH.xls][Spt-BH_xls]B__4297"/>
      <sheetName val="[Spt-BH.xls][Spt-BH_xls]_S_1419"/>
      <sheetName val="[Spt-BH.xls][Spt-BH_xls]B__4298"/>
      <sheetName val="[Spt-BH.xls][Spt-BH_xls]B__4299"/>
      <sheetName val="[Spt-BH.xls][Spt-BH_xls]_S_1420"/>
      <sheetName val="[Spt-BH.xls][Spt-BH_xls]B__4300"/>
      <sheetName val="[Spt-BH.xls][Spt-BH_xls]B__4301"/>
      <sheetName val="[Spt-BH.xls][Spt-BH_xls]_S_1421"/>
      <sheetName val="[Spt-BH.xls][Spt-BH_xls]B__4317"/>
      <sheetName val="[Spt-BH.xls][Spt-BH_xls]B__4318"/>
      <sheetName val="[Spt-BH.xls][Spt-BH_xls]B__4319"/>
      <sheetName val="[Spt-BH.xls][Spt-BH_xls]B__4320"/>
      <sheetName val="[Spt-BH.xls][Spt-BH_xls]_S_1427"/>
      <sheetName val="[Spt-BH.xls][Spt-BH_xls]B__4321"/>
      <sheetName val="[Spt-BH.xls][Spt-BH_xls]B__4322"/>
      <sheetName val="[Spt-BH.xls][Spt-BH_xls]B__4323"/>
      <sheetName val="[Spt-BH.xls][Spt-BH_xls]_S_1428"/>
      <sheetName val="[Spt-BH.xls][Spt-BH_xls]B__4324"/>
      <sheetName val="[Spt-BH.xls][Spt-BH_xls]B__4325"/>
      <sheetName val="[Spt-BH.xls][Spt-BH_xls]B__4326"/>
      <sheetName val="[Spt-BH.xls][Spt-BH_xls]B__4327"/>
      <sheetName val="[Spt-BH.xls][Spt-BH_xls]_S_1429"/>
      <sheetName val="[Spt-BH.xls][Spt-BH_xls]B__4328"/>
      <sheetName val="[Spt-BH.xls][Spt-BH_xls]B__4329"/>
      <sheetName val="[Spt-BH.xls][Spt-BH_xls]_S_1430"/>
      <sheetName val="[Spt-BH.xls][Spt-BH_xls]B__4330"/>
      <sheetName val="[Spt-BH.xls][Spt-BH_xls]B__4331"/>
      <sheetName val="[Spt-BH.xls][Spt-BH_xls]_S_1431"/>
      <sheetName val="[Spt-BH.xls][Spt-BH.xls]_S_1681"/>
      <sheetName val="[Spt-BH.xls][Spt-BH_xls]B__4332"/>
      <sheetName val="[Spt-BH.xls][Spt-BH_xls]B__4333"/>
      <sheetName val="[Spt-BH.xls][Spt-BH_xls]B__4334"/>
      <sheetName val="[Spt-BH.xls][Spt-BH_xls]B__4335"/>
      <sheetName val="[Spt-BH.xls][Spt-BH_xls]_S_1432"/>
      <sheetName val="[Spt-BH.xls][Spt-BH_xls]B__4336"/>
      <sheetName val="[Spt-BH.xls][Spt-BH_xls]B__4337"/>
      <sheetName val="[Spt-BH.xls][Spt-BH_xls]B__4338"/>
      <sheetName val="[Spt-BH.xls][Spt-BH_xls]_S_1433"/>
      <sheetName val="[Spt-BH.xls][Spt-BH_xls]B__4339"/>
      <sheetName val="[Spt-BH.xls][Spt-BH_xls]B__4340"/>
      <sheetName val="[Spt-BH.xls][Spt-BH_xls]B__4341"/>
      <sheetName val="[Spt-BH.xls][Spt-BH_xls]B__4342"/>
      <sheetName val="[Spt-BH.xls][Spt-BH_xls]_S_1434"/>
      <sheetName val="[Spt-BH.xls][Spt-BH_xls]B__4343"/>
      <sheetName val="[Spt-BH.xls][Spt-BH_xls]B__4344"/>
      <sheetName val="[Spt-BH.xls][Spt-BH_xls]_S_1435"/>
      <sheetName val="[Spt-BH.xls][Spt-BH_xls]B__4345"/>
      <sheetName val="[Spt-BH.xls][Spt-BH_xls]B__4346"/>
      <sheetName val="[Spt-BH.xls][Spt-BH_xls]_S_1436"/>
      <sheetName val="[Spt-BH.xls][Spt-BH.xls]B__4859"/>
      <sheetName val="[Spt-BH.xls][Spt-BH.xls]B__4860"/>
      <sheetName val="[Spt-BH.xls][Spt-BH.xls]_S_1683"/>
      <sheetName val="[Spt-BH.xls][Spt-BH.xls]B__4861"/>
      <sheetName val="[Spt-BH.xls][Spt-BH.xls]B__4862"/>
      <sheetName val="[Spt-BH.xls][Spt-BH.xls]B__4863"/>
      <sheetName val="[Spt-BH.xls][Spt-BH.xls]B__4864"/>
      <sheetName val="[Spt-BH.xls][Spt-BH.xls]_S_1682"/>
      <sheetName val="[Spt-BH.xls][Spt-BH_xls]B__4377"/>
      <sheetName val="[Spt-BH.xls][Spt-BH_xls]B__4378"/>
      <sheetName val="[Spt-BH.xls][Spt-BH_xls]B__4379"/>
      <sheetName val="[Spt-BH.xls][Spt-BH_xls]B__4380"/>
      <sheetName val="[Spt-BH.xls][Spt-BH_xls]_S_1447"/>
      <sheetName val="[Spt-BH.xls][Spt-BH_xls]B__4381"/>
      <sheetName val="[Spt-BH.xls][Spt-BH_xls]B__4382"/>
      <sheetName val="[Spt-BH.xls][Spt-BH_xls]B__4383"/>
      <sheetName val="[Spt-BH.xls][Spt-BH_xls]_S_1448"/>
      <sheetName val="[Spt-BH.xls][Spt-BH_xls]B__4384"/>
      <sheetName val="[Spt-BH.xls][Spt-BH_xls]B__4385"/>
      <sheetName val="[Spt-BH.xls][Spt-BH_xls]B__4386"/>
      <sheetName val="[Spt-BH.xls][Spt-BH_xls]B__4387"/>
      <sheetName val="[Spt-BH.xls][Spt-BH_xls]_S_1449"/>
      <sheetName val="[Spt-BH.xls][Spt-BH_xls]B__4388"/>
      <sheetName val="[Spt-BH.xls][Spt-BH_xls]B__4389"/>
      <sheetName val="[Spt-BH.xls][Spt-BH_xls]_S_1450"/>
      <sheetName val="[Spt-BH.xls][Spt-BH_xls]B__4390"/>
      <sheetName val="[Spt-BH.xls][Spt-BH_xls]B__4391"/>
      <sheetName val="[Spt-BH.xls][Spt-BH_xls]_S_1451"/>
      <sheetName val="[Spt-BH.xls][Spt-BH_xls]B__4347"/>
      <sheetName val="[Spt-BH.xls][Spt-BH_xls]B__4348"/>
      <sheetName val="[Spt-BH.xls][Spt-BH_xls]B__4349"/>
      <sheetName val="[Spt-BH.xls][Spt-BH_xls]B__4350"/>
      <sheetName val="[Spt-BH.xls][Spt-BH_xls]_S_1437"/>
      <sheetName val="[Spt-BH.xls][Spt-BH_xls]B__4351"/>
      <sheetName val="[Spt-BH.xls][Spt-BH_xls]B__4352"/>
      <sheetName val="[Spt-BH.xls][Spt-BH_xls]B__4353"/>
      <sheetName val="[Spt-BH.xls][Spt-BH_xls]_S_1438"/>
      <sheetName val="[Spt-BH.xls][Spt-BH_xls]B__4354"/>
      <sheetName val="[Spt-BH.xls][Spt-BH_xls]B__4355"/>
      <sheetName val="[Spt-BH.xls][Spt-BH_xls]B__4356"/>
      <sheetName val="[Spt-BH.xls][Spt-BH_xls]B__4357"/>
      <sheetName val="[Spt-BH.xls][Spt-BH_xls]_S_1439"/>
      <sheetName val="[Spt-BH.xls][Spt-BH_xls]B__4358"/>
      <sheetName val="[Spt-BH.xls][Spt-BH_xls]B__4359"/>
      <sheetName val="[Spt-BH.xls][Spt-BH_xls]_S_1440"/>
      <sheetName val="[Spt-BH.xls][Spt-BH_xls]B__4360"/>
      <sheetName val="[Spt-BH.xls][Spt-BH_xls]B__4361"/>
      <sheetName val="[Spt-BH.xls][Spt-BH_xls]_S_1441"/>
      <sheetName val="[Spt-BH.xls][Spt-BH_xls]B__4362"/>
      <sheetName val="[Spt-BH.xls][Spt-BH_xls]B__4363"/>
      <sheetName val="[Spt-BH.xls][Spt-BH_xls]B__4364"/>
      <sheetName val="[Spt-BH.xls][Spt-BH_xls]B__4365"/>
      <sheetName val="[Spt-BH.xls][Spt-BH_xls]_S_1442"/>
      <sheetName val="[Spt-BH.xls][Spt-BH_xls]B__4366"/>
      <sheetName val="[Spt-BH.xls][Spt-BH_xls]B__4367"/>
      <sheetName val="[Spt-BH.xls][Spt-BH_xls]B__4368"/>
      <sheetName val="[Spt-BH.xls][Spt-BH_xls]_S_1443"/>
      <sheetName val="[Spt-BH.xls][Spt-BH_xls]B__4369"/>
      <sheetName val="[Spt-BH.xls][Spt-BH_xls]B__4370"/>
      <sheetName val="[Spt-BH.xls][Spt-BH_xls]B__4371"/>
      <sheetName val="[Spt-BH.xls][Spt-BH_xls]B__4372"/>
      <sheetName val="[Spt-BH.xls][Spt-BH_xls]_S_1444"/>
      <sheetName val="[Spt-BH.xls][Spt-BH_xls]B__4373"/>
      <sheetName val="[Spt-BH.xls][Spt-BH_xls]B__4374"/>
      <sheetName val="[Spt-BH.xls][Spt-BH_xls]_S_1445"/>
      <sheetName val="[Spt-BH.xls][Spt-BH_xls]B__4375"/>
      <sheetName val="[Spt-BH.xls][Spt-BH_xls]B__4376"/>
      <sheetName val="[Spt-BH.xls][Spt-BH_xls]_S_1446"/>
      <sheetName val="[Spt-BH.xls][Spt-BH.xls]B__4866"/>
      <sheetName val="[Spt-BH.xls][Spt-BH.xls]B__4867"/>
      <sheetName val="[Spt-BH.xls][Spt-BH.xls]_S_1685"/>
      <sheetName val="[Spt-BH.xls][Spt-BH.xls]B__4868"/>
      <sheetName val="[Spt-BH.xls][Spt-BH.xls]B__4869"/>
      <sheetName val="[Spt-BH.xls]B____x005f_x0004______389"/>
      <sheetName val="[Spt-BH.xls]B___x005f_x0000__x000_383"/>
      <sheetName val="[Spt-BH.xls][Spt-BH.xls]B__4870"/>
      <sheetName val="[Spt-BH.xls][Spt-BH.xls]B__4871"/>
      <sheetName val="[Spt-BH.xls][Spt-BH.xls]B__4865"/>
      <sheetName val="[Spt-BH.xls][Spt-BH.xls]_S_1684"/>
      <sheetName val="[Spt-BH.xls][Spt-BH_xls]B__4392"/>
      <sheetName val="[Spt-BH.xls][Spt-BH_xls]B__4393"/>
      <sheetName val="[Spt-BH.xls][Spt-BH_xls]B__4394"/>
      <sheetName val="[Spt-BH.xls][Spt-BH_xls]B__4395"/>
      <sheetName val="[Spt-BH.xls][Spt-BH_xls]_S_1452"/>
      <sheetName val="[Spt-BH.xls][Spt-BH_xls]B__4396"/>
      <sheetName val="[Spt-BH.xls][Spt-BH_xls]B__4397"/>
      <sheetName val="[Spt-BH.xls][Spt-BH_xls]B__4398"/>
      <sheetName val="[Spt-BH.xls][Spt-BH_xls]_S_1453"/>
      <sheetName val="[Spt-BH.xls][Spt-BH_xls]B__4399"/>
      <sheetName val="[Spt-BH.xls][Spt-BH_xls]B__4400"/>
      <sheetName val="[Spt-BH.xls][Spt-BH_xls]B__4401"/>
      <sheetName val="[Spt-BH.xls][Spt-BH_xls]B__4402"/>
      <sheetName val="[Spt-BH.xls][Spt-BH_xls]_S_1454"/>
      <sheetName val="[Spt-BH.xls][Spt-BH_xls]B__4403"/>
      <sheetName val="[Spt-BH.xls][Spt-BH_xls]B__4404"/>
      <sheetName val="[Spt-BH.xls][Spt-BH_xls]_S_1455"/>
      <sheetName val="[Spt-BH.xls][Spt-BH_xls]B__4405"/>
      <sheetName val="[Spt-BH.xls][Spt-BH_xls]B__4406"/>
      <sheetName val="[Spt-BH.xls][Spt-BH_xls]_S_1456"/>
      <sheetName val="[Spt-BH.xls][Spt-BH.xls]_S_1687"/>
      <sheetName val="[Spt-BH.xls][Spt-BH.xls]B__4872"/>
      <sheetName val="[Spt-BH.xls][Spt-BH.xls]B__4873"/>
      <sheetName val="[Spt-BH.xls][Spt-BH.xls]_S_1689"/>
      <sheetName val="[Spt-BH.xls][Spt-BH.xls]B__4874"/>
      <sheetName val="[Spt-BH.xls][Spt-BH.xls]B__4875"/>
      <sheetName val="[Spt-BH.xls][Spt-BH.xls]B__4876"/>
      <sheetName val="[Spt-BH.xls][Spt-BH.xls]B__4877"/>
      <sheetName val="[Spt-BH.xls][Spt-BH.xls]_S_1688"/>
      <sheetName val="[Spt-BH.xls][Spt-BH.xls]B__4879"/>
      <sheetName val="[Spt-BH.xls][Spt-BH.xls]B__4880"/>
      <sheetName val="[Spt-BH.xls][Spt-BH.xls]_S_1691"/>
      <sheetName val="[Spt-BH.xls][Spt-BH.xls]B__4881"/>
      <sheetName val="[Spt-BH.xls][Spt-BH.xls]B__4882"/>
      <sheetName val="[Spt-BH.xls]B____x005f_x0004______390"/>
      <sheetName val="[Spt-BH.xls]B___x005f_x0000__x000_384"/>
      <sheetName val="[Spt-BH.xls][Spt-BH.xls]B__4883"/>
      <sheetName val="[Spt-BH.xls][Spt-BH.xls]B__4884"/>
      <sheetName val="[Spt-BH.xls][Spt-BH.xls]B__4878"/>
      <sheetName val="[Spt-BH.xls][Spt-BH.xls]_S_1690"/>
      <sheetName val="[Spt-BH.xls][Spt-BH_xls]B__4407"/>
      <sheetName val="[Spt-BH.xls][Spt-BH_xls]B__4408"/>
      <sheetName val="[Spt-BH.xls][Spt-BH_xls]B__4409"/>
      <sheetName val="[Spt-BH.xls][Spt-BH_xls]B__4410"/>
      <sheetName val="[Spt-BH.xls][Spt-BH_xls]_S_1457"/>
      <sheetName val="[Spt-BH.xls][Spt-BH_xls]B__4411"/>
      <sheetName val="[Spt-BH.xls][Spt-BH_xls]B__4412"/>
      <sheetName val="[Spt-BH.xls][Spt-BH_xls]B__4413"/>
      <sheetName val="[Spt-BH.xls][Spt-BH_xls]_S_1458"/>
      <sheetName val="[Spt-BH.xls][Spt-BH_xls]B__4414"/>
      <sheetName val="[Spt-BH.xls][Spt-BH_xls]B__4415"/>
      <sheetName val="[Spt-BH.xls][Spt-BH_xls]B__4416"/>
      <sheetName val="[Spt-BH.xls][Spt-BH_xls]B__4417"/>
      <sheetName val="[Spt-BH.xls][Spt-BH_xls]_S_1459"/>
      <sheetName val="[Spt-BH.xls][Spt-BH_xls]B__4418"/>
      <sheetName val="[Spt-BH.xls][Spt-BH_xls]B__4419"/>
      <sheetName val="[Spt-BH.xls][Spt-BH_xls]_S_1460"/>
      <sheetName val="[Spt-BH.xls][Spt-BH_xls]B__4420"/>
      <sheetName val="[Spt-BH.xls][Spt-BH_xls]B__4421"/>
      <sheetName val="[Spt-BH.xls][Spt-BH_xls]_S_1461"/>
      <sheetName val="[Spt-BH.xls][Spt-BH.xls]B__4886"/>
      <sheetName val="[Spt-BH.xls][Spt-BH.xls]B__4887"/>
      <sheetName val="[Spt-BH.xls][Spt-BH.xls]_S_1693"/>
      <sheetName val="[Spt-BH.xls][Spt-BH.xls]B__4888"/>
      <sheetName val="[Spt-BH.xls][Spt-BH.xls]B__4889"/>
      <sheetName val="[Spt-BH.xls]B____x005f_x0004______391"/>
      <sheetName val="[Spt-BH.xls]B___x005f_x0000__x000_385"/>
      <sheetName val="[Spt-BH.xls][Spt-BH.xls]B__4890"/>
      <sheetName val="[Spt-BH.xls][Spt-BH.xls]B__4891"/>
      <sheetName val="[Spt-BH.xls][Spt-BH.xls]B__4885"/>
      <sheetName val="[Spt-BH.xls][Spt-BH.xls]_S_1692"/>
      <sheetName val="[Spt-BH.xls][Spt-BH_xls]B__4482"/>
      <sheetName val="[Spt-BH.xls][Spt-BH_xls]B__4483"/>
      <sheetName val="[Spt-BH.xls][Spt-BH_xls]B__4484"/>
      <sheetName val="[Spt-BH.xls][Spt-BH_xls]B__4485"/>
      <sheetName val="[Spt-BH.xls][Spt-BH_xls]_S_1482"/>
      <sheetName val="[Spt-BH.xls][Spt-BH_xls]B__4486"/>
      <sheetName val="[Spt-BH.xls][Spt-BH_xls]B__4487"/>
      <sheetName val="[Spt-BH.xls][Spt-BH_xls]B__4488"/>
      <sheetName val="[Spt-BH.xls][Spt-BH_xls]_S_1483"/>
      <sheetName val="[Spt-BH.xls][Spt-BH_xls]B__4489"/>
      <sheetName val="[Spt-BH.xls][Spt-BH_xls]B__4490"/>
      <sheetName val="[Spt-BH.xls][Spt-BH_xls]B__4491"/>
      <sheetName val="[Spt-BH.xls][Spt-BH_xls]B__4492"/>
      <sheetName val="[Spt-BH.xls][Spt-BH_xls]_S_1484"/>
      <sheetName val="[Spt-BH.xls][Spt-BH_xls]B__4493"/>
      <sheetName val="[Spt-BH.xls][Spt-BH_xls]B__4494"/>
      <sheetName val="[Spt-BH.xls][Spt-BH_xls]_S_1485"/>
      <sheetName val="[Spt-BH.xls][Spt-BH_xls]B__4495"/>
      <sheetName val="[Spt-BH.xls][Spt-BH_xls]B__4496"/>
      <sheetName val="[Spt-BH.xls][Spt-BH_xls]_S_1486"/>
      <sheetName val="[Spt-BH.xls][Spt-BH_xls]B__4422"/>
      <sheetName val="[Spt-BH.xls][Spt-BH_xls]B__4423"/>
      <sheetName val="[Spt-BH.xls][Spt-BH_xls]B__4424"/>
      <sheetName val="[Spt-BH.xls][Spt-BH_xls]B__4425"/>
      <sheetName val="[Spt-BH.xls][Spt-BH_xls]_S_1462"/>
      <sheetName val="[Spt-BH.xls][Spt-BH_xls]B__4426"/>
      <sheetName val="[Spt-BH.xls][Spt-BH_xls]B__4427"/>
      <sheetName val="[Spt-BH.xls][Spt-BH_xls]B__4428"/>
      <sheetName val="[Spt-BH.xls][Spt-BH_xls]_S_1463"/>
      <sheetName val="[Spt-BH.xls][Spt-BH_xls]B__4429"/>
      <sheetName val="[Spt-BH.xls][Spt-BH_xls]B__4430"/>
      <sheetName val="[Spt-BH.xls][Spt-BH_xls]B__4431"/>
      <sheetName val="[Spt-BH.xls][Spt-BH_xls]B__4432"/>
      <sheetName val="[Spt-BH.xls][Spt-BH_xls]_S_1464"/>
      <sheetName val="[Spt-BH.xls][Spt-BH_xls]B__4433"/>
      <sheetName val="[Spt-BH.xls][Spt-BH_xls]B__4434"/>
      <sheetName val="[Spt-BH.xls][Spt-BH_xls]_S_1465"/>
      <sheetName val="[Spt-BH.xls][Spt-BH_xls]B__4435"/>
      <sheetName val="[Spt-BH.xls][Spt-BH_xls]B__4436"/>
      <sheetName val="[Spt-BH.xls][Spt-BH_xls]_S_1466"/>
      <sheetName val="[Spt-BH.xls][Spt-BH_xls]B__4437"/>
      <sheetName val="[Spt-BH.xls][Spt-BH_xls]B__4438"/>
      <sheetName val="[Spt-BH.xls][Spt-BH_xls]B__4439"/>
      <sheetName val="[Spt-BH.xls][Spt-BH_xls]B__4440"/>
      <sheetName val="[Spt-BH.xls][Spt-BH_xls]_S_1467"/>
      <sheetName val="[Spt-BH.xls][Spt-BH_xls]B__4441"/>
      <sheetName val="[Spt-BH.xls][Spt-BH_xls]B__4442"/>
      <sheetName val="[Spt-BH.xls][Spt-BH_xls]B__4443"/>
      <sheetName val="[Spt-BH.xls][Spt-BH_xls]_S_1468"/>
      <sheetName val="[Spt-BH.xls][Spt-BH_xls]B__4444"/>
      <sheetName val="[Spt-BH.xls][Spt-BH_xls]B__4445"/>
      <sheetName val="[Spt-BH.xls][Spt-BH_xls]B__4446"/>
      <sheetName val="[Spt-BH.xls][Spt-BH_xls]B__4447"/>
      <sheetName val="[Spt-BH.xls][Spt-BH_xls]_S_1469"/>
      <sheetName val="[Spt-BH.xls][Spt-BH_xls]B__4448"/>
      <sheetName val="[Spt-BH.xls][Spt-BH_xls]B__4449"/>
      <sheetName val="[Spt-BH.xls][Spt-BH_xls]_S_1470"/>
      <sheetName val="[Spt-BH.xls][Spt-BH_xls]B__4450"/>
      <sheetName val="[Spt-BH.xls][Spt-BH_xls]B__4451"/>
      <sheetName val="[Spt-BH.xls][Spt-BH_xls]_S_1471"/>
      <sheetName val="[Spt-BH.xls][Spt-BH_xls]B__4467"/>
      <sheetName val="[Spt-BH.xls][Spt-BH_xls]B__4468"/>
      <sheetName val="[Spt-BH.xls][Spt-BH_xls]B__4469"/>
      <sheetName val="[Spt-BH.xls][Spt-BH_xls]B__4470"/>
      <sheetName val="[Spt-BH.xls][Spt-BH_xls]_S_1477"/>
      <sheetName val="[Spt-BH.xls][Spt-BH_xls]B__4471"/>
      <sheetName val="[Spt-BH.xls][Spt-BH_xls]B__4472"/>
      <sheetName val="[Spt-BH.xls][Spt-BH_xls]B__4473"/>
      <sheetName val="[Spt-BH.xls][Spt-BH_xls]_S_1478"/>
      <sheetName val="[Spt-BH.xls][Spt-BH_xls]B__4474"/>
      <sheetName val="[Spt-BH.xls][Spt-BH_xls]B__4475"/>
      <sheetName val="[Spt-BH.xls][Spt-BH_xls]B__4476"/>
      <sheetName val="[Spt-BH.xls][Spt-BH_xls]B__4477"/>
      <sheetName val="[Spt-BH.xls][Spt-BH_xls]_S_1479"/>
      <sheetName val="[Spt-BH.xls][Spt-BH_xls]B__4478"/>
      <sheetName val="[Spt-BH.xls][Spt-BH_xls]B__4479"/>
      <sheetName val="[Spt-BH.xls][Spt-BH_xls]_S_1480"/>
      <sheetName val="[Spt-BH.xls][Spt-BH_xls]B__4480"/>
      <sheetName val="[Spt-BH.xls][Spt-BH_xls]B__4481"/>
      <sheetName val="[Spt-BH.xls][Spt-BH_xls]_S_1481"/>
      <sheetName val="[Spt-BH.xls][Spt-BH_xls]B__4452"/>
      <sheetName val="[Spt-BH.xls][Spt-BH_xls]B__4453"/>
      <sheetName val="[Spt-BH.xls][Spt-BH_xls]B__4454"/>
      <sheetName val="[Spt-BH.xls][Spt-BH_xls]B__4455"/>
      <sheetName val="[Spt-BH.xls][Spt-BH_xls]_S_1472"/>
      <sheetName val="[Spt-BH.xls][Spt-BH_xls]B__4456"/>
      <sheetName val="[Spt-BH.xls][Spt-BH_xls]B__4457"/>
      <sheetName val="[Spt-BH.xls][Spt-BH_xls]B__4458"/>
      <sheetName val="[Spt-BH.xls][Spt-BH_xls]_S_1473"/>
      <sheetName val="[Spt-BH.xls][Spt-BH_xls]B__4459"/>
      <sheetName val="[Spt-BH.xls][Spt-BH_xls]B__4460"/>
      <sheetName val="[Spt-BH.xls][Spt-BH_xls]B__4461"/>
      <sheetName val="[Spt-BH.xls][Spt-BH_xls]B__4462"/>
      <sheetName val="[Spt-BH.xls][Spt-BH_xls]_S_1474"/>
      <sheetName val="[Spt-BH.xls][Spt-BH_xls]B__4463"/>
      <sheetName val="[Spt-BH.xls][Spt-BH_xls]B__4464"/>
      <sheetName val="[Spt-BH.xls][Spt-BH_xls]_S_1475"/>
      <sheetName val="[Spt-BH.xls][Spt-BH_xls]B__4465"/>
      <sheetName val="[Spt-BH.xls][Spt-BH_xls]B__4466"/>
      <sheetName val="[Spt-BH.xls][Spt-BH_xls]_S_1476"/>
      <sheetName val="[Spt-BH.xls][Spt-BH.xls]_S_1696"/>
      <sheetName val="[Spt-BH.xls][Spt-BH.xls]B__4926"/>
      <sheetName val="[Spt-BH.xls][Spt-BH.xls]B__4927"/>
      <sheetName val="[Spt-BH.xls][Spt-BH.xls]_S_1700"/>
      <sheetName val="[Spt-BH.xls][Spt-BH.xls]B__4928"/>
      <sheetName val="[Spt-BH.xls][Spt-BH.xls]B__4929"/>
      <sheetName val="[Spt-BH.xls]B____x005f_x0004______395"/>
      <sheetName val="[Spt-BH.xls][Spt-BH.xls]B__4919"/>
      <sheetName val="[Spt-BH.xls][Spt-BH.xls]B__4920"/>
      <sheetName val="[Spt-BH.xls][Spt-BH.xls]_S_1698"/>
      <sheetName val="[Spt-BH.xls][Spt-BH.xls]B__4921"/>
      <sheetName val="[Spt-BH.xls][Spt-BH.xls]B__4922"/>
      <sheetName val="[Spt-BH.xls][Spt-BH.xls]B__4923"/>
      <sheetName val="[Spt-BH.xls]B___x005f_x0000__x000_389"/>
      <sheetName val="[Spt-BH.xls][Spt-BH.xls]B__4930"/>
      <sheetName val="[Spt-BH.xls][Spt-BH.xls]B__4931"/>
      <sheetName val="[Spt-BH.xls][Spt-BH.xls]B__4924"/>
      <sheetName val="[Spt-BH.xls][Spt-BH.xls]B__4925"/>
      <sheetName val="[Spt-BH.xls][Spt-BH.xls]_S_1699"/>
      <sheetName val="[Spt-BH.xls][Spt-BH.xls]_S_1697"/>
      <sheetName val="[Spt-BH.xls][Spt-BH.xls]B__4901"/>
      <sheetName val="[Spt-BH.xls][Spt-BH.xls]B__4902"/>
      <sheetName val="[Spt-BH.xls][Spt-BH.xls]B__4903"/>
      <sheetName val="[Spt-BH.xls][Spt-BH.xls]B__4904"/>
      <sheetName val="[Spt-BH.xls]B____x005f_x0004______393"/>
      <sheetName val="[Spt-BH.xls]B___x005f_x0000__x000_387"/>
      <sheetName val="[Spt-BH.xls][Spt-BH.xls]B__4905"/>
      <sheetName val="[Spt-BH.xls][Spt-BH.xls]B__4894"/>
      <sheetName val="[Spt-BH.xls][Spt-BH.xls]B__4895"/>
      <sheetName val="[Spt-BH.xls][Spt-BH.xls]B__4896"/>
      <sheetName val="[Spt-BH.xls][Spt-BH.xls]B__4897"/>
      <sheetName val="[Spt-BH.xls][Spt-BH.xls]B__4906"/>
      <sheetName val="[Spt-BH.xls][Spt-BH.xls]B__4898"/>
      <sheetName val="[Spt-BH.xls][Spt-BH.xls]B__4899"/>
      <sheetName val="[Spt-BH.xls]B____x005f_x0004______392"/>
      <sheetName val="[Spt-BH.xls]B___x005f_x0000__x000_386"/>
      <sheetName val="[Spt-BH.xls][Spt-BH.xls]B__4892"/>
      <sheetName val="[Spt-BH.xls][Spt-BH.xls]B__4893"/>
      <sheetName val="[Spt-BH.xls][Spt-BH.xls]B__4900"/>
      <sheetName val="[Spt-BH.xls]B____x005f_x0004______394"/>
      <sheetName val="[Spt-BH.xls]B___x005f_x0000__x000_388"/>
      <sheetName val="[Spt-BH.xls][Spt-BH.xls]B__4907"/>
      <sheetName val="[Spt-BH.xls][Spt-BH.xls]B__4908"/>
      <sheetName val="[Spt-BH.xls][Spt-BH.xls]B__4909"/>
      <sheetName val="[Spt-BH.xls][Spt-BH.xls]B__4910"/>
      <sheetName val="[Spt-BH.xls][Spt-BH.xls]B__4911"/>
      <sheetName val="[Spt-BH.xls][Spt-BH.xls]B__4912"/>
      <sheetName val="[Spt-BH.xls][Spt-BH.xls]B__4913"/>
      <sheetName val="[Spt-BH.xls][Spt-BH.xls]B__4914"/>
      <sheetName val="[Spt-BH.xls][Spt-BH.xls]_S_1695"/>
      <sheetName val="[Spt-BH.xls][Spt-BH.xls]B__4915"/>
      <sheetName val="[Spt-BH.xls][Spt-BH.xls]B__4916"/>
      <sheetName val="[Spt-BH.xls][Spt-BH.xls]B__4917"/>
      <sheetName val="[Spt-BH.xls][Spt-BH.xls]B__4918"/>
      <sheetName val="[Spt-BH.xls][Spt-BH.xls]_S_1694"/>
      <sheetName val="[Spt-BH.xls][Spt-BH.xls]B__4933"/>
      <sheetName val="[Spt-BH.xls][Spt-BH.xls]B__4934"/>
      <sheetName val="[Spt-BH.xls][Spt-BH.xls]_S_1702"/>
      <sheetName val="[Spt-BH.xls][Spt-BH.xls]B__4935"/>
      <sheetName val="[Spt-BH.xls][Spt-BH.xls]B__4936"/>
      <sheetName val="[Spt-BH.xls]B____x005f_x0004______396"/>
      <sheetName val="[Spt-BH.xls]B___x005f_x0000__x000_390"/>
      <sheetName val="[Spt-BH.xls][Spt-BH.xls]B__4937"/>
      <sheetName val="[Spt-BH.xls][Spt-BH.xls]B__4938"/>
      <sheetName val="[Spt-BH.xls][Spt-BH.xls]B__4932"/>
      <sheetName val="[Spt-BH.xls][Spt-BH.xls]_S_1701"/>
      <sheetName val="[Spt-BH.xls][Spt-BH.xls]B__4946"/>
      <sheetName val="[Spt-BH.xls][Spt-BH.xls]B__4947"/>
      <sheetName val="[Spt-BH.xls][Spt-BH.xls]_S_1707"/>
      <sheetName val="[Spt-BH.xls][Spt-BH.xls]B__4948"/>
      <sheetName val="[Spt-BH.xls][Spt-BH.xls]B__4949"/>
      <sheetName val="[Spt-BH.xls]B____x005f_x0004______397"/>
      <sheetName val="[Spt-BH.xls][Spt-BH.xls]B__4939"/>
      <sheetName val="[Spt-BH.xls][Spt-BH.xls]B__4940"/>
      <sheetName val="[Spt-BH.xls][Spt-BH.xls]_S_1705"/>
      <sheetName val="[Spt-BH.xls][Spt-BH.xls]B__4941"/>
      <sheetName val="[Spt-BH.xls][Spt-BH.xls]B__4942"/>
      <sheetName val="[Spt-BH.xls][Spt-BH.xls]B__4943"/>
      <sheetName val="[Spt-BH.xls][Spt-BH.xls]_S_1703"/>
      <sheetName val="[Spt-BH.xls][Spt-BH.xls]B__4944"/>
      <sheetName val="[Spt-BH.xls]B___x005f_x0000__x000_391"/>
      <sheetName val="[Spt-BH.xls][Spt-BH.xls]B__4950"/>
      <sheetName val="[Spt-BH.xls][Spt-BH.xls]B__4951"/>
      <sheetName val="[Spt-BH.xls][Spt-BH.xls]B__4945"/>
      <sheetName val="[Spt-BH.xls][Spt-BH.xls]_S_1706"/>
      <sheetName val="[Spt-BH.xls][Spt-BH_xls]B__4497"/>
      <sheetName val="[Spt-BH.xls][Spt-BH_xls]B__4498"/>
      <sheetName val="[Spt-BH.xls][Spt-BH_xls]B__4499"/>
      <sheetName val="[Spt-BH.xls][Spt-BH_xls]B__4500"/>
      <sheetName val="[Spt-BH.xls][Spt-BH_xls]_S_1487"/>
      <sheetName val="[Spt-BH.xls][Spt-BH_xls]B__4501"/>
      <sheetName val="[Spt-BH.xls][Spt-BH_xls]B__4502"/>
      <sheetName val="[Spt-BH.xls][Spt-BH_xls]B__4503"/>
      <sheetName val="[Spt-BH.xls][Spt-BH_xls]_S_1488"/>
      <sheetName val="[Spt-BH.xls][Spt-BH_xls]B__4504"/>
      <sheetName val="[Spt-BH.xls][Spt-BH_xls]B__4505"/>
      <sheetName val="[Spt-BH.xls][Spt-BH_xls]B__4506"/>
      <sheetName val="[Spt-BH.xls][Spt-BH_xls]B__4507"/>
      <sheetName val="[Spt-BH.xls][Spt-BH_xls]_S_1489"/>
      <sheetName val="[Spt-BH.xls][Spt-BH.xls]_S_1704"/>
      <sheetName val="[Spt-BH.xls][Spt-BH_xls]B__4508"/>
      <sheetName val="[Spt-BH.xls][Spt-BH_xls]B__4509"/>
      <sheetName val="[Spt-BH.xls][Spt-BH_xls]_S_1490"/>
      <sheetName val="[Spt-BH.xls][Spt-BH_xls]B__4510"/>
      <sheetName val="[Spt-BH.xls][Spt-BH_xls]B__4511"/>
      <sheetName val="[Spt-BH.xls][Spt-BH_xls]_S_1491"/>
      <sheetName val="[Spt-BH.xls][Spt-BH_xls]B__4542"/>
      <sheetName val="[Spt-BH.xls][Spt-BH_xls]B__4543"/>
      <sheetName val="[Spt-BH.xls][Spt-BH_xls]B__4544"/>
      <sheetName val="[Spt-BH.xls][Spt-BH_xls]B__4545"/>
      <sheetName val="[Spt-BH.xls][Spt-BH_xls]_S_1502"/>
      <sheetName val="[Spt-BH.xls][Spt-BH_xls]B__4546"/>
      <sheetName val="[Spt-BH.xls][Spt-BH_xls]B__4547"/>
      <sheetName val="[Spt-BH.xls][Spt-BH_xls]B__4548"/>
      <sheetName val="[Spt-BH.xls][Spt-BH_xls]_S_1503"/>
      <sheetName val="[Spt-BH.xls][Spt-BH_xls]B__4549"/>
      <sheetName val="[Spt-BH.xls][Spt-BH_xls]B__4550"/>
      <sheetName val="[Spt-BH.xls][Spt-BH_xls]B__4551"/>
      <sheetName val="[Spt-BH.xls][Spt-BH_xls]B__4552"/>
      <sheetName val="[Spt-BH.xls][Spt-BH_xls]_S_1504"/>
      <sheetName val="[Spt-BH.xls][Spt-BH_xls]B__4553"/>
      <sheetName val="[Spt-BH.xls][Spt-BH_xls]B__4554"/>
      <sheetName val="[Spt-BH.xls][Spt-BH_xls]_S_1505"/>
      <sheetName val="[Spt-BH.xls][Spt-BH_xls]B__4555"/>
      <sheetName val="[Spt-BH.xls][Spt-BH_xls]B__4556"/>
      <sheetName val="[Spt-BH.xls][Spt-BH_xls]_S_1506"/>
      <sheetName val="[Spt-BH.xls][Spt-BH_xls]B__4512"/>
      <sheetName val="[Spt-BH.xls][Spt-BH_xls]B__4513"/>
      <sheetName val="[Spt-BH.xls][Spt-BH_xls]B__4514"/>
      <sheetName val="[Spt-BH.xls][Spt-BH_xls]B__4515"/>
      <sheetName val="[Spt-BH.xls][Spt-BH_xls]_S_1492"/>
      <sheetName val="[Spt-BH.xls][Spt-BH_xls]B__4516"/>
      <sheetName val="[Spt-BH.xls][Spt-BH_xls]B__4517"/>
      <sheetName val="[Spt-BH.xls][Spt-BH_xls]B__4518"/>
      <sheetName val="[Spt-BH.xls][Spt-BH_xls]_S_1493"/>
      <sheetName val="[Spt-BH.xls][Spt-BH_xls]B__4519"/>
      <sheetName val="[Spt-BH.xls][Spt-BH_xls]B__4520"/>
      <sheetName val="[Spt-BH.xls][Spt-BH_xls]B__4521"/>
      <sheetName val="[Spt-BH.xls][Spt-BH_xls]B__4522"/>
      <sheetName val="[Spt-BH.xls][Spt-BH_xls]_S_1494"/>
      <sheetName val="[Spt-BH.xls][Spt-BH_xls]B__4523"/>
      <sheetName val="[Spt-BH.xls][Spt-BH_xls]B__4524"/>
      <sheetName val="[Spt-BH.xls][Spt-BH_xls]_S_1495"/>
      <sheetName val="[Spt-BH.xls][Spt-BH_xls]B__4525"/>
      <sheetName val="[Spt-BH.xls][Spt-BH_xls]B__4526"/>
      <sheetName val="[Spt-BH.xls][Spt-BH_xls]_S_1496"/>
      <sheetName val="[Spt-BH.xls][Spt-BH_xls]B__4527"/>
      <sheetName val="[Spt-BH.xls][Spt-BH_xls]B__4528"/>
      <sheetName val="[Spt-BH.xls][Spt-BH_xls]B__4529"/>
      <sheetName val="[Spt-BH.xls][Spt-BH_xls]B__4530"/>
      <sheetName val="[Spt-BH.xls][Spt-BH_xls]_S_1497"/>
      <sheetName val="[Spt-BH.xls][Spt-BH_xls]B__4531"/>
      <sheetName val="[Spt-BH.xls][Spt-BH_xls]B__4532"/>
      <sheetName val="[Spt-BH.xls][Spt-BH_xls]B__4533"/>
      <sheetName val="[Spt-BH.xls][Spt-BH_xls]_S_1498"/>
      <sheetName val="[Spt-BH.xls][Spt-BH_xls]B__4534"/>
      <sheetName val="[Spt-BH.xls][Spt-BH_xls]B__4535"/>
      <sheetName val="[Spt-BH.xls][Spt-BH_xls]B__4536"/>
      <sheetName val="[Spt-BH.xls][Spt-BH_xls]B__4537"/>
      <sheetName val="[Spt-BH.xls][Spt-BH_xls]_S_1499"/>
      <sheetName val="[Spt-BH.xls][Spt-BH_xls]B__4538"/>
      <sheetName val="[Spt-BH.xls][Spt-BH_xls]B__4539"/>
      <sheetName val="[Spt-BH.xls][Spt-BH_xls]_S_1500"/>
      <sheetName val="[Spt-BH.xls][Spt-BH_xls]B__4540"/>
      <sheetName val="[Spt-BH.xls][Spt-BH_xls]B__4541"/>
      <sheetName val="[Spt-BH.xls][Spt-BH_xls]_S_1501"/>
      <sheetName val="[Spt-BH.xls][Spt-BH_xls]B__4572"/>
      <sheetName val="[Spt-BH.xls][Spt-BH_xls]B__4573"/>
      <sheetName val="[Spt-BH.xls][Spt-BH_xls]B__4574"/>
      <sheetName val="[Spt-BH.xls][Spt-BH_xls]B__4575"/>
      <sheetName val="[Spt-BH.xls][Spt-BH_xls]_S_1512"/>
      <sheetName val="[Spt-BH.xls][Spt-BH_xls]B__4576"/>
      <sheetName val="[Spt-BH.xls][Spt-BH_xls]B__4577"/>
      <sheetName val="[Spt-BH.xls][Spt-BH_xls]B__4578"/>
      <sheetName val="[Spt-BH.xls][Spt-BH_xls]_S_1513"/>
      <sheetName val="[Spt-BH.xls][Spt-BH_xls]B__4579"/>
      <sheetName val="[Spt-BH.xls][Spt-BH_xls]B__4580"/>
      <sheetName val="[Spt-BH.xls][Spt-BH_xls]B__4581"/>
      <sheetName val="[Spt-BH.xls][Spt-BH_xls]B__4582"/>
      <sheetName val="[Spt-BH.xls][Spt-BH_xls]_S_1514"/>
      <sheetName val="[Spt-BH.xls][Spt-BH_xls]B__4583"/>
      <sheetName val="[Spt-BH.xls][Spt-BH_xls]B__4584"/>
      <sheetName val="[Spt-BH.xls][Spt-BH_xls]_S_1515"/>
      <sheetName val="[Spt-BH.xls][Spt-BH_xls]B__4585"/>
      <sheetName val="[Spt-BH.xls][Spt-BH_xls]B__4586"/>
      <sheetName val="[Spt-BH.xls][Spt-BH_xls]_S_1516"/>
      <sheetName val="[Spt-BH.xls][Spt-BH_xls]B__4557"/>
      <sheetName val="[Spt-BH.xls][Spt-BH_xls]B__4558"/>
      <sheetName val="[Spt-BH.xls][Spt-BH_xls]B__4559"/>
      <sheetName val="[Spt-BH.xls][Spt-BH_xls]B__4560"/>
      <sheetName val="[Spt-BH.xls][Spt-BH_xls]_S_1507"/>
      <sheetName val="[Spt-BH.xls][Spt-BH_xls]B__4561"/>
      <sheetName val="[Spt-BH.xls][Spt-BH_xls]B__4562"/>
      <sheetName val="[Spt-BH.xls][Spt-BH_xls]B__4563"/>
      <sheetName val="[Spt-BH.xls][Spt-BH_xls]_S_1508"/>
      <sheetName val="[Spt-BH.xls][Spt-BH_xls]B__4564"/>
      <sheetName val="[Spt-BH.xls][Spt-BH_xls]B__4565"/>
      <sheetName val="[Spt-BH.xls][Spt-BH_xls]B__4566"/>
      <sheetName val="[Spt-BH.xls][Spt-BH_xls]B__4567"/>
      <sheetName val="[Spt-BH.xls][Spt-BH_xls]_S_1509"/>
      <sheetName val="[Spt-BH.xls][Spt-BH_xls]B__4568"/>
      <sheetName val="[Spt-BH.xls][Spt-BH_xls]B__4569"/>
      <sheetName val="[Spt-BH.xls][Spt-BH_xls]_S_1510"/>
      <sheetName val="[Spt-BH.xls][Spt-BH_xls]B__4570"/>
      <sheetName val="[Spt-BH.xls][Spt-BH_xls]B__4571"/>
      <sheetName val="[Spt-BH.xls][Spt-BH_xls]_S_1511"/>
      <sheetName val="[Spt-BH.xls][Spt-BH_xls]B__4617"/>
      <sheetName val="[Spt-BH.xls][Spt-BH_xls]B__4618"/>
      <sheetName val="[Spt-BH.xls][Spt-BH_xls]B__4619"/>
      <sheetName val="[Spt-BH.xls][Spt-BH_xls]B__4620"/>
      <sheetName val="[Spt-BH.xls][Spt-BH_xls]_S_1527"/>
      <sheetName val="[Spt-BH.xls][Spt-BH_xls]B__4621"/>
      <sheetName val="[Spt-BH.xls][Spt-BH_xls]B__4622"/>
      <sheetName val="[Spt-BH.xls][Spt-BH_xls]B__4623"/>
      <sheetName val="[Spt-BH.xls][Spt-BH_xls]_S_1528"/>
      <sheetName val="[Spt-BH.xls][Spt-BH_xls]B__4624"/>
      <sheetName val="[Spt-BH.xls][Spt-BH_xls]B__4625"/>
      <sheetName val="[Spt-BH.xls][Spt-BH_xls]B__4626"/>
      <sheetName val="[Spt-BH.xls][Spt-BH_xls]B__4627"/>
      <sheetName val="[Spt-BH.xls][Spt-BH_xls]_S_1529"/>
      <sheetName val="[Spt-BH.xls][Spt-BH_xls]B__4628"/>
      <sheetName val="[Spt-BH.xls][Spt-BH_xls]B__4629"/>
      <sheetName val="[Spt-BH.xls][Spt-BH_xls]_S_1530"/>
      <sheetName val="[Spt-BH.xls][Spt-BH_xls]B__4630"/>
      <sheetName val="[Spt-BH.xls][Spt-BH_xls]B__4631"/>
      <sheetName val="[Spt-BH.xls][Spt-BH_xls]_S_1531"/>
      <sheetName val="[Spt-BH.xls][Spt-BH_xls]B__4587"/>
      <sheetName val="[Spt-BH.xls][Spt-BH_xls]B__4588"/>
      <sheetName val="[Spt-BH.xls][Spt-BH_xls]B__4589"/>
      <sheetName val="[Spt-BH.xls][Spt-BH_xls]B__4590"/>
      <sheetName val="[Spt-BH.xls][Spt-BH_xls]_S_1517"/>
      <sheetName val="[Spt-BH.xls][Spt-BH_xls]B__4591"/>
      <sheetName val="[Spt-BH.xls][Spt-BH_xls]B__4592"/>
      <sheetName val="[Spt-BH.xls][Spt-BH_xls]B__4593"/>
      <sheetName val="[Spt-BH.xls][Spt-BH_xls]_S_1518"/>
      <sheetName val="[Spt-BH.xls][Spt-BH_xls]B__4594"/>
      <sheetName val="[Spt-BH.xls][Spt-BH_xls]B__4595"/>
      <sheetName val="[Spt-BH.xls][Spt-BH_xls]B__4596"/>
      <sheetName val="[Spt-BH.xls][Spt-BH_xls]B__4597"/>
      <sheetName val="[Spt-BH.xls][Spt-BH_xls]_S_1519"/>
      <sheetName val="[Spt-BH.xls][Spt-BH_xls]B__4598"/>
      <sheetName val="[Spt-BH.xls][Spt-BH_xls]B__4599"/>
      <sheetName val="[Spt-BH.xls][Spt-BH_xls]_S_1520"/>
      <sheetName val="[Spt-BH.xls][Spt-BH_xls]B__4600"/>
      <sheetName val="[Spt-BH.xls][Spt-BH_xls]B__4601"/>
      <sheetName val="[Spt-BH.xls][Spt-BH_xls]_S_1521"/>
      <sheetName val="[Spt-BH.xls][Spt-BH_xls]B__4602"/>
      <sheetName val="[Spt-BH.xls][Spt-BH_xls]B__4603"/>
      <sheetName val="[Spt-BH.xls][Spt-BH_xls]B__4604"/>
      <sheetName val="[Spt-BH.xls][Spt-BH_xls]B__4605"/>
      <sheetName val="[Spt-BH.xls][Spt-BH_xls]_S_1522"/>
      <sheetName val="[Spt-BH.xls][Spt-BH_xls]B__4606"/>
      <sheetName val="[Spt-BH.xls][Spt-BH_xls]B__4607"/>
      <sheetName val="[Spt-BH.xls][Spt-BH_xls]B__4608"/>
      <sheetName val="[Spt-BH.xls][Spt-BH_xls]_S_1523"/>
      <sheetName val="[Spt-BH.xls][Spt-BH_xls]B__4609"/>
      <sheetName val="[Spt-BH.xls][Spt-BH_xls]B__4610"/>
      <sheetName val="[Spt-BH.xls][Spt-BH_xls]B__4611"/>
      <sheetName val="[Spt-BH.xls][Spt-BH_xls]B__4612"/>
      <sheetName val="[Spt-BH.xls][Spt-BH_xls]_S_1524"/>
      <sheetName val="[Spt-BH.xls][Spt-BH_xls]B__4613"/>
      <sheetName val="[Spt-BH.xls][Spt-BH_xls]B__4614"/>
      <sheetName val="[Spt-BH.xls][Spt-BH_xls]_S_1525"/>
      <sheetName val="[Spt-BH.xls][Spt-BH_xls]B__4615"/>
      <sheetName val="[Spt-BH.xls][Spt-BH_xls]B__4616"/>
      <sheetName val="[Spt-BH.xls][Spt-BH_xls]_S_1526"/>
      <sheetName val="[Spt-BH.xls][Spt-BH.xls]_S_1708"/>
      <sheetName val="[Spt-BH.xls][Spt-BH_xls]B__4632"/>
      <sheetName val="[Spt-BH.xls][Spt-BH_xls]B__4633"/>
      <sheetName val="[Spt-BH.xls][Spt-BH_xls]B__4634"/>
      <sheetName val="[Spt-BH.xls][Spt-BH_xls]B__4635"/>
      <sheetName val="[Spt-BH.xls][Spt-BH_xls]_S_1532"/>
      <sheetName val="[Spt-BH.xls][Spt-BH_xls]B__4636"/>
      <sheetName val="[Spt-BH.xls][Spt-BH_xls]B__4637"/>
      <sheetName val="[Spt-BH.xls][Spt-BH_xls]B__4638"/>
      <sheetName val="[Spt-BH.xls][Spt-BH_xls]_S_1533"/>
      <sheetName val="[Spt-BH.xls][Spt-BH_xls]B__4639"/>
      <sheetName val="[Spt-BH.xls][Spt-BH_xls]B__4640"/>
      <sheetName val="[Spt-BH.xls][Spt-BH_xls]B__4641"/>
      <sheetName val="[Spt-BH.xls][Spt-BH_xls]B__4642"/>
      <sheetName val="[Spt-BH.xls][Spt-BH_xls]_S_1534"/>
      <sheetName val="[Spt-BH.xls][Spt-BH_xls]B__4643"/>
      <sheetName val="[Spt-BH.xls][Spt-BH_xls]B__4644"/>
      <sheetName val="[Spt-BH.xls][Spt-BH_xls]_S_1535"/>
      <sheetName val="[Spt-BH.xls][Spt-BH_xls]B__4645"/>
      <sheetName val="[Spt-BH.xls][Spt-BH_xls]B__4646"/>
      <sheetName val="[Spt-BH.xls][Spt-BH_xls]_S_1536"/>
      <sheetName val="[Spt-BH.xls][Spt-BH.xls]_S_1710"/>
      <sheetName val="[Spt-BH.xls][Spt-BH.xls]_S_1709"/>
      <sheetName val="[Spt-BH.xls][Spt-BH_xls]B__4662"/>
      <sheetName val="[Spt-BH.xls][Spt-BH_xls]B__4663"/>
      <sheetName val="[Spt-BH.xls][Spt-BH_xls]B__4664"/>
      <sheetName val="[Spt-BH.xls][Spt-BH_xls]B__4665"/>
      <sheetName val="[Spt-BH.xls][Spt-BH_xls]_S_1542"/>
      <sheetName val="[Spt-BH.xls][Spt-BH_xls]B__4666"/>
      <sheetName val="[Spt-BH.xls][Spt-BH_xls]B__4667"/>
      <sheetName val="[Spt-BH.xls][Spt-BH_xls]B__4668"/>
      <sheetName val="[Spt-BH.xls][Spt-BH_xls]_S_1543"/>
      <sheetName val="[Spt-BH.xls][Spt-BH_xls]B__4669"/>
      <sheetName val="[Spt-BH.xls][Spt-BH_xls]B__4670"/>
      <sheetName val="[Spt-BH.xls][Spt-BH_xls]B__4671"/>
      <sheetName val="[Spt-BH.xls][Spt-BH_xls]B__4672"/>
      <sheetName val="[Spt-BH.xls][Spt-BH_xls]_S_1544"/>
      <sheetName val="[Spt-BH.xls][Spt-BH_xls]B__4673"/>
      <sheetName val="[Spt-BH.xls][Spt-BH_xls]B__4674"/>
      <sheetName val="[Spt-BH.xls][Spt-BH_xls]_S_1545"/>
      <sheetName val="[Spt-BH.xls][Spt-BH_xls]B__4675"/>
      <sheetName val="[Spt-BH.xls][Spt-BH_xls]B__4676"/>
      <sheetName val="[Spt-BH.xls][Spt-BH_xls]_S_1546"/>
      <sheetName val="[Spt-BH.xls][Spt-BH_xls]B__4647"/>
      <sheetName val="[Spt-BH.xls][Spt-BH_xls]B__4648"/>
      <sheetName val="[Spt-BH.xls][Spt-BH_xls]B__4649"/>
      <sheetName val="[Spt-BH.xls][Spt-BH_xls]B__4650"/>
      <sheetName val="[Spt-BH.xls][Spt-BH_xls]_S_1537"/>
      <sheetName val="[Spt-BH.xls][Spt-BH_xls]B__4651"/>
      <sheetName val="[Spt-BH.xls][Spt-BH_xls]B__4652"/>
      <sheetName val="[Spt-BH.xls][Spt-BH_xls]B__4653"/>
      <sheetName val="[Spt-BH.xls][Spt-BH_xls]_S_1538"/>
      <sheetName val="[Spt-BH.xls][Spt-BH_xls]B__4654"/>
      <sheetName val="[Spt-BH.xls][Spt-BH_xls]B__4655"/>
      <sheetName val="[Spt-BH.xls][Spt-BH_xls]B__4656"/>
      <sheetName val="[Spt-BH.xls][Spt-BH_xls]B__4657"/>
      <sheetName val="[Spt-BH.xls][Spt-BH_xls]_S_1539"/>
      <sheetName val="[Spt-BH.xls][Spt-BH_xls]B__4658"/>
      <sheetName val="[Spt-BH.xls][Spt-BH_xls]B__4659"/>
      <sheetName val="[Spt-BH.xls][Spt-BH_xls]_S_1540"/>
      <sheetName val="[Spt-BH.xls][Spt-BH_xls]B__4660"/>
      <sheetName val="[Spt-BH.xls][Spt-BH_xls]B__4661"/>
      <sheetName val="[Spt-BH.xls][Spt-BH_xls]_S_1541"/>
      <sheetName val="[Spt-BH.xls][Spt-BH.xls]_S_1717"/>
      <sheetName val="[Spt-BH.xls][Spt-BH.xls]B__4965"/>
      <sheetName val="[Spt-BH.xls][Spt-BH.xls]B__4966"/>
      <sheetName val="[Spt-BH.xls][Spt-BH.xls]_S_1739"/>
      <sheetName val="[Spt-BH.xls][Spt-BH.xls]B__4967"/>
      <sheetName val="[Spt-BH.xls][Spt-BH.xls]B__4968"/>
      <sheetName val="[Spt-BH.xls][Spt-BH.xls]B__4969"/>
      <sheetName val="[Spt-BH.xls][Spt-BH.xls]B__4970"/>
      <sheetName val="[Spt-BH.xls][Spt-BH.xls]_S_1718"/>
      <sheetName val="[Spt-BH.xls][Spt-BH.xls]B__5025"/>
      <sheetName val="[Spt-BH.xls][Spt-BH.xls]B__5026"/>
      <sheetName val="[Spt-BH.xls][Spt-BH.xls]_S_1772"/>
      <sheetName val="[Spt-BH.xls][Spt-BH.xls]B__5027"/>
      <sheetName val="[Spt-BH.xls][Spt-BH.xls]B__5028"/>
      <sheetName val="[Spt-BH.xls]B____x005f_x0004______399"/>
      <sheetName val="[Spt-BH.xls]B___x005f_x0000__x000_393"/>
      <sheetName val="[Spt-BH.xls][Spt-BH.xls]B__5029"/>
      <sheetName val="[Spt-BH.xls][Spt-BH.xls]B__5030"/>
      <sheetName val="[Spt-BH.xls][Spt-BH.xls]B__4971"/>
      <sheetName val="[Spt-BH.xls][Spt-BH.xls]_S_1740"/>
      <sheetName val="[Spt-BH.xls][Spt-BH_xls]B__4722"/>
      <sheetName val="[Spt-BH.xls][Spt-BH_xls]B__4723"/>
      <sheetName val="[Spt-BH.xls][Spt-BH_xls]B__4724"/>
      <sheetName val="[Spt-BH.xls][Spt-BH_xls]B__4725"/>
      <sheetName val="[Spt-BH.xls][Spt-BH_xls]_S_1562"/>
      <sheetName val="[Spt-BH.xls][Spt-BH_xls]B__4726"/>
      <sheetName val="[Spt-BH.xls][Spt-BH_xls]B__4727"/>
      <sheetName val="[Spt-BH.xls][Spt-BH_xls]B__4728"/>
      <sheetName val="[Spt-BH.xls][Spt-BH_xls]_S_1563"/>
      <sheetName val="[Spt-BH.xls][Spt-BH_xls]B__4729"/>
      <sheetName val="[Spt-BH.xls][Spt-BH_xls]B__4730"/>
      <sheetName val="[Spt-BH.xls][Spt-BH_xls]B__4731"/>
      <sheetName val="[Spt-BH.xls][Spt-BH_xls]B__4732"/>
      <sheetName val="[Spt-BH.xls][Spt-BH_xls]_S_1564"/>
      <sheetName val="[Spt-BH.xls][Spt-BH_xls]B__4733"/>
      <sheetName val="[Spt-BH.xls][Spt-BH_xls]B__4734"/>
      <sheetName val="[Spt-BH.xls][Spt-BH_xls]_S_1565"/>
      <sheetName val="[Spt-BH.xls][Spt-BH_xls]B__4735"/>
      <sheetName val="[Spt-BH.xls][Spt-BH_xls]B__4736"/>
      <sheetName val="[Spt-BH.xls][Spt-BH_xls]_S_1566"/>
      <sheetName val="[Spt-BH.xls][Spt-BH.xls]_S_1713"/>
      <sheetName val="[Spt-BH.xls][Spt-BH.xls]B__4952"/>
      <sheetName val="[Spt-BH.xls][Spt-BH.xls]B__4953"/>
      <sheetName val="[Spt-BH.xls][Spt-BH.xls]B__4954"/>
      <sheetName val="[Spt-BH.xls][Spt-BH.xls]B__4955"/>
      <sheetName val="[Spt-BH.xls][Spt-BH.xls]B__4956"/>
      <sheetName val="[Spt-BH.xls][Spt-BH.xls]_S_1714"/>
      <sheetName val="[Spt-BH.xls][Spt-BH.xls]B__4957"/>
      <sheetName val="[Spt-BH.xls][Spt-BH_xls]B__4692"/>
      <sheetName val="[Spt-BH.xls][Spt-BH_xls]B__4693"/>
      <sheetName val="[Spt-BH.xls][Spt-BH_xls]B__4694"/>
      <sheetName val="[Spt-BH.xls][Spt-BH_xls]B__4695"/>
      <sheetName val="[Spt-BH.xls][Spt-BH_xls]_S_1552"/>
      <sheetName val="[Spt-BH.xls][Spt-BH_xls]B__4696"/>
      <sheetName val="[Spt-BH.xls][Spt-BH_xls]B__4697"/>
      <sheetName val="[Spt-BH.xls][Spt-BH_xls]B__4698"/>
      <sheetName val="[Spt-BH.xls][Spt-BH_xls]_S_1553"/>
      <sheetName val="[Spt-BH.xls][Spt-BH_xls]B__4699"/>
      <sheetName val="[Spt-BH.xls][Spt-BH_xls]B__4700"/>
      <sheetName val="[Spt-BH.xls][Spt-BH_xls]B__4701"/>
      <sheetName val="[Spt-BH.xls][Spt-BH_xls]B__4702"/>
      <sheetName val="[Spt-BH.xls][Spt-BH_xls]_S_1554"/>
      <sheetName val="[Spt-BH.xls][Spt-BH_xls]B__4703"/>
      <sheetName val="[Spt-BH.xls][Spt-BH_xls]B__4704"/>
      <sheetName val="[Spt-BH.xls][Spt-BH_xls]_S_1555"/>
      <sheetName val="[Spt-BH.xls][Spt-BH_xls]B__4705"/>
      <sheetName val="[Spt-BH.xls][Spt-BH_xls]B__4706"/>
      <sheetName val="[Spt-BH.xls][Spt-BH_xls]_S_1556"/>
      <sheetName val="[Spt-BH.xls][Spt-BH.xls]_S_1711"/>
      <sheetName val="[Spt-BH.xls][Spt-BH.xls]_S_1712"/>
      <sheetName val="[Spt-BH.xls][Spt-BH_xls]B__4677"/>
      <sheetName val="[Spt-BH.xls][Spt-BH_xls]B__4678"/>
      <sheetName val="[Spt-BH.xls][Spt-BH_xls]B__4679"/>
      <sheetName val="[Spt-BH.xls][Spt-BH_xls]B__4680"/>
      <sheetName val="[Spt-BH.xls][Spt-BH_xls]_S_1547"/>
      <sheetName val="[Spt-BH.xls][Spt-BH_xls]B__4681"/>
      <sheetName val="[Spt-BH.xls][Spt-BH_xls]B__4682"/>
      <sheetName val="[Spt-BH.xls][Spt-BH_xls]B__4683"/>
      <sheetName val="[Spt-BH.xls][Spt-BH_xls]_S_1548"/>
      <sheetName val="[Spt-BH.xls][Spt-BH_xls]B__4684"/>
      <sheetName val="[Spt-BH.xls][Spt-BH_xls]B__4685"/>
      <sheetName val="[Spt-BH.xls][Spt-BH_xls]B__4686"/>
      <sheetName val="[Spt-BH.xls][Spt-BH_xls]B__4687"/>
      <sheetName val="[Spt-BH.xls][Spt-BH_xls]_S_1549"/>
      <sheetName val="[Spt-BH.xls][Spt-BH_xls]B__4688"/>
      <sheetName val="[Spt-BH.xls][Spt-BH_xls]B__4689"/>
      <sheetName val="[Spt-BH.xls][Spt-BH_xls]_S_1550"/>
      <sheetName val="[Spt-BH.xls][Spt-BH_xls]B__4690"/>
      <sheetName val="[Spt-BH.xls][Spt-BH_xls]B__4691"/>
      <sheetName val="[Spt-BH.xls][Spt-BH_xls]_S_1551"/>
      <sheetName val="[Spt-BH.xls][Spt-BH.xls]_S_1715"/>
      <sheetName val="[Spt-BH.xls][Spt-BH.xls]B__4958"/>
      <sheetName val="[Spt-BH.xls][Spt-BH.xls]B__4959"/>
      <sheetName val="[Spt-BH.xls][Spt-BH.xls]B__4960"/>
      <sheetName val="[Spt-BH.xls][Spt-BH.xls]B__4961"/>
      <sheetName val="[Spt-BH.xls][Spt-BH.xls]B__4962"/>
      <sheetName val="[Spt-BH.xls][Spt-BH.xls]B__4963"/>
      <sheetName val="[Spt-BH.xls][Spt-BH.xls]_S_1716"/>
      <sheetName val="[Spt-BH.xls]B____x005f_x0004______398"/>
      <sheetName val="[Spt-BH.xls]B___x005f_x0000__x000_392"/>
      <sheetName val="[Spt-BH.xls][Spt-BH.xls]B__4964"/>
      <sheetName val="[Spt-BH.xls][Spt-BH_xls]B__4707"/>
      <sheetName val="[Spt-BH.xls][Spt-BH_xls]B__4708"/>
      <sheetName val="[Spt-BH.xls][Spt-BH_xls]B__4709"/>
      <sheetName val="[Spt-BH.xls][Spt-BH_xls]B__4710"/>
      <sheetName val="[Spt-BH.xls][Spt-BH_xls]_S_1557"/>
      <sheetName val="[Spt-BH.xls][Spt-BH_xls]B__4711"/>
      <sheetName val="[Spt-BH.xls][Spt-BH_xls]B__4712"/>
      <sheetName val="[Spt-BH.xls][Spt-BH_xls]B__4713"/>
      <sheetName val="[Spt-BH.xls][Spt-BH_xls]_S_1558"/>
      <sheetName val="[Spt-BH.xls][Spt-BH_xls]B__4714"/>
      <sheetName val="[Spt-BH.xls][Spt-BH_xls]B__4715"/>
      <sheetName val="[Spt-BH.xls][Spt-BH_xls]B__4716"/>
      <sheetName val="[Spt-BH.xls][Spt-BH_xls]B__4717"/>
      <sheetName val="[Spt-BH.xls][Spt-BH_xls]_S_1559"/>
      <sheetName val="[Spt-BH.xls][Spt-BH_xls]B__4718"/>
      <sheetName val="[Spt-BH.xls][Spt-BH_xls]B__4719"/>
      <sheetName val="[Spt-BH.xls][Spt-BH_xls]_S_1560"/>
      <sheetName val="[Spt-BH.xls][Spt-BH_xls]B__4720"/>
      <sheetName val="[Spt-BH.xls][Spt-BH_xls]B__4721"/>
      <sheetName val="[Spt-BH.xls][Spt-BH_xls]_S_1561"/>
      <sheetName val="[Spt-BH.xls][Spt-BH.xls]B__5121"/>
      <sheetName val="[Spt-BH.xls][Spt-BH.xls]B__5122"/>
      <sheetName val="[Spt-BH.xls][Spt-BH.xls]_S_1776"/>
      <sheetName val="[Spt-BH.xls][Spt-BH.xls]B__5123"/>
      <sheetName val="[Spt-BH.xls][Spt-BH.xls]B__5124"/>
      <sheetName val="[Spt-BH.xls]B____x005f_x0004______405"/>
      <sheetName val="[Spt-BH.xls]B___x005f_x0000__x000_399"/>
      <sheetName val="[Spt-BH.xls][Spt-BH.xls]B__5125"/>
      <sheetName val="[Spt-BH.xls][Spt-BH.xls]B__5126"/>
      <sheetName val="[Spt-BH.xls][Spt-BH.xls]B__5031"/>
      <sheetName val="[Spt-BH.xls][Spt-BH.xls]_S_1773"/>
      <sheetName val="[Spt-BH.xls][Spt-BH_xls]B__4812"/>
      <sheetName val="[Spt-BH.xls][Spt-BH_xls]B__4813"/>
      <sheetName val="[Spt-BH.xls][Spt-BH_xls]B__4814"/>
      <sheetName val="[Spt-BH.xls][Spt-BH_xls]B__4815"/>
      <sheetName val="[Spt-BH.xls][Spt-BH_xls]_S_1592"/>
      <sheetName val="[Spt-BH.xls][Spt-BH_xls]B__4816"/>
      <sheetName val="[Spt-BH.xls][Spt-BH_xls]B__4817"/>
      <sheetName val="[Spt-BH.xls][Spt-BH_xls]B__4818"/>
      <sheetName val="[Spt-BH.xls][Spt-BH_xls]_S_1593"/>
      <sheetName val="[Spt-BH.xls][Spt-BH_xls]B__4819"/>
      <sheetName val="[Spt-BH.xls][Spt-BH_xls]B__4820"/>
      <sheetName val="[Spt-BH.xls][Spt-BH_xls]B__4821"/>
      <sheetName val="[Spt-BH.xls][Spt-BH_xls]B__4822"/>
      <sheetName val="[Spt-BH.xls][Spt-BH_xls]_S_1594"/>
      <sheetName val="[Spt-BH.xls][Spt-BH_xls]B__4823"/>
      <sheetName val="[Spt-BH.xls][Spt-BH_xls]B__4824"/>
      <sheetName val="[Spt-BH.xls][Spt-BH_xls]_S_1595"/>
      <sheetName val="[Spt-BH.xls][Spt-BH_xls]B__4825"/>
      <sheetName val="[Spt-BH.xls][Spt-BH_xls]B__4826"/>
      <sheetName val="[Spt-BH.xls][Spt-BH_xls]_S_1596"/>
      <sheetName val="[Spt-BH.xls][Spt-BH.xls]_S_1719"/>
      <sheetName val="[Spt-BH.xls][Spt-BH.xls]B__4972"/>
      <sheetName val="[Spt-BH.xls][Spt-BH.xls]B__4973"/>
      <sheetName val="[Spt-BH.xls][Spt-BH.xls]_S_1721"/>
      <sheetName val="[Spt-BH.xls][Spt-BH.xls]B__4974"/>
      <sheetName val="[Spt-BH.xls][Spt-BH.xls]B__4975"/>
      <sheetName val="[Spt-BH.xls][Spt-BH.xls]B__4976"/>
      <sheetName val="[Spt-BH.xls][Spt-BH.xls]B__4977"/>
      <sheetName val="[Spt-BH.xls][Spt-BH.xls]_S_1720"/>
      <sheetName val="[Spt-BH.xls][Spt-BH.xls]B__4979"/>
      <sheetName val="[Spt-BH.xls][Spt-BH.xls]B__4980"/>
      <sheetName val="[Spt-BH.xls][Spt-BH.xls]_S_1723"/>
      <sheetName val="[Spt-BH.xls][Spt-BH.xls]B__4981"/>
      <sheetName val="[Spt-BH.xls][Spt-BH.xls]B__4982"/>
      <sheetName val="[Spt-BH.xls]B____x005f_x0004______400"/>
      <sheetName val="[Spt-BH.xls]B___x005f_x0000__x000_394"/>
      <sheetName val="[Spt-BH.xls][Spt-BH.xls]B__4983"/>
      <sheetName val="[Spt-BH.xls][Spt-BH.xls]B__4984"/>
      <sheetName val="[Spt-BH.xls][Spt-BH.xls]B__4978"/>
      <sheetName val="[Spt-BH.xls][Spt-BH.xls]_S_1722"/>
      <sheetName val="[Spt-BH.xls][Spt-BH_xls]B__4737"/>
      <sheetName val="[Spt-BH.xls][Spt-BH_xls]B__4738"/>
      <sheetName val="[Spt-BH.xls][Spt-BH_xls]B__4739"/>
      <sheetName val="[Spt-BH.xls][Spt-BH_xls]B__4740"/>
      <sheetName val="[Spt-BH.xls][Spt-BH_xls]_S_1567"/>
      <sheetName val="[Spt-BH.xls][Spt-BH_xls]B__4741"/>
      <sheetName val="[Spt-BH.xls][Spt-BH_xls]B__4742"/>
      <sheetName val="[Spt-BH.xls][Spt-BH_xls]B__4743"/>
      <sheetName val="[Spt-BH.xls][Spt-BH_xls]_S_1568"/>
      <sheetName val="[Spt-BH.xls][Spt-BH_xls]B__4744"/>
      <sheetName val="[Spt-BH.xls][Spt-BH_xls]B__4745"/>
      <sheetName val="[Spt-BH.xls][Spt-BH_xls]B__4746"/>
      <sheetName val="[Spt-BH.xls][Spt-BH_xls]B__4747"/>
      <sheetName val="[Spt-BH.xls][Spt-BH_xls]_S_1569"/>
      <sheetName val="[Spt-BH.xls][Spt-BH_xls]B__4748"/>
      <sheetName val="[Spt-BH.xls][Spt-BH_xls]B__4749"/>
      <sheetName val="[Spt-BH.xls][Spt-BH_xls]_S_1570"/>
      <sheetName val="[Spt-BH.xls][Spt-BH_xls]B__4750"/>
      <sheetName val="[Spt-BH.xls][Spt-BH_xls]B__4751"/>
      <sheetName val="[Spt-BH.xls][Spt-BH_xls]_S_1571"/>
      <sheetName val="[Spt-BH.xls][Spt-BH.xls]B__4986"/>
      <sheetName val="[Spt-BH.xls][Spt-BH.xls]B__4987"/>
      <sheetName val="[Spt-BH.xls][Spt-BH.xls]_S_1725"/>
      <sheetName val="[Spt-BH.xls][Spt-BH.xls]B__4988"/>
      <sheetName val="[Spt-BH.xls][Spt-BH.xls]B__4989"/>
      <sheetName val="[Spt-BH.xls]B____x005f_x0004______401"/>
      <sheetName val="[Spt-BH.xls]B___x005f_x0000__x000_395"/>
      <sheetName val="[Spt-BH.xls][Spt-BH.xls]B__4990"/>
      <sheetName val="[Spt-BH.xls][Spt-BH.xls]B__4991"/>
      <sheetName val="[Spt-BH.xls][Spt-BH.xls]B__4985"/>
      <sheetName val="[Spt-BH.xls][Spt-BH.xls]_S_1724"/>
      <sheetName val="[Spt-BH.xls][Spt-BH_xls]B__4752"/>
      <sheetName val="[Spt-BH.xls][Spt-BH_xls]B__4753"/>
      <sheetName val="[Spt-BH.xls][Spt-BH_xls]B__4754"/>
      <sheetName val="[Spt-BH.xls][Spt-BH_xls]B__4755"/>
      <sheetName val="[Spt-BH.xls][Spt-BH_xls]_S_1572"/>
      <sheetName val="[Spt-BH.xls][Spt-BH_xls]B__4756"/>
      <sheetName val="[Spt-BH.xls][Spt-BH_xls]B__4757"/>
      <sheetName val="[Spt-BH.xls][Spt-BH_xls]B__4758"/>
      <sheetName val="[Spt-BH.xls][Spt-BH_xls]_S_1573"/>
      <sheetName val="[Spt-BH.xls][Spt-BH_xls]B__4759"/>
      <sheetName val="[Spt-BH.xls][Spt-BH_xls]B__4760"/>
      <sheetName val="[Spt-BH.xls][Spt-BH_xls]B__4761"/>
      <sheetName val="[Spt-BH.xls][Spt-BH_xls]B__4762"/>
      <sheetName val="[Spt-BH.xls][Spt-BH_xls]_S_1574"/>
      <sheetName val="[Spt-BH.xls][Spt-BH_xls]B__4763"/>
      <sheetName val="[Spt-BH.xls][Spt-BH_xls]B__4764"/>
      <sheetName val="[Spt-BH.xls][Spt-BH_xls]_S_1575"/>
      <sheetName val="[Spt-BH.xls][Spt-BH_xls]B__4765"/>
      <sheetName val="[Spt-BH.xls][Spt-BH_xls]B__4766"/>
      <sheetName val="[Spt-BH.xls][Spt-BH_xls]_S_1576"/>
      <sheetName val="[Spt-BH.xls][Spt-BH.xls]_S_1726"/>
      <sheetName val="[Spt-BH.xls][Spt-BH.xls]B__4992"/>
      <sheetName val="[Spt-BH.xls][Spt-BH.xls]B__4993"/>
      <sheetName val="[Spt-BH.xls][Spt-BH.xls]_S_1730"/>
      <sheetName val="[Spt-BH.xls][Spt-BH.xls]B__4994"/>
      <sheetName val="[Spt-BH.xls][Spt-BH.xls]B__4995"/>
      <sheetName val="[Spt-BH.xls][Spt-BH.xls]B__4996"/>
      <sheetName val="[Spt-BH.xls][Spt-BH.xls]B__4997"/>
      <sheetName val="[Spt-BH.xls][Spt-BH.xls]_S_1727"/>
      <sheetName val="[Spt-BH.xls][Spt-BH.xls]B__5006"/>
      <sheetName val="[Spt-BH.xls][Spt-BH.xls]B__5007"/>
      <sheetName val="[Spt-BH.xls][Spt-BH.xls]_S_1732"/>
      <sheetName val="[Spt-BH.xls][Spt-BH.xls]B__5008"/>
      <sheetName val="[Spt-BH.xls][Spt-BH.xls]B__5009"/>
      <sheetName val="[Spt-BH.xls]B____x005f_x0004______402"/>
      <sheetName val="[Spt-BH.xls]B___x005f_x0000__x000_396"/>
      <sheetName val="[Spt-BH.xls][Spt-BH.xls]B__5010"/>
      <sheetName val="[Spt-BH.xls][Spt-BH.xls]B__5011"/>
      <sheetName val="[Spt-BH.xls][Spt-BH.xls]B__4998"/>
      <sheetName val="[Spt-BH.xls][Spt-BH.xls]_S_1731"/>
      <sheetName val="[Spt-BH.xls][Spt-BH_xls]B__4767"/>
      <sheetName val="[Spt-BH.xls][Spt-BH_xls]B__4768"/>
      <sheetName val="[Spt-BH.xls][Spt-BH_xls]B__4769"/>
      <sheetName val="[Spt-BH.xls][Spt-BH_xls]B__4770"/>
      <sheetName val="[Spt-BH.xls][Spt-BH_xls]_S_1577"/>
      <sheetName val="[Spt-BH.xls][Spt-BH_xls]B__4771"/>
      <sheetName val="[Spt-BH.xls][Spt-BH_xls]B__4772"/>
      <sheetName val="[Spt-BH.xls][Spt-BH_xls]B__4773"/>
      <sheetName val="[Spt-BH.xls][Spt-BH_xls]_S_1578"/>
      <sheetName val="[Spt-BH.xls][Spt-BH_xls]B__4774"/>
      <sheetName val="[Spt-BH.xls][Spt-BH_xls]B__4775"/>
      <sheetName val="[Spt-BH.xls][Spt-BH_xls]B__4776"/>
      <sheetName val="[Spt-BH.xls][Spt-BH_xls]B__4777"/>
      <sheetName val="[Spt-BH.xls][Spt-BH_xls]_S_1579"/>
      <sheetName val="[Spt-BH.xls][Spt-BH_xls]B__4778"/>
      <sheetName val="[Spt-BH.xls][Spt-BH_xls]B__4779"/>
      <sheetName val="[Spt-BH.xls][Spt-BH_xls]_S_1580"/>
      <sheetName val="[Spt-BH.xls][Spt-BH_xls]B__4780"/>
      <sheetName val="[Spt-BH.xls][Spt-BH_xls]B__4781"/>
      <sheetName val="[Spt-BH.xls][Spt-BH_xls]_S_1581"/>
      <sheetName val="[Spt-BH.xls][Spt-BH.xls]B__5000"/>
      <sheetName val="[Spt-BH.xls][Spt-BH.xls]B__5001"/>
      <sheetName val="[Spt-BH.xls][Spt-BH.xls]_S_1729"/>
      <sheetName val="[Spt-BH.xls][Spt-BH.xls]B__5002"/>
      <sheetName val="[Spt-BH.xls][Spt-BH.xls]B__5003"/>
      <sheetName val="[Spt-BH.xls]B____x005f_x0004______403"/>
      <sheetName val="[Spt-BH.xls]B___x005f_x0000__x000_397"/>
      <sheetName val="[Spt-BH.xls][Spt-BH.xls]B__5004"/>
      <sheetName val="[Spt-BH.xls][Spt-BH.xls]B__5005"/>
      <sheetName val="[Spt-BH.xls][Spt-BH.xls]B__4999"/>
      <sheetName val="[Spt-BH.xls][Spt-BH.xls]_S_1728"/>
      <sheetName val="[Spt-BH.xls][Spt-BH_xls]B__4782"/>
      <sheetName val="[Spt-BH.xls][Spt-BH_xls]B__4783"/>
      <sheetName val="[Spt-BH.xls][Spt-BH_xls]B__4784"/>
      <sheetName val="[Spt-BH.xls][Spt-BH_xls]B__4785"/>
      <sheetName val="[Spt-BH.xls][Spt-BH_xls]_S_1582"/>
      <sheetName val="[Spt-BH.xls][Spt-BH_xls]B__4786"/>
      <sheetName val="[Spt-BH.xls][Spt-BH_xls]B__4787"/>
      <sheetName val="[Spt-BH.xls][Spt-BH_xls]B__4788"/>
      <sheetName val="[Spt-BH.xls][Spt-BH_xls]_S_1583"/>
      <sheetName val="[Spt-BH.xls][Spt-BH_xls]B__4789"/>
      <sheetName val="[Spt-BH.xls][Spt-BH_xls]B__4790"/>
      <sheetName val="[Spt-BH.xls][Spt-BH_xls]B__4791"/>
      <sheetName val="[Spt-BH.xls][Spt-BH_xls]B__4792"/>
      <sheetName val="[Spt-BH.xls][Spt-BH_xls]_S_1584"/>
      <sheetName val="[Spt-BH.xls][Spt-BH_xls]B__4793"/>
      <sheetName val="[Spt-BH.xls][Spt-BH_xls]B__4794"/>
      <sheetName val="[Spt-BH.xls][Spt-BH_xls]_S_1585"/>
      <sheetName val="[Spt-BH.xls][Spt-BH_xls]B__4795"/>
      <sheetName val="[Spt-BH.xls][Spt-BH_xls]B__4796"/>
      <sheetName val="[Spt-BH.xls][Spt-BH_xls]_S_1586"/>
      <sheetName val="[Spt-BH.xls][Spt-BH.xls]_S_1733"/>
      <sheetName val="[Spt-BH.xls][Spt-BH.xls]_S_1734"/>
      <sheetName val="[Spt-BH.xls][Spt-BH.xls]B__5012"/>
      <sheetName val="[Spt-BH.xls][Spt-BH.xls]B__5013"/>
      <sheetName val="[Spt-BH.xls][Spt-BH.xls]_S_1736"/>
      <sheetName val="[Spt-BH.xls][Spt-BH.xls]B__5014"/>
      <sheetName val="[Spt-BH.xls][Spt-BH.xls]B__5015"/>
      <sheetName val="[Spt-BH.xls][Spt-BH.xls]B__5016"/>
      <sheetName val="[Spt-BH.xls][Spt-BH.xls]B__5017"/>
      <sheetName val="[Spt-BH.xls][Spt-BH.xls]_S_1735"/>
      <sheetName val="[Spt-BH.xls][Spt-BH.xls]B__5019"/>
      <sheetName val="[Spt-BH.xls][Spt-BH.xls]B__5020"/>
      <sheetName val="[Spt-BH.xls][Spt-BH.xls]_S_1738"/>
      <sheetName val="[Spt-BH.xls][Spt-BH.xls]B__5021"/>
      <sheetName val="[Spt-BH.xls][Spt-BH.xls]B__5022"/>
      <sheetName val="[Spt-BH.xls]B____x005f_x0004______404"/>
      <sheetName val="[Spt-BH.xls]B___x005f_x0000__x000_398"/>
      <sheetName val="[Spt-BH.xls][Spt-BH.xls]B__5023"/>
      <sheetName val="[Spt-BH.xls][Spt-BH.xls]B__5024"/>
      <sheetName val="[Spt-BH.xls][Spt-BH.xls]B__5018"/>
      <sheetName val="[Spt-BH.xls][Spt-BH.xls]_S_1737"/>
      <sheetName val="[Spt-BH.xls][Spt-BH_xls]B__4797"/>
      <sheetName val="[Spt-BH.xls][Spt-BH_xls]B__4798"/>
      <sheetName val="[Spt-BH.xls][Spt-BH_xls]B__4799"/>
      <sheetName val="[Spt-BH.xls][Spt-BH_xls]B__4800"/>
      <sheetName val="[Spt-BH.xls][Spt-BH_xls]_S_1587"/>
      <sheetName val="[Spt-BH.xls][Spt-BH_xls]B__4801"/>
      <sheetName val="[Spt-BH.xls][Spt-BH_xls]B__4802"/>
      <sheetName val="[Spt-BH.xls][Spt-BH_xls]B__4803"/>
      <sheetName val="[Spt-BH.xls][Spt-BH_xls]_S_1588"/>
      <sheetName val="[Spt-BH.xls][Spt-BH_xls]B__4804"/>
      <sheetName val="[Spt-BH.xls][Spt-BH_xls]B__4805"/>
      <sheetName val="[Spt-BH.xls][Spt-BH_xls]B__4806"/>
      <sheetName val="[Spt-BH.xls][Spt-BH_xls]B__4807"/>
      <sheetName val="[Spt-BH.xls][Spt-BH_xls]_S_1589"/>
      <sheetName val="[Spt-BH.xls][Spt-BH_xls]B__4808"/>
      <sheetName val="[Spt-BH.xls][Spt-BH_xls]B__4809"/>
      <sheetName val="[Spt-BH.xls][Spt-BH_xls]_S_1590"/>
      <sheetName val="[Spt-BH.xls][Spt-BH_xls]B__4810"/>
      <sheetName val="[Spt-BH.xls][Spt-BH_xls]B__4811"/>
      <sheetName val="[Spt-BH.xls][Spt-BH_xls]_S_1591"/>
      <sheetName val="[Spt-BH.xls][Spt-BH.xls]B__5135"/>
      <sheetName val="[Spt-BH.xls][Spt-BH.xls]B__5136"/>
      <sheetName val="[Spt-BH.xls][Spt-BH.xls]_S_1778"/>
      <sheetName val="[Spt-BH.xls][Spt-BH.xls]B__5137"/>
      <sheetName val="[Spt-BH.xls][Spt-BH.xls]B__5138"/>
      <sheetName val="[Spt-BH.xls]B____x005f_x0004______411"/>
      <sheetName val="[Spt-BH.xls]B___x005f_x0000__x000_405"/>
      <sheetName val="[Spt-BH.xls][Spt-BH.xls]B__5139"/>
      <sheetName val="[Spt-BH.xls][Spt-BH.xls]B__5140"/>
      <sheetName val="[Spt-BH.xls][Spt-BH.xls]B__5127"/>
      <sheetName val="[Spt-BH.xls][Spt-BH.xls]_S_1777"/>
      <sheetName val="[Spt-BH.xls][Spt-BH_xls]B__4902"/>
      <sheetName val="[Spt-BH.xls][Spt-BH_xls]B__4903"/>
      <sheetName val="[Spt-BH.xls][Spt-BH_xls]B__4904"/>
      <sheetName val="[Spt-BH.xls][Spt-BH_xls]B__4905"/>
      <sheetName val="[Spt-BH.xls][Spt-BH_xls]_S_1622"/>
      <sheetName val="[Spt-BH.xls][Spt-BH_xls]B__4906"/>
      <sheetName val="[Spt-BH.xls][Spt-BH_xls]B__4907"/>
      <sheetName val="[Spt-BH.xls][Spt-BH_xls]B__4908"/>
      <sheetName val="[Spt-BH.xls][Spt-BH_xls]_S_1623"/>
      <sheetName val="[Spt-BH.xls][Spt-BH_xls]B__4909"/>
      <sheetName val="[Spt-BH.xls][Spt-BH_xls]B__4910"/>
      <sheetName val="[Spt-BH.xls][Spt-BH_xls]B__4911"/>
      <sheetName val="[Spt-BH.xls][Spt-BH_xls]B__4912"/>
      <sheetName val="[Spt-BH.xls][Spt-BH_xls]_S_1624"/>
      <sheetName val="[Spt-BH.xls][Spt-BH_xls]B__4913"/>
      <sheetName val="[Spt-BH.xls][Spt-BH_xls]B__4914"/>
      <sheetName val="[Spt-BH.xls][Spt-BH_xls]_S_1625"/>
      <sheetName val="[Spt-BH.xls][Spt-BH_xls]B__4915"/>
      <sheetName val="[Spt-BH.xls][Spt-BH_xls]B__4916"/>
      <sheetName val="[Spt-BH.xls][Spt-BH_xls]_S_1626"/>
      <sheetName val="[Spt-BH.xls][Spt-BH.xls]_S_1741"/>
      <sheetName val="[Spt-BH.xls][Spt-BH.xls]_S_1742"/>
      <sheetName val="[Spt-BH.xls][Spt-BH.xls]B__5032"/>
      <sheetName val="[Spt-BH.xls][Spt-BH.xls]B__5033"/>
      <sheetName val="[Spt-BH.xls][Spt-BH.xls]_S_1744"/>
      <sheetName val="[Spt-BH.xls][Spt-BH.xls]B__5034"/>
      <sheetName val="[Spt-BH.xls][Spt-BH.xls]B__5035"/>
      <sheetName val="[Spt-BH.xls][Spt-BH.xls]B__5036"/>
      <sheetName val="[Spt-BH.xls][Spt-BH.xls]B__5037"/>
      <sheetName val="[Spt-BH.xls][Spt-BH.xls]_S_1743"/>
      <sheetName val="[Spt-BH.xls][Spt-BH.xls]B__5039"/>
      <sheetName val="[Spt-BH.xls][Spt-BH.xls]B__5040"/>
      <sheetName val="[Spt-BH.xls][Spt-BH.xls]_S_1746"/>
      <sheetName val="[Spt-BH.xls][Spt-BH.xls]B__5041"/>
      <sheetName val="[Spt-BH.xls][Spt-BH.xls]B__5042"/>
      <sheetName val="[Spt-BH.xls]B____x005f_x0004______406"/>
      <sheetName val="[Spt-BH.xls]B___x005f_x0000__x000_400"/>
      <sheetName val="[Spt-BH.xls][Spt-BH.xls]B__5043"/>
      <sheetName val="[Spt-BH.xls][Spt-BH.xls]B__5044"/>
      <sheetName val="[Spt-BH.xls][Spt-BH.xls]B__5038"/>
      <sheetName val="[Spt-BH.xls][Spt-BH.xls]_S_1745"/>
      <sheetName val="[Spt-BH.xls][Spt-BH_xls]B__4827"/>
      <sheetName val="[Spt-BH.xls][Spt-BH_xls]B__4828"/>
      <sheetName val="[Spt-BH.xls][Spt-BH_xls]B__4829"/>
      <sheetName val="[Spt-BH.xls][Spt-BH_xls]B__4830"/>
      <sheetName val="[Spt-BH.xls][Spt-BH_xls]_S_1597"/>
      <sheetName val="[Spt-BH.xls][Spt-BH_xls]B__4831"/>
      <sheetName val="[Spt-BH.xls][Spt-BH_xls]B__4832"/>
      <sheetName val="[Spt-BH.xls][Spt-BH_xls]B__4833"/>
      <sheetName val="[Spt-BH.xls][Spt-BH_xls]_S_1598"/>
      <sheetName val="[Spt-BH.xls][Spt-BH_xls]B__4834"/>
      <sheetName val="[Spt-BH.xls][Spt-BH_xls]B__4835"/>
      <sheetName val="[Spt-BH.xls][Spt-BH_xls]B__4836"/>
      <sheetName val="[Spt-BH.xls][Spt-BH_xls]B__4837"/>
      <sheetName val="[Spt-BH.xls][Spt-BH_xls]_S_1599"/>
      <sheetName val="[Spt-BH.xls][Spt-BH_xls]B__4838"/>
      <sheetName val="[Spt-BH.xls][Spt-BH_xls]B__4839"/>
      <sheetName val="[Spt-BH.xls][Spt-BH_xls]_S_1600"/>
      <sheetName val="[Spt-BH.xls][Spt-BH_xls]B__4840"/>
      <sheetName val="[Spt-BH.xls][Spt-BH_xls]B__4841"/>
      <sheetName val="[Spt-BH.xls][Spt-BH_xls]_S_1601"/>
      <sheetName val="[Spt-BH.xls][Spt-BH.xls]B__5045"/>
      <sheetName val="[Spt-BH.xls][Spt-BH.xls]_S_1750"/>
      <sheetName val="[Spt-BH.xls][Spt-BH.xls]B__5046"/>
      <sheetName val="[Spt-BH.xls][Spt-BH.xls]B__5047"/>
      <sheetName val="[Spt-BH.xls][Spt-BH.xls]B__5048"/>
      <sheetName val="[Spt-BH.xls][Spt-BH.xls]B__5049"/>
      <sheetName val="[Spt-BH.xls][Spt-BH.xls]B__5063"/>
      <sheetName val="[Spt-BH.xls][Spt-BH.xls]B__5064"/>
      <sheetName val="[Spt-BH.xls][Spt-BH.xls]_S_1752"/>
      <sheetName val="[Spt-BH.xls][Spt-BH.xls]B__5065"/>
      <sheetName val="[Spt-BH.xls][Spt-BH.xls]B__5066"/>
      <sheetName val="[Spt-BH.xls][Spt-BH.xls]B__5067"/>
      <sheetName val="[Spt-BH.xls][Spt-BH.xls]B__5068"/>
      <sheetName val="[Spt-BH.xls][Spt-BH.xls]_S_1751"/>
      <sheetName val="[Spt-BH.xls][Spt-BH.xls]B__5070"/>
      <sheetName val="[Spt-BH.xls][Spt-BH.xls]B__5071"/>
      <sheetName val="[Spt-BH.xls][Spt-BH.xls]_S_1754"/>
      <sheetName val="[Spt-BH.xls][Spt-BH.xls]B__5072"/>
      <sheetName val="[Spt-BH.xls][Spt-BH.xls]B__5073"/>
      <sheetName val="[Spt-BH.xls]B____x005f_x0004______407"/>
      <sheetName val="[Spt-BH.xls]B___x005f_x0000__x000_401"/>
      <sheetName val="[Spt-BH.xls][Spt-BH.xls]B__5074"/>
      <sheetName val="[Spt-BH.xls][Spt-BH.xls]B__5075"/>
      <sheetName val="[Spt-BH.xls][Spt-BH.xls]B__5069"/>
      <sheetName val="[Spt-BH.xls][Spt-BH.xls]_S_1753"/>
      <sheetName val="[Spt-BH.xls][Spt-BH_xls]B__4842"/>
      <sheetName val="[Spt-BH.xls][Spt-BH_xls]B__4843"/>
      <sheetName val="[Spt-BH.xls][Spt-BH_xls]B__4844"/>
      <sheetName val="[Spt-BH.xls][Spt-BH_xls]B__4845"/>
      <sheetName val="[Spt-BH.xls][Spt-BH_xls]_S_1602"/>
      <sheetName val="[Spt-BH.xls][Spt-BH_xls]B__4846"/>
      <sheetName val="[Spt-BH.xls][Spt-BH_xls]B__4847"/>
      <sheetName val="[Spt-BH.xls][Spt-BH_xls]B__4848"/>
      <sheetName val="[Spt-BH.xls][Spt-BH_xls]_S_1603"/>
      <sheetName val="[Spt-BH.xls][Spt-BH_xls]B__4849"/>
      <sheetName val="[Spt-BH.xls][Spt-BH_xls]B__4850"/>
      <sheetName val="[Spt-BH.xls][Spt-BH_xls]B__4851"/>
      <sheetName val="[Spt-BH.xls][Spt-BH_xls]B__4852"/>
      <sheetName val="[Spt-BH.xls][Spt-BH_xls]_S_1604"/>
      <sheetName val="[Spt-BH.xls][Spt-BH_xls]B__4853"/>
      <sheetName val="[Spt-BH.xls][Spt-BH_xls]B__4854"/>
      <sheetName val="[Spt-BH.xls][Spt-BH_xls]_S_1605"/>
      <sheetName val="[Spt-BH.xls][Spt-BH_xls]B__4855"/>
      <sheetName val="[Spt-BH.xls][Spt-BH_xls]B__4856"/>
      <sheetName val="[Spt-BH.xls][Spt-BH_xls]_S_1606"/>
      <sheetName val="[Spt-BH.xls][Spt-BH.xls]B__5050"/>
      <sheetName val="[Spt-BH.xls][Spt-BH.xls]B__5051"/>
      <sheetName val="[Spt-BH.xls][Spt-BH.xls]B__5052"/>
      <sheetName val="[Spt-BH.xls][Spt-BH.xls]B__5053"/>
      <sheetName val="[Spt-BH.xls][Spt-BH.xls]B__5054"/>
      <sheetName val="[Spt-BH.xls][Spt-BH.xls]B__5055"/>
      <sheetName val="[Spt-BH.xls][Spt-BH.xls]_S_1747"/>
      <sheetName val="[Spt-BH.xls][Spt-BH.xls]_S_1748"/>
      <sheetName val="[Spt-BH.xls][Spt-BH.xls]B__5056"/>
      <sheetName val="[Spt-BH.xls][Spt-BH.xls]B__5057"/>
      <sheetName val="[Spt-BH.xls][Spt-BH.xls]B__5058"/>
      <sheetName val="[Spt-BH.xls][Spt-BH.xls]B__5059"/>
      <sheetName val="[Spt-BH.xls][Spt-BH.xls]B__5060"/>
      <sheetName val="[Spt-BH.xls][Spt-BH.xls]B__5061"/>
      <sheetName val="[Spt-BH.xls][Spt-BH.xls]_S_1749"/>
      <sheetName val="[Spt-BH.xls][Spt-BH.xls]B__5062"/>
      <sheetName val="[Spt-BH.xls][Spt-BH.xls]_S_1755"/>
      <sheetName val="[Spt-BH.xls][Spt-BH.xls]B__5076"/>
      <sheetName val="[Spt-BH.xls][Spt-BH.xls]B__5077"/>
      <sheetName val="[Spt-BH.xls][Spt-BH.xls]_S_1758"/>
      <sheetName val="[Spt-BH.xls][Spt-BH.xls]B__5078"/>
      <sheetName val="[Spt-BH.xls][Spt-BH.xls]B__5079"/>
      <sheetName val="[Spt-BH.xls][Spt-BH.xls]B__5080"/>
      <sheetName val="[Spt-BH.xls][Spt-BH.xls]B__5081"/>
      <sheetName val="[Spt-BH.xls][Spt-BH.xls]_S_1756"/>
      <sheetName val="[Spt-BH.xls][Spt-BH.xls]B__5082"/>
      <sheetName val="[Spt-BH.xls][Spt-BH.xls]B__5083"/>
      <sheetName val="[Spt-BH.xls][Spt-BH.xls]_S_1760"/>
      <sheetName val="[Spt-BH.xls][Spt-BH.xls]B__5084"/>
      <sheetName val="[Spt-BH.xls][Spt-BH.xls]B__5085"/>
      <sheetName val="[Spt-BH.xls][Spt-BH.xls]B__5086"/>
      <sheetName val="[Spt-BH.xls][Spt-BH.xls]B__5087"/>
      <sheetName val="[Spt-BH.xls][Spt-BH.xls]_S_1759"/>
      <sheetName val="[Spt-BH.xls][Spt-BH.xls]B__5089"/>
      <sheetName val="[Spt-BH.xls][Spt-BH.xls]B__5090"/>
      <sheetName val="[Spt-BH.xls][Spt-BH.xls]_S_1762"/>
      <sheetName val="[Spt-BH.xls][Spt-BH.xls]B__5091"/>
      <sheetName val="[Spt-BH.xls][Spt-BH.xls]B__5092"/>
      <sheetName val="[Spt-BH.xls]B____x005f_x0004______408"/>
      <sheetName val="[Spt-BH.xls]B___x005f_x0000__x000_402"/>
      <sheetName val="[Spt-BH.xls][Spt-BH.xls]B__5093"/>
      <sheetName val="[Spt-BH.xls][Spt-BH.xls]B__5094"/>
      <sheetName val="[Spt-BH.xls][Spt-BH.xls]B__5088"/>
      <sheetName val="[Spt-BH.xls][Spt-BH.xls]_S_1761"/>
      <sheetName val="[Spt-BH.xls][Spt-BH_xls]B__4857"/>
      <sheetName val="[Spt-BH.xls][Spt-BH_xls]B__4858"/>
      <sheetName val="[Spt-BH.xls][Spt-BH_xls]B__4859"/>
      <sheetName val="[Spt-BH.xls][Spt-BH_xls]B__4860"/>
      <sheetName val="[Spt-BH.xls][Spt-BH_xls]_S_1607"/>
      <sheetName val="[Spt-BH.xls][Spt-BH_xls]B__4861"/>
      <sheetName val="[Spt-BH.xls][Spt-BH_xls]B__4862"/>
      <sheetName val="[Spt-BH.xls][Spt-BH_xls]B__4863"/>
      <sheetName val="[Spt-BH.xls][Spt-BH_xls]_S_1608"/>
      <sheetName val="[Spt-BH.xls][Spt-BH_xls]B__4864"/>
      <sheetName val="[Spt-BH.xls][Spt-BH_xls]B__4865"/>
      <sheetName val="[Spt-BH.xls][Spt-BH_xls]B__4866"/>
      <sheetName val="[Spt-BH.xls][Spt-BH_xls]B__4867"/>
      <sheetName val="[Spt-BH.xls][Spt-BH_xls]_S_1609"/>
      <sheetName val="[Spt-BH.xls][Spt-BH_xls]B__4868"/>
      <sheetName val="[Spt-BH.xls][Spt-BH_xls]B__4869"/>
      <sheetName val="[Spt-BH.xls][Spt-BH_xls]_S_1610"/>
      <sheetName val="[Spt-BH.xls][Spt-BH_xls]B__4870"/>
      <sheetName val="[Spt-BH.xls][Spt-BH_xls]B__4871"/>
      <sheetName val="[Spt-BH.xls][Spt-BH_xls]_S_1611"/>
      <sheetName val="[Spt-BH.xls][Spt-BH.xls]_S_1757"/>
      <sheetName val="[Spt-BH.xls][Spt-BH.xls]_S_1763"/>
      <sheetName val="[Spt-BH.xls][Spt-BH.xls]B__5095"/>
      <sheetName val="[Spt-BH.xls][Spt-BH.xls]B__5096"/>
      <sheetName val="[Spt-BH.xls][Spt-BH.xls]_S_1765"/>
      <sheetName val="[Spt-BH.xls][Spt-BH.xls]B__5097"/>
      <sheetName val="[Spt-BH.xls][Spt-BH.xls]B__5098"/>
      <sheetName val="[Spt-BH.xls][Spt-BH.xls]B__5099"/>
      <sheetName val="[Spt-BH.xls][Spt-BH.xls]B__5100"/>
      <sheetName val="[Spt-BH.xls][Spt-BH.xls]_S_1764"/>
      <sheetName val="[Spt-BH.xls][Spt-BH.xls]B__5102"/>
      <sheetName val="[Spt-BH.xls][Spt-BH.xls]B__5103"/>
      <sheetName val="[Spt-BH.xls][Spt-BH.xls]_S_1767"/>
      <sheetName val="[Spt-BH.xls][Spt-BH.xls]B__5104"/>
      <sheetName val="[Spt-BH.xls][Spt-BH.xls]B__5105"/>
      <sheetName val="[Spt-BH.xls]B____x005f_x0004______409"/>
      <sheetName val="[Spt-BH.xls]B___x005f_x0000__x000_403"/>
      <sheetName val="[Spt-BH.xls][Spt-BH.xls]B__5106"/>
      <sheetName val="[Spt-BH.xls][Spt-BH.xls]B__5107"/>
      <sheetName val="[Spt-BH.xls][Spt-BH.xls]B__5101"/>
      <sheetName val="[Spt-BH.xls][Spt-BH.xls]_S_1766"/>
      <sheetName val="[Spt-BH.xls][Spt-BH_xls]B__4872"/>
      <sheetName val="[Spt-BH.xls][Spt-BH_xls]B__4873"/>
      <sheetName val="[Spt-BH.xls][Spt-BH_xls]B__4874"/>
      <sheetName val="[Spt-BH.xls][Spt-BH_xls]B__4875"/>
      <sheetName val="[Spt-BH.xls][Spt-BH_xls]_S_1612"/>
      <sheetName val="[Spt-BH.xls][Spt-BH_xls]B__4876"/>
      <sheetName val="[Spt-BH.xls][Spt-BH_xls]B__4877"/>
      <sheetName val="[Spt-BH.xls][Spt-BH_xls]B__4878"/>
      <sheetName val="[Spt-BH.xls][Spt-BH_xls]_S_1613"/>
      <sheetName val="[Spt-BH.xls][Spt-BH_xls]B__4879"/>
      <sheetName val="[Spt-BH.xls][Spt-BH_xls]B__4880"/>
      <sheetName val="[Spt-BH.xls][Spt-BH_xls]B__4881"/>
      <sheetName val="[Spt-BH.xls][Spt-BH_xls]B__4882"/>
      <sheetName val="[Spt-BH.xls][Spt-BH_xls]_S_1614"/>
      <sheetName val="[Spt-BH.xls][Spt-BH_xls]B__4883"/>
      <sheetName val="[Spt-BH.xls][Spt-BH_xls]B__4884"/>
      <sheetName val="[Spt-BH.xls][Spt-BH_xls]_S_1615"/>
      <sheetName val="[Spt-BH.xls][Spt-BH_xls]B__4885"/>
      <sheetName val="[Spt-BH.xls][Spt-BH_xls]B__4886"/>
      <sheetName val="[Spt-BH.xls][Spt-BH_xls]_S_1616"/>
      <sheetName val="[Spt-BH.xls][Spt-BH.xls]_S_1768"/>
      <sheetName val="[Spt-BH.xls][Spt-BH.xls]B__5108"/>
      <sheetName val="[Spt-BH.xls][Spt-BH.xls]B__5109"/>
      <sheetName val="[Spt-BH.xls][Spt-BH.xls]_S_1770"/>
      <sheetName val="[Spt-BH.xls][Spt-BH.xls]B__5110"/>
      <sheetName val="[Spt-BH.xls][Spt-BH.xls]B__5111"/>
      <sheetName val="[Spt-BH.xls][Spt-BH.xls]B__5112"/>
      <sheetName val="[Spt-BH.xls][Spt-BH.xls]B__5113"/>
      <sheetName val="[Spt-BH.xls][Spt-BH.xls]_S_1769"/>
      <sheetName val="[Spt-BH.xls][Spt-BH.xls]B__5115"/>
      <sheetName val="[Spt-BH.xls][Spt-BH.xls]B__5116"/>
      <sheetName val="[Spt-BH.xls][Spt-BH.xls]B__5117"/>
      <sheetName val="[Spt-BH.xls][Spt-BH.xls]B__5118"/>
      <sheetName val="[Spt-BH.xls]B____x005f_x0004______410"/>
      <sheetName val="[Spt-BH.xls]B___x005f_x0000__x000_404"/>
      <sheetName val="[Spt-BH.xls][Spt-BH.xls]B__5119"/>
      <sheetName val="[Spt-BH.xls][Spt-BH.xls]B__5120"/>
      <sheetName val="[Spt-BH.xls][Spt-BH.xls]B__5114"/>
      <sheetName val="[Spt-BH.xls][Spt-BH.xls]_S_1771"/>
      <sheetName val="[Spt-BH.xls][Spt-BH_xls]B__4887"/>
      <sheetName val="[Spt-BH.xls][Spt-BH_xls]B__4888"/>
      <sheetName val="[Spt-BH.xls][Spt-BH_xls]B__4889"/>
      <sheetName val="[Spt-BH.xls][Spt-BH_xls]B__4890"/>
      <sheetName val="[Spt-BH.xls][Spt-BH_xls]_S_1617"/>
      <sheetName val="[Spt-BH.xls][Spt-BH_xls]B__4891"/>
      <sheetName val="[Spt-BH.xls][Spt-BH_xls]B__4892"/>
      <sheetName val="[Spt-BH.xls][Spt-BH_xls]B__4893"/>
      <sheetName val="[Spt-BH.xls][Spt-BH_xls]_S_1618"/>
      <sheetName val="[Spt-BH.xls][Spt-BH_xls]B__4894"/>
      <sheetName val="[Spt-BH.xls][Spt-BH_xls]B__4895"/>
      <sheetName val="[Spt-BH.xls][Spt-BH_xls]B__4896"/>
      <sheetName val="[Spt-BH.xls][Spt-BH_xls]B__4897"/>
      <sheetName val="[Spt-BH.xls][Spt-BH_xls]_S_1619"/>
      <sheetName val="[Spt-BH.xls][Spt-BH_xls]B__4898"/>
      <sheetName val="[Spt-BH.xls][Spt-BH_xls]B__4899"/>
      <sheetName val="[Spt-BH.xls][Spt-BH_xls]_S_1620"/>
      <sheetName val="[Spt-BH.xls][Spt-BH_xls]B__4900"/>
      <sheetName val="[Spt-BH.xls][Spt-BH_xls]B__4901"/>
      <sheetName val="[Spt-BH.xls][Spt-BH_xls]_S_1621"/>
      <sheetName val="[Spt-BH.xls][Spt-BH.xls]B__5142"/>
      <sheetName val="[Spt-BH.xls][Spt-BH.xls]B__5143"/>
      <sheetName val="[Spt-BH.xls][Spt-BH.xls]_S_1780"/>
      <sheetName val="[Spt-BH.xls][Spt-BH.xls]B__5144"/>
      <sheetName val="[Spt-BH.xls][Spt-BH.xls]B__5145"/>
      <sheetName val="[Spt-BH.xls]B____x005f_x0004______413"/>
      <sheetName val="[Spt-BH.xls]B___x005f_x0000__x000_407"/>
      <sheetName val="[Spt-BH.xls][Spt-BH.xls]B__5146"/>
      <sheetName val="[Spt-BH.xls][Spt-BH.xls]B__5147"/>
      <sheetName val="[Spt-BH.xls][Spt-BH.xls]B__5141"/>
      <sheetName val="[Spt-BH.xls][Spt-BH.xls]_S_1779"/>
      <sheetName val="[Spt-BH.xls][Spt-BH_xls]B__4932"/>
      <sheetName val="[Spt-BH.xls][Spt-BH_xls]B__4933"/>
      <sheetName val="[Spt-BH.xls][Spt-BH_xls]B__4934"/>
      <sheetName val="[Spt-BH.xls][Spt-BH_xls]B__4935"/>
      <sheetName val="[Spt-BH.xls][Spt-BH_xls]_S_1632"/>
      <sheetName val="[Spt-BH.xls][Spt-BH_xls]B__4936"/>
      <sheetName val="[Spt-BH.xls][Spt-BH_xls]B__4937"/>
      <sheetName val="[Spt-BH.xls][Spt-BH_xls]B__4938"/>
      <sheetName val="[Spt-BH.xls][Spt-BH_xls]_S_1633"/>
      <sheetName val="[Spt-BH.xls][Spt-BH_xls]B__4939"/>
      <sheetName val="[Spt-BH.xls][Spt-BH_xls]B__4940"/>
      <sheetName val="[Spt-BH.xls][Spt-BH_xls]B__4941"/>
      <sheetName val="[Spt-BH.xls][Spt-BH_xls]B__4942"/>
      <sheetName val="[Spt-BH.xls][Spt-BH_xls]_S_1634"/>
      <sheetName val="[Spt-BH.xls][Spt-BH_xls]B__4943"/>
      <sheetName val="[Spt-BH.xls][Spt-BH_xls]B__4944"/>
      <sheetName val="[Spt-BH.xls][Spt-BH_xls]_S_1635"/>
      <sheetName val="[Spt-BH.xls][Spt-BH_xls]B__4945"/>
      <sheetName val="[Spt-BH.xls][Spt-BH_xls]B__4946"/>
      <sheetName val="[Spt-BH.xls][Spt-BH_xls]_S_1636"/>
      <sheetName val="[Spt-BH.xls][Spt-BH.xls]_S_1774"/>
      <sheetName val="[Spt-BH.xls][Spt-BH.xls]B__5128"/>
      <sheetName val="[Spt-BH.xls][Spt-BH.xls]B__5129"/>
      <sheetName val="[Spt-BH.xls][Spt-BH.xls]B__5130"/>
      <sheetName val="[Spt-BH.xls][Spt-BH.xls]B__5131"/>
      <sheetName val="[Spt-BH.xls][Spt-BH.xls]B__5132"/>
      <sheetName val="[Spt-BH.xls][Spt-BH.xls]B__5133"/>
      <sheetName val="[Spt-BH.xls][Spt-BH.xls]_S_1775"/>
      <sheetName val="[Spt-BH.xls]B____x005f_x0004______412"/>
      <sheetName val="[Spt-BH.xls]B___x005f_x0000__x000_406"/>
      <sheetName val="[Spt-BH.xls][Spt-BH.xls]B__5134"/>
      <sheetName val="[Spt-BH.xls][Spt-BH_xls]B__4917"/>
      <sheetName val="[Spt-BH.xls][Spt-BH_xls]B__4918"/>
      <sheetName val="[Spt-BH.xls][Spt-BH_xls]B__4919"/>
      <sheetName val="[Spt-BH.xls][Spt-BH_xls]B__4920"/>
      <sheetName val="[Spt-BH.xls][Spt-BH_xls]_S_1627"/>
      <sheetName val="[Spt-BH.xls][Spt-BH_xls]B__4921"/>
      <sheetName val="[Spt-BH.xls][Spt-BH_xls]B__4922"/>
      <sheetName val="[Spt-BH.xls][Spt-BH_xls]B__4923"/>
      <sheetName val="[Spt-BH.xls][Spt-BH_xls]_S_1628"/>
      <sheetName val="[Spt-BH.xls][Spt-BH_xls]B__4924"/>
      <sheetName val="[Spt-BH.xls][Spt-BH_xls]B__4925"/>
      <sheetName val="[Spt-BH.xls][Spt-BH_xls]B__4926"/>
      <sheetName val="[Spt-BH.xls][Spt-BH_xls]B__4927"/>
      <sheetName val="[Spt-BH.xls][Spt-BH_xls]_S_1629"/>
      <sheetName val="[Spt-BH.xls][Spt-BH_xls]B__4928"/>
      <sheetName val="[Spt-BH.xls][Spt-BH_xls]B__4929"/>
      <sheetName val="[Spt-BH.xls][Spt-BH_xls]_S_1630"/>
      <sheetName val="[Spt-BH.xls][Spt-BH_xls]B__4930"/>
      <sheetName val="[Spt-BH.xls][Spt-BH_xls]B__4931"/>
      <sheetName val="[Spt-BH.xls][Spt-BH_xls]_S_1631"/>
      <sheetName val="[Spt-BH.xls][Spt-BH.xls]_S_1787"/>
      <sheetName val="[Spt-BH.xls][Spt-BH.xls]B__5168"/>
      <sheetName val="[Spt-BH.xls][Spt-BH.xls]B__5169"/>
      <sheetName val="[Spt-BH.xls][Spt-BH.xls]_S_1789"/>
      <sheetName val="[Spt-BH.xls][Spt-BH.xls]B__5170"/>
      <sheetName val="[Spt-BH.xls][Spt-BH.xls]B__5171"/>
      <sheetName val="[Spt-BH.xls][Spt-BH.xls]B__5172"/>
      <sheetName val="[Spt-BH.xls][Spt-BH.xls]B__5173"/>
      <sheetName val="[Spt-BH.xls][Spt-BH.xls]_S_1788"/>
      <sheetName val="[Spt-BH.xls][Spt-BH.xls]B__5175"/>
      <sheetName val="[Spt-BH.xls][Spt-BH.xls]B__5176"/>
      <sheetName val="[Spt-BH.xls][Spt-BH.xls]_S_1792"/>
      <sheetName val="[Spt-BH.xls][Spt-BH.xls]B__5177"/>
      <sheetName val="[Spt-BH.xls][Spt-BH.xls]B__5178"/>
      <sheetName val="[Spt-BH.xls]B____x005f_x0004______416"/>
      <sheetName val="[Spt-BH.xls]B___x005f_x0000__x000_410"/>
      <sheetName val="[Spt-BH.xls][Spt-BH.xls]B__5179"/>
      <sheetName val="[Spt-BH.xls][Spt-BH.xls]B__5180"/>
      <sheetName val="[Spt-BH.xls][Spt-BH.xls]B__5174"/>
      <sheetName val="[Spt-BH.xls][Spt-BH.xls]_S_1790"/>
      <sheetName val="[Spt-BH.xls][Spt-BH_xls]B__4977"/>
      <sheetName val="[Spt-BH.xls][Spt-BH_xls]B__4978"/>
      <sheetName val="[Spt-BH.xls][Spt-BH_xls]B__4979"/>
      <sheetName val="[Spt-BH.xls][Spt-BH_xls]B__4980"/>
      <sheetName val="[Spt-BH.xls][Spt-BH_xls]_S_1647"/>
      <sheetName val="[Spt-BH.xls][Spt-BH_xls]B__4981"/>
      <sheetName val="[Spt-BH.xls][Spt-BH_xls]B__4982"/>
      <sheetName val="[Spt-BH.xls][Spt-BH_xls]B__4983"/>
      <sheetName val="[Spt-BH.xls][Spt-BH_xls]_S_1648"/>
      <sheetName val="[Spt-BH.xls][Spt-BH_xls]B__4984"/>
      <sheetName val="[Spt-BH.xls][Spt-BH_xls]B__4985"/>
      <sheetName val="[Spt-BH.xls][Spt-BH_xls]B__4986"/>
      <sheetName val="[Spt-BH.xls][Spt-BH_xls]B__4987"/>
      <sheetName val="[Spt-BH.xls][Spt-BH_xls]_S_1649"/>
      <sheetName val="[Spt-BH.xls][Spt-BH_xls]B__4988"/>
      <sheetName val="[Spt-BH.xls][Spt-BH_xls]B__4989"/>
      <sheetName val="[Spt-BH.xls][Spt-BH_xls]_S_1650"/>
      <sheetName val="[Spt-BH.xls][Spt-BH_xls]B__4990"/>
      <sheetName val="[Spt-BH.xls][Spt-BH_xls]B__4991"/>
      <sheetName val="[Spt-BH.xls][Spt-BH_xls]_S_1651"/>
      <sheetName val="[Spt-BH.xls][Spt-BH.xls]_S_1781"/>
      <sheetName val="[Spt-BH.xls][Spt-BH.xls]B__5148"/>
      <sheetName val="[Spt-BH.xls][Spt-BH.xls]B__5149"/>
      <sheetName val="[Spt-BH.xls][Spt-BH.xls]_S_1783"/>
      <sheetName val="[Spt-BH.xls][Spt-BH.xls]B__5150"/>
      <sheetName val="[Spt-BH.xls][Spt-BH.xls]B__5151"/>
      <sheetName val="[Spt-BH.xls][Spt-BH.xls]B__5152"/>
      <sheetName val="[Spt-BH.xls][Spt-BH.xls]B__5153"/>
      <sheetName val="[Spt-BH.xls][Spt-BH.xls]_S_1782"/>
      <sheetName val="[Spt-BH.xls][Spt-BH.xls]B__5155"/>
      <sheetName val="[Spt-BH.xls][Spt-BH.xls]B__5156"/>
      <sheetName val="[Spt-BH.xls][Spt-BH.xls]B__5157"/>
      <sheetName val="[Spt-BH.xls][Spt-BH.xls]B__5158"/>
      <sheetName val="[Spt-BH.xls]B____x005f_x0004______414"/>
      <sheetName val="[Spt-BH.xls]B___x005f_x0000__x000_408"/>
      <sheetName val="[Spt-BH.xls][Spt-BH.xls]B__5159"/>
      <sheetName val="[Spt-BH.xls][Spt-BH.xls]B__5160"/>
      <sheetName val="[Spt-BH.xls][Spt-BH.xls]B__5154"/>
      <sheetName val="[Spt-BH.xls][Spt-BH.xls]_S_1784"/>
      <sheetName val="[Spt-BH.xls][Spt-BH_xls]B__4947"/>
      <sheetName val="[Spt-BH.xls][Spt-BH_xls]B__4948"/>
      <sheetName val="[Spt-BH.xls][Spt-BH_xls]B__4949"/>
      <sheetName val="[Spt-BH.xls][Spt-BH_xls]B__4950"/>
      <sheetName val="[Spt-BH.xls][Spt-BH_xls]_S_1637"/>
      <sheetName val="[Spt-BH.xls][Spt-BH_xls]B__4951"/>
      <sheetName val="[Spt-BH.xls][Spt-BH_xls]B__4952"/>
      <sheetName val="[Spt-BH.xls][Spt-BH_xls]B__4953"/>
      <sheetName val="[Spt-BH.xls][Spt-BH_xls]_S_1638"/>
      <sheetName val="[Spt-BH.xls][Spt-BH_xls]B__4954"/>
      <sheetName val="[Spt-BH.xls][Spt-BH_xls]B__4955"/>
      <sheetName val="[Spt-BH.xls][Spt-BH_xls]B__4956"/>
      <sheetName val="[Spt-BH.xls][Spt-BH_xls]B__4957"/>
      <sheetName val="[Spt-BH.xls][Spt-BH_xls]_S_1639"/>
      <sheetName val="[Spt-BH.xls][Spt-BH_xls]B__4958"/>
      <sheetName val="[Spt-BH.xls][Spt-BH_xls]B__4959"/>
      <sheetName val="[Spt-BH.xls][Spt-BH_xls]_S_1640"/>
      <sheetName val="[Spt-BH.xls][Spt-BH_xls]B__4960"/>
      <sheetName val="[Spt-BH.xls][Spt-BH_xls]B__4961"/>
      <sheetName val="[Spt-BH.xls][Spt-BH_xls]_S_1641"/>
      <sheetName val="[Spt-BH.xls][Spt-BH.xls]_S_1785"/>
      <sheetName val="[Spt-BH.xls][Spt-BH.xls]B__5161"/>
      <sheetName val="[Spt-BH.xls][Spt-BH.xls]B__5162"/>
      <sheetName val="[Spt-BH.xls][Spt-BH.xls]B__5163"/>
      <sheetName val="[Spt-BH.xls][Spt-BH.xls]B__5164"/>
      <sheetName val="[Spt-BH.xls][Spt-BH.xls]B__5165"/>
      <sheetName val="[Spt-BH.xls][Spt-BH.xls]B__5166"/>
      <sheetName val="[Spt-BH.xls][Spt-BH.xls]_S_1786"/>
      <sheetName val="[Spt-BH.xls]B____x005f_x0004______415"/>
      <sheetName val="[Spt-BH.xls]B___x005f_x0000__x000_409"/>
      <sheetName val="[Spt-BH.xls][Spt-BH.xls]B__5167"/>
      <sheetName val="[Spt-BH.xls][Spt-BH_xls]B__4962"/>
      <sheetName val="[Spt-BH.xls][Spt-BH_xls]B__4963"/>
      <sheetName val="[Spt-BH.xls][Spt-BH_xls]B__4964"/>
      <sheetName val="[Spt-BH.xls][Spt-BH_xls]B__4965"/>
      <sheetName val="[Spt-BH.xls][Spt-BH_xls]_S_1642"/>
      <sheetName val="[Spt-BH.xls][Spt-BH_xls]B__4966"/>
      <sheetName val="[Spt-BH.xls][Spt-BH_xls]B__4967"/>
      <sheetName val="[Spt-BH.xls][Spt-BH_xls]B__4968"/>
      <sheetName val="[Spt-BH.xls][Spt-BH_xls]_S_1643"/>
      <sheetName val="[Spt-BH.xls][Spt-BH_xls]B__4969"/>
      <sheetName val="[Spt-BH.xls][Spt-BH_xls]B__4970"/>
      <sheetName val="[Spt-BH.xls][Spt-BH_xls]B__4971"/>
      <sheetName val="[Spt-BH.xls][Spt-BH_xls]B__4972"/>
      <sheetName val="[Spt-BH.xls][Spt-BH_xls]_S_1644"/>
      <sheetName val="[Spt-BH.xls][Spt-BH_xls]B__4973"/>
      <sheetName val="[Spt-BH.xls][Spt-BH_xls]B__4974"/>
      <sheetName val="[Spt-BH.xls][Spt-BH_xls]_S_1645"/>
      <sheetName val="[Spt-BH.xls][Spt-BH_xls]B__4975"/>
      <sheetName val="[Spt-BH.xls][Spt-BH_xls]B__4976"/>
      <sheetName val="[Spt-BH.xls][Spt-BH_xls]_S_1646"/>
      <sheetName val="[Spt-BH.xls][Spt-BH.xls]_S_1791"/>
      <sheetName val="[Spt-BH.xls][Spt-BH.xls]_S_1793"/>
      <sheetName val="[Spt-BH.xls][Spt-BH.xls]B__5181"/>
      <sheetName val="[Spt-BH.xls][Spt-BH.xls]B__5182"/>
      <sheetName val="[Spt-BH.xls][Spt-BH.xls]_S_1797"/>
      <sheetName val="[Spt-BH.xls][Spt-BH.xls]B__5183"/>
      <sheetName val="[Spt-BH.xls][Spt-BH.xls]B__5184"/>
      <sheetName val="[Spt-BH.xls][Spt-BH.xls]B__5185"/>
      <sheetName val="[Spt-BH.xls][Spt-BH.xls]B__5186"/>
      <sheetName val="[Spt-BH.xls][Spt-BH.xls]_S_1794"/>
      <sheetName val="[Spt-BH.xls][Spt-BH.xls]B__5194"/>
      <sheetName val="[Spt-BH.xls][Spt-BH.xls]B__5195"/>
      <sheetName val="[Spt-BH.xls][Spt-BH.xls]_S_1799"/>
      <sheetName val="[Spt-BH.xls][Spt-BH.xls]B__5196"/>
      <sheetName val="[Spt-BH.xls][Spt-BH.xls]B__5197"/>
      <sheetName val="[Spt-BH.xls]B____x005f_x0004______417"/>
      <sheetName val="[Spt-BH.xls]B___x005f_x0000__x000_411"/>
      <sheetName val="[Spt-BH.xls][Spt-BH.xls]B__5198"/>
      <sheetName val="[Spt-BH.xls][Spt-BH.xls]B__5199"/>
      <sheetName val="[Spt-BH.xls][Spt-BH.xls]B__5187"/>
      <sheetName val="[Spt-BH.xls][Spt-BH.xls]_S_1798"/>
      <sheetName val="[Spt-BH.xls][Spt-BH_xls]B__4992"/>
      <sheetName val="[Spt-BH.xls][Spt-BH_xls]B__4993"/>
      <sheetName val="[Spt-BH.xls][Spt-BH_xls]B__4994"/>
      <sheetName val="[Spt-BH.xls][Spt-BH_xls]B__4995"/>
      <sheetName val="[Spt-BH.xls][Spt-BH_xls]_S_1652"/>
      <sheetName val="[Spt-BH.xls][Spt-BH_xls]B__4996"/>
      <sheetName val="[Spt-BH.xls][Spt-BH_xls]B__4997"/>
      <sheetName val="[Spt-BH.xls][Spt-BH_xls]B__4998"/>
      <sheetName val="[Spt-BH.xls][Spt-BH_xls]_S_1653"/>
      <sheetName val="[Spt-BH.xls][Spt-BH_xls]B__4999"/>
      <sheetName val="[Spt-BH.xls][Spt-BH_xls]B__5000"/>
      <sheetName val="[Spt-BH.xls][Spt-BH_xls]B__5001"/>
      <sheetName val="[Spt-BH.xls][Spt-BH_xls]B__5002"/>
      <sheetName val="[Spt-BH.xls][Spt-BH_xls]_S_1654"/>
      <sheetName val="[Spt-BH.xls][Spt-BH_xls]B__5003"/>
      <sheetName val="[Spt-BH.xls][Spt-BH_xls]B__5004"/>
      <sheetName val="[Spt-BH.xls][Spt-BH_xls]_S_1655"/>
      <sheetName val="[Spt-BH.xls][Spt-BH_xls]B__5005"/>
      <sheetName val="[Spt-BH.xls][Spt-BH_xls]B__5006"/>
      <sheetName val="[Spt-BH.xls][Spt-BH_xls]_S_1656"/>
      <sheetName val="[Spt-BH.xls][Spt-BH.xls]_S_1795"/>
      <sheetName val="[Spt-BH.xls][Spt-BH.xls]B__5188"/>
      <sheetName val="[Spt-BH.xls][Spt-BH.xls]B__5189"/>
      <sheetName val="[Spt-BH.xls][Spt-BH.xls]B__5190"/>
      <sheetName val="[Spt-BH.xls][Spt-BH.xls]B__5191"/>
      <sheetName val="[Spt-BH.xls][Spt-BH.xls]B__5192"/>
      <sheetName val="[Spt-BH.xls][Spt-BH.xls]B__5193"/>
      <sheetName val="[Spt-BH.xls][Spt-BH.xls]_S_1796"/>
      <sheetName val="[Spt-BH.xls][Spt-BH.xls]_S_1800"/>
      <sheetName val="[Spt-BH.xls][Spt-BH.xls]B__5200"/>
      <sheetName val="[Spt-BH.xls][Spt-BH.xls]B__5201"/>
      <sheetName val="[Spt-BH.xls][Spt-BH.xls]B__5202"/>
      <sheetName val="[Spt-BH.xls][Spt-BH.xls]B__5203"/>
      <sheetName val="[Spt-BH.xls][Spt-BH.xls]B__5204"/>
      <sheetName val="[Spt-BH.xls][Spt-BH.xls]B__5205"/>
      <sheetName val="[Spt-BH.xls][Spt-BH.xls]_S_1801"/>
      <sheetName val="[Spt-BH.xls]B____x005f_x0004______418"/>
      <sheetName val="[Spt-BH.xls]B___x005f_x0000__x000_412"/>
      <sheetName val="[Spt-BH.xls][Spt-BH.xls]B__5206"/>
      <sheetName val="[Spt-BH.xls][Spt-BH.xls]_S_1803"/>
      <sheetName val="[Spt-BH.xls][Spt-BH_xls]B__5007"/>
      <sheetName val="[Spt-BH.xls][Spt-BH_xls]B__5008"/>
      <sheetName val="[Spt-BH.xls][Spt-BH_xls]B__5009"/>
      <sheetName val="[Spt-BH.xls][Spt-BH_xls]B__5010"/>
      <sheetName val="[Spt-BH.xls][Spt-BH_xls]_S_1657"/>
      <sheetName val="[Spt-BH.xls][Spt-BH_xls]B__5011"/>
      <sheetName val="[Spt-BH.xls][Spt-BH_xls]B__5012"/>
      <sheetName val="[Spt-BH.xls][Spt-BH_xls]B__5013"/>
      <sheetName val="[Spt-BH.xls][Spt-BH_xls]_S_1658"/>
      <sheetName val="[Spt-BH.xls][Spt-BH_xls]B__5014"/>
      <sheetName val="[Spt-BH.xls][Spt-BH_xls]B__5015"/>
      <sheetName val="[Spt-BH.xls][Spt-BH_xls]B__5016"/>
      <sheetName val="[Spt-BH.xls][Spt-BH_xls]B__5017"/>
      <sheetName val="[Spt-BH.xls][Spt-BH_xls]_S_1659"/>
      <sheetName val="[Spt-BH.xls][Spt-BH_xls]B__5018"/>
      <sheetName val="[Spt-BH.xls][Spt-BH_xls]B__5019"/>
      <sheetName val="[Spt-BH.xls][Spt-BH_xls]_S_1660"/>
      <sheetName val="[Spt-BH.xls][Spt-BH_xls]B__5020"/>
      <sheetName val="[Spt-BH.xls][Spt-BH_xls]B__5021"/>
      <sheetName val="[Spt-BH.xls][Spt-BH_xls]_S_1661"/>
      <sheetName val="[Spt-BH.xls][Spt-BH_xls]B__5033"/>
      <sheetName val="[Spt-BH.xls][Spt-BH_xls]B__5034"/>
      <sheetName val="[Spt-BH.xls][Spt-BH_xls]_S_1665"/>
      <sheetName val="[Spt-BH.xls][Spt-BH_xls]B__5035"/>
      <sheetName val="[Spt-BH.xls][Spt-BH_xls]B__5036"/>
      <sheetName val="[Spt-BH.xls][Spt-BH_xls]_S_1666"/>
      <sheetName val="[Spt-BH.xls][Spt-BH_xls]B__5063"/>
      <sheetName val="[Spt-BH.xls][Spt-BH_xls]B__5064"/>
      <sheetName val="[Spt-BH.xls][Spt-BH_xls]_S_1675"/>
      <sheetName val="[Spt-BH.xls][Spt-BH_xls]B__5065"/>
      <sheetName val="[Spt-BH.xls][Spt-BH_xls]B__5066"/>
      <sheetName val="[Spt-BH.xls][Spt-BH_xls]_S_1676"/>
      <sheetName val="[Spt-BH.xls]B____x005f_x0004______420"/>
      <sheetName val="[Spt-BH.xls]B___x005f_x0000__x000_414"/>
      <sheetName val="[Spt-BH.xls][Spt-BH_xls]B__5037"/>
      <sheetName val="[Spt-BH.xls][Spt-BH_xls]B__5038"/>
      <sheetName val="[Spt-BH.xls][Spt-BH_xls]B__5039"/>
      <sheetName val="[Spt-BH.xls][Spt-BH_xls]B__5040"/>
      <sheetName val="[Spt-BH.xls][Spt-BH_xls]_S_1667"/>
      <sheetName val="[Spt-BH.xls][Spt-BH_xls]B__5041"/>
      <sheetName val="[Spt-BH.xls][Spt-BH_xls]B__5042"/>
      <sheetName val="[Spt-BH.xls][Spt-BH_xls]B__5043"/>
      <sheetName val="[Spt-BH.xls][Spt-BH_xls]_S_1668"/>
      <sheetName val="[Spt-BH.xls][Spt-BH_xls]B__5044"/>
      <sheetName val="[Spt-BH.xls][Spt-BH_xls]B__5045"/>
      <sheetName val="[Spt-BH.xls][Spt-BH_xls]B__5046"/>
      <sheetName val="[Spt-BH.xls][Spt-BH_xls]B__5047"/>
      <sheetName val="[Spt-BH.xls][Spt-BH_xls]_S_1669"/>
      <sheetName val="[Spt-BH.xls][Spt-BH.xls]B__5214"/>
      <sheetName val="[Spt-BH.xls][Spt-BH.xls]B__5215"/>
      <sheetName val="[Spt-BH.xls][Spt-BH.xls]B__5216"/>
      <sheetName val="[Spt-BH.xls][Spt-BH.xls]B__5217"/>
      <sheetName val="[Spt-BH.xls][Spt-BH.xls]_S_1804"/>
      <sheetName val="[Spt-BH.xls][Spt-BH.xls]B__5218"/>
      <sheetName val="[Spt-BH.xls][Spt-BH.xls]B__5219"/>
      <sheetName val="[Spt-BH.xls][Spt-BH.xls]B__5220"/>
      <sheetName val="[Spt-BH.xls][Spt-BH.xls]_S_1805"/>
      <sheetName val="[Spt-BH.xls][Spt-BH_xls]B__5048"/>
      <sheetName val="[Spt-BH.xls][Spt-BH_xls]B__5049"/>
      <sheetName val="[Spt-BH.xls][Spt-BH_xls]_S_1670"/>
      <sheetName val="[Spt-BH.xls][Spt-BH_xls]B__5050"/>
      <sheetName val="[Spt-BH.xls][Spt-BH_xls]B__5051"/>
      <sheetName val="[Spt-BH.xls][Spt-BH_xls]_S_1671"/>
      <sheetName val="[Spt-BH.xls][Spt-BH.xls]B__5234"/>
      <sheetName val="[Spt-BH.xls][Spt-BH.xls]B__5235"/>
      <sheetName val="[Spt-BH.xls][Spt-BH.xls]_S_1812"/>
      <sheetName val="[Spt-BH.xls][Spt-BH.xls]B__5236"/>
      <sheetName val="[Spt-BH.xls][Spt-BH.xls]B__5237"/>
      <sheetName val="[Spt-BH.xls]B____x005f_x0004______422"/>
      <sheetName val="[Spt-BH.xls][Spt-BH.xls]B__5238"/>
      <sheetName val="[Spt-BH.xls][Spt-BH.xls]B__5239"/>
      <sheetName val="[Spt-BH.xls][Spt-BH.xls]_S_1811"/>
      <sheetName val="[Spt-BH.xls][Spt-BH.xls]B__5241"/>
      <sheetName val="[Spt-BH.xls][Spt-BH.xls]B__5242"/>
      <sheetName val="[Spt-BH.xls][Spt-BH.xls]_S_1814"/>
      <sheetName val="[Spt-BH.xls][Spt-BH.xls]B__5243"/>
      <sheetName val="[Spt-BH.xls][Spt-BH.xls]B__5244"/>
      <sheetName val="[Spt-BH.xls]B____x005f_x0004______423"/>
      <sheetName val="[Spt-BH.xls]B___x005f_x0000__x000_416"/>
      <sheetName val="[Spt-BH.xls][Spt-BH.xls]B__5245"/>
      <sheetName val="[Spt-BH.xls][Spt-BH.xls]B__5246"/>
      <sheetName val="[Spt-BH.xls][Spt-BH.xls]B__5240"/>
      <sheetName val="[Spt-BH.xls][Spt-BH.xls]_S_1813"/>
      <sheetName val="[Spt-BH.xls][Spt-BH_xls]B__5067"/>
      <sheetName val="[Spt-BH.xls][Spt-BH_xls]B__5068"/>
      <sheetName val="[Spt-BH.xls][Spt-BH_xls]B__5069"/>
      <sheetName val="[Spt-BH.xls][Spt-BH_xls]B__5070"/>
      <sheetName val="[Spt-BH.xls][Spt-BH_xls]_S_1677"/>
      <sheetName val="[Spt-BH.xls][Spt-BH_xls]B__5071"/>
      <sheetName val="[Spt-BH.xls][Spt-BH_xls]B__5072"/>
      <sheetName val="[Spt-BH.xls][Spt-BH_xls]B__5073"/>
      <sheetName val="[Spt-BH.xls][Spt-BH_xls]_S_1678"/>
      <sheetName val="[Spt-BH.xls][Spt-BH_xls]B__5074"/>
      <sheetName val="[Spt-BH.xls][Spt-BH_xls]B__5075"/>
      <sheetName val="[Spt-BH.xls][Spt-BH_xls]B__5076"/>
      <sheetName val="[Spt-BH.xls][Spt-BH_xls]B__5077"/>
      <sheetName val="[Spt-BH.xls][Spt-BH_xls]_S_1679"/>
      <sheetName val="[Spt-BH.xls][Spt-BH_xls]B__5078"/>
      <sheetName val="[Spt-BH.xls][Spt-BH_xls]B__5079"/>
      <sheetName val="[Spt-BH.xls][Spt-BH_xls]_S_1680"/>
      <sheetName val="[Spt-BH.xls][Spt-BH_xls]B__5080"/>
      <sheetName val="[Spt-BH.xls][Spt-BH_xls]B__5081"/>
      <sheetName val="[Spt-BH.xls][Spt-BH_xls]_S_1681"/>
      <sheetName val="[Spt-BH.xls][Spt-BH.xls]B__5779"/>
      <sheetName val="[Spt-BH.xls][Spt-BH.xls]B__5780"/>
      <sheetName val="[Spt-BH.xls][Spt-BH.xls]_S_2015"/>
      <sheetName val="[Spt-BH.xls][Spt-BH.xls]B__5781"/>
      <sheetName val="[Spt-BH.xls][Spt-BH.xls]B__5782"/>
      <sheetName val="[Spt-BH.xls][Spt-BH.xls]B__5786"/>
      <sheetName val="[Spt-BH.xls][Spt-BH.xls]B__5787"/>
      <sheetName val="[Spt-BH.xls][Spt-BH.xls]_S_2040"/>
      <sheetName val="[Spt-BH.xls][Spt-BH.xls]B__5788"/>
      <sheetName val="[Spt-BH.xls][Spt-BH.xls]B__5789"/>
      <sheetName val="[Spt-BH.xls]B____x005f_x0004______471"/>
      <sheetName val="[Spt-BH.xls][Spt-BH.xls]B__5783"/>
      <sheetName val="[Spt-BH.xls][Spt-BH.xls]_S_2013"/>
      <sheetName val="[Spt-BH.xls][Spt-BH.xls]B__5784"/>
      <sheetName val="[Spt-BH.xls]B___x005f_x0000__x000_463"/>
      <sheetName val="[Spt-BH.xls][Spt-BH.xls]B__5790"/>
      <sheetName val="[Spt-BH.xls][Spt-BH.xls]B__5791"/>
      <sheetName val="[Spt-BH.xls][Spt-BH.xls]B__5785"/>
      <sheetName val="[Spt-BH.xls][Spt-BH.xls]_S_2016"/>
      <sheetName val="[Spt-BH.xls][Spt-BH_xls]B__5772"/>
      <sheetName val="[Spt-BH.xls][Spt-BH_xls]B__5773"/>
      <sheetName val="[Spt-BH.xls][Spt-BH_xls]B__5774"/>
      <sheetName val="[Spt-BH.xls][Spt-BH_xls]B__5775"/>
      <sheetName val="[Spt-BH.xls][Spt-BH_xls]_S_1912"/>
      <sheetName val="[Spt-BH.xls][Spt-BH_xls]B__5776"/>
      <sheetName val="[Spt-BH.xls][Spt-BH_xls]B__5777"/>
      <sheetName val="[Spt-BH.xls][Spt-BH_xls]B__5778"/>
      <sheetName val="[Spt-BH.xls][Spt-BH_xls]_S_1913"/>
      <sheetName val="[Spt-BH.xls][Spt-BH_xls]B__5779"/>
      <sheetName val="[Spt-BH.xls][Spt-BH_xls]B__5780"/>
      <sheetName val="[Spt-BH.xls][Spt-BH_xls]B__5781"/>
      <sheetName val="[Spt-BH.xls][Spt-BH_xls]B__5782"/>
      <sheetName val="[Spt-BH.xls][Spt-BH_xls]_S_1914"/>
      <sheetName val="[Spt-BH.xls][Spt-BH.xls]_S_2014"/>
      <sheetName val="[Spt-BH.xls][Spt-BH.xls]_S_1837"/>
      <sheetName val="[Spt-BH.xls][Spt-BH.xls]B__5271"/>
      <sheetName val="[Spt-BH.xls][Spt-BH.xls]B__5272"/>
      <sheetName val="[Spt-BH.xls][Spt-BH.xls]_S_1839"/>
      <sheetName val="[Spt-BH.xls][Spt-BH.xls]B__5273"/>
      <sheetName val="[Spt-BH.xls][Spt-BH.xls]B__5274"/>
      <sheetName val="[Spt-BH.xls][Spt-BH.xls]B__5275"/>
      <sheetName val="[Spt-BH.xls][Spt-BH.xls]B__5276"/>
      <sheetName val="[Spt-BH.xls][Spt-BH.xls]_S_1838"/>
      <sheetName val="[Spt-BH.xls][Spt-BH.xls]B__5265"/>
      <sheetName val="[Spt-BH.xls][Spt-BH.xls]B__5266"/>
      <sheetName val="[Spt-BH.xls][Spt-BH.xls]B__5267"/>
      <sheetName val="[Spt-BH.xls][Spt-BH.xls]B__5268"/>
      <sheetName val="[Spt-BH.xls][Spt-BH.xls]_S_1835"/>
      <sheetName val="[Spt-BH.xls][Spt-BH.xls]B__5269"/>
      <sheetName val="[Spt-BH.xls][Spt-BH.xls]B__5270"/>
      <sheetName val="[Spt-BH.xls][Spt-BH.xls]_S_1836"/>
      <sheetName val="[Spt-BH.xls][Spt-BH.xls]_S_1822"/>
      <sheetName val="[Spt-BH.xls][Spt-BH.xls]_S_1824"/>
      <sheetName val="[Spt-BH.xls][Spt-BH.xls]_S_1823"/>
      <sheetName val="[Spt-BH.xls][Spt-BH.xls]_S_1826"/>
      <sheetName val="[Spt-BH.xls][Spt-BH.xls]_S_1825"/>
      <sheetName val="[Spt-BH.xls][Spt-BH.xls]_S_1815"/>
      <sheetName val="[Spt-BH.xls][Spt-BH.xls]_S_1820"/>
      <sheetName val="[Spt-BH.xls][Spt-BH.xls]_S_1821"/>
      <sheetName val="[Spt-BH.xls][Spt-BH.xls]_S_1816"/>
      <sheetName val="[Spt-BH.xls][Spt-BH.xls]_S_1817"/>
      <sheetName val="[Spt-BH.xls][Spt-BH.xls]_S_1818"/>
      <sheetName val="[Spt-BH.xls][Spt-BH.xls]_S_1819"/>
      <sheetName val="[Spt-BH.xls][Spt-BH.xls]_S_1830"/>
      <sheetName val="[Spt-BH.xls][Spt-BH.xls]B__5247"/>
      <sheetName val="[Spt-BH.xls][Spt-BH.xls]B__5248"/>
      <sheetName val="[Spt-BH.xls][Spt-BH.xls]B__5249"/>
      <sheetName val="[Spt-BH.xls][Spt-BH.xls]B__5250"/>
      <sheetName val="[Spt-BH.xls][Spt-BH.xls]_S_1827"/>
      <sheetName val="[Spt-BH.xls][Spt-BH.xls]B__5257"/>
      <sheetName val="[Spt-BH.xls][Spt-BH.xls]B__5258"/>
      <sheetName val="[Spt-BH.xls][Spt-BH.xls]_S_1834"/>
      <sheetName val="[Spt-BH.xls][Spt-BH.xls]B__5259"/>
      <sheetName val="[Spt-BH.xls][Spt-BH.xls]B__5260"/>
      <sheetName val="[Spt-BH.xls][Spt-BH.xls]B__5261"/>
      <sheetName val="[Spt-BH.xls][Spt-BH.xls]B__5262"/>
      <sheetName val="[Spt-BH.xls][Spt-BH.xls]_S_1831"/>
      <sheetName val="[Spt-BH.xls][Spt-BH.xls]_S_1828"/>
      <sheetName val="[Spt-BH.xls][Spt-BH.xls]B__5251"/>
      <sheetName val="[Spt-BH.xls][Spt-BH.xls]B__5252"/>
      <sheetName val="[Spt-BH.xls][Spt-BH.xls]B__5253"/>
      <sheetName val="[Spt-BH.xls][Spt-BH.xls]B__5254"/>
      <sheetName val="[Spt-BH.xls][Spt-BH.xls]B__5255"/>
      <sheetName val="[Spt-BH.xls][Spt-BH.xls]B__5256"/>
      <sheetName val="[Spt-BH.xls][Spt-BH.xls]_S_1829"/>
      <sheetName val="[Spt-BH.xls][Spt-BH.xls]_S_1832"/>
      <sheetName val="[Spt-BH.xls][Spt-BH.xls]B__5263"/>
      <sheetName val="[Spt-BH.xls][Spt-BH.xls]B__5264"/>
      <sheetName val="[Spt-BH.xls][Spt-BH.xls]_S_1833"/>
      <sheetName val="[Spt-BH.xls][Spt-BH_xls]B__5783"/>
      <sheetName val="[Spt-BH.xls][Spt-BH_xls]B__5784"/>
      <sheetName val="[Spt-BH.xls][Spt-BH_xls]_S_1915"/>
      <sheetName val="[Spt-BH.xls][Spt-BH_xls]B__5785"/>
      <sheetName val="[Spt-BH.xls][Spt-BH_xls]B__5786"/>
      <sheetName val="[Spt-BH.xls][Spt-BH_xls]_S_1916"/>
      <sheetName val="[Spt-BH.xls][Spt-BH.xls]B__5284"/>
      <sheetName val="[Spt-BH.xls][Spt-BH.xls]B__5285"/>
      <sheetName val="[Spt-BH.xls][Spt-BH.xls]_S_1847"/>
      <sheetName val="[Spt-BH.xls][Spt-BH.xls]B__5286"/>
      <sheetName val="[Spt-BH.xls][Spt-BH.xls]B__5287"/>
      <sheetName val="[Spt-BH.xls][Spt-BH.xls]B__5297"/>
      <sheetName val="[Spt-BH.xls][Spt-BH.xls]B__5298"/>
      <sheetName val="[Spt-BH.xls][Spt-BH.xls]B__5299"/>
      <sheetName val="[Spt-BH.xls][Spt-BH.xls]B__5300"/>
      <sheetName val="[Spt-BH.xls][Spt-BH.xls]B__5288"/>
      <sheetName val="[Spt-BH.xls][Spt-BH.xls]_S_1842"/>
      <sheetName val="[Spt-BH.xls][Spt-BH.xls]B__5289"/>
      <sheetName val="[Spt-BH.xls][Spt-BH.xls]B__5301"/>
      <sheetName val="[Spt-BH.xls][Spt-BH.xls]B__5302"/>
      <sheetName val="[Spt-BH.xls][Spt-BH.xls]B__5290"/>
      <sheetName val="[Spt-BH.xls][Spt-BH.xls]_S_1848"/>
      <sheetName val="[Spt-BH.xls][Spt-BH.xls]_S_1843"/>
      <sheetName val="[Spt-BH.xls][Spt-BH.xls]B__5277"/>
      <sheetName val="[Spt-BH.xls][Spt-BH.xls]B__5278"/>
      <sheetName val="[Spt-BH.xls][Spt-BH.xls]B__5279"/>
      <sheetName val="[Spt-BH.xls][Spt-BH.xls]B__5280"/>
      <sheetName val="[Spt-BH.xls][Spt-BH.xls]B__5281"/>
      <sheetName val="[Spt-BH.xls][Spt-BH.xls]_S_1840"/>
      <sheetName val="[Spt-BH.xls][Spt-BH.xls]B__5282"/>
      <sheetName val="[Spt-BH.xls][Spt-BH.xls]B__5283"/>
      <sheetName val="[Spt-BH.xls][Spt-BH.xls]_S_1841"/>
      <sheetName val="[Spt-BH.xls][Spt-BH.xls]_S_1844"/>
      <sheetName val="[Spt-BH.xls][Spt-BH.xls]B__5291"/>
      <sheetName val="[Spt-BH.xls][Spt-BH.xls]B__5292"/>
      <sheetName val="[Spt-BH.xls][Spt-BH.xls]_S_1846"/>
      <sheetName val="[Spt-BH.xls][Spt-BH.xls]B__5293"/>
      <sheetName val="[Spt-BH.xls][Spt-BH.xls]B__5294"/>
      <sheetName val="[Spt-BH.xls][Spt-BH.xls]B__5295"/>
      <sheetName val="[Spt-BH.xls][Spt-BH.xls]B__5296"/>
      <sheetName val="[Spt-BH.xls][Spt-BH.xls]_S_1845"/>
      <sheetName val="[Spt-BH.xls]B____x005f_x0004______424"/>
      <sheetName val="[Spt-BH.xls]B___x005f_x0000__x000_417"/>
      <sheetName val="[Spt-BH.xls][Spt-BH_xls]B__5082"/>
      <sheetName val="[Spt-BH.xls][Spt-BH_xls]B__5083"/>
      <sheetName val="[Spt-BH.xls][Spt-BH_xls]B__5084"/>
      <sheetName val="[Spt-BH.xls][Spt-BH_xls]B__5085"/>
      <sheetName val="[Spt-BH.xls][Spt-BH_xls]_S_1682"/>
      <sheetName val="[Spt-BH.xls][Spt-BH_xls]B__5086"/>
      <sheetName val="[Spt-BH.xls][Spt-BH_xls]B__5087"/>
      <sheetName val="[Spt-BH.xls][Spt-BH_xls]B__5088"/>
      <sheetName val="[Spt-BH.xls][Spt-BH_xls]_S_1683"/>
      <sheetName val="[Spt-BH.xls][Spt-BH_xls]B__5089"/>
      <sheetName val="[Spt-BH.xls][Spt-BH_xls]B__5090"/>
      <sheetName val="[Spt-BH.xls][Spt-BH_xls]B__5091"/>
      <sheetName val="[Spt-BH.xls][Spt-BH_xls]B__5092"/>
      <sheetName val="[Spt-BH.xls][Spt-BH_xls]_S_1684"/>
      <sheetName val="[Spt-BH.xls][Spt-BH_xls]B__5093"/>
      <sheetName val="[Spt-BH.xls][Spt-BH_xls]B__5094"/>
      <sheetName val="[Spt-BH.xls][Spt-BH_xls]_S_1685"/>
      <sheetName val="[Spt-BH.xls][Spt-BH_xls]B__5095"/>
      <sheetName val="[Spt-BH.xls][Spt-BH_xls]B__5096"/>
      <sheetName val="[Spt-BH.xls][Spt-BH_xls]_S_1686"/>
      <sheetName val="[Spt-BH.xls]B____x005f_x0004______425"/>
      <sheetName val="[Spt-BH.xls]B___x005f_x0000__x000_418"/>
      <sheetName val="[Spt-BH.xls][Spt-BH_xls]B__5097"/>
      <sheetName val="[Spt-BH.xls][Spt-BH_xls]B__5098"/>
      <sheetName val="[Spt-BH.xls][Spt-BH_xls]B__5099"/>
      <sheetName val="[Spt-BH.xls][Spt-BH_xls]B__5100"/>
      <sheetName val="[Spt-BH.xls][Spt-BH_xls]_S_1687"/>
      <sheetName val="[Spt-BH.xls][Spt-BH_xls]B__5101"/>
      <sheetName val="[Spt-BH.xls][Spt-BH_xls]B__5102"/>
      <sheetName val="[Spt-BH.xls][Spt-BH_xls]B__5103"/>
      <sheetName val="[Spt-BH.xls][Spt-BH_xls]_S_1688"/>
      <sheetName val="[Spt-BH.xls][Spt-BH_xls]B__5104"/>
      <sheetName val="[Spt-BH.xls][Spt-BH_xls]B__5105"/>
      <sheetName val="[Spt-BH.xls][Spt-BH_xls]B__5106"/>
      <sheetName val="[Spt-BH.xls][Spt-BH_xls]B__5107"/>
      <sheetName val="[Spt-BH.xls][Spt-BH_xls]_S_1689"/>
      <sheetName val="[Spt-BH.xls][Spt-BH_xls]B__5108"/>
      <sheetName val="[Spt-BH.xls][Spt-BH_xls]B__5109"/>
      <sheetName val="[Spt-BH.xls][Spt-BH_xls]_S_1690"/>
      <sheetName val="[Spt-BH.xls][Spt-BH_xls]B__5110"/>
      <sheetName val="[Spt-BH.xls][Spt-BH_xls]B__5111"/>
      <sheetName val="[Spt-BH.xls][Spt-BH_xls]_S_1691"/>
      <sheetName val="[Spt-BH.xls][Spt-BH.xls]_S_1882"/>
      <sheetName val="[Spt-BH.xls][Spt-BH.xls]B__5400"/>
      <sheetName val="[Spt-BH.xls][Spt-BH.xls]B__5401"/>
      <sheetName val="[Spt-BH.xls][Spt-BH.xls]_S_1884"/>
      <sheetName val="[Spt-BH.xls][Spt-BH.xls]B__5402"/>
      <sheetName val="[Spt-BH.xls][Spt-BH.xls]B__5403"/>
      <sheetName val="[Spt-BH.xls][Spt-BH.xls]B__5404"/>
      <sheetName val="[Spt-BH.xls][Spt-BH.xls]B__5405"/>
      <sheetName val="[Spt-BH.xls][Spt-BH.xls]_S_1883"/>
      <sheetName val="[Spt-BH.xls][Spt-BH.xls]B__5407"/>
      <sheetName val="[Spt-BH.xls][Spt-BH.xls]B__5408"/>
      <sheetName val="[Spt-BH.xls][Spt-BH.xls]_S_1886"/>
      <sheetName val="[Spt-BH.xls][Spt-BH.xls]B__5409"/>
      <sheetName val="[Spt-BH.xls][Spt-BH.xls]B__5410"/>
      <sheetName val="[Spt-BH.xls]B____x005f_x0004______434"/>
      <sheetName val="[Spt-BH.xls]B___x005f_x0000__x000_426"/>
      <sheetName val="[Spt-BH.xls][Spt-BH.xls]B__5411"/>
      <sheetName val="[Spt-BH.xls][Spt-BH.xls]B__5412"/>
      <sheetName val="[Spt-BH.xls][Spt-BH.xls]B__5406"/>
      <sheetName val="[Spt-BH.xls][Spt-BH.xls]_S_1885"/>
      <sheetName val="[Spt-BH.xls][Spt-BH_xls]B__5217"/>
      <sheetName val="[Spt-BH.xls][Spt-BH_xls]B__5218"/>
      <sheetName val="[Spt-BH.xls][Spt-BH_xls]B__5219"/>
      <sheetName val="[Spt-BH.xls][Spt-BH_xls]B__5220"/>
      <sheetName val="[Spt-BH.xls][Spt-BH_xls]_S_1727"/>
      <sheetName val="[Spt-BH.xls][Spt-BH_xls]B__5221"/>
      <sheetName val="[Spt-BH.xls][Spt-BH_xls]B__5222"/>
      <sheetName val="[Spt-BH.xls][Spt-BH_xls]B__5223"/>
      <sheetName val="[Spt-BH.xls][Spt-BH_xls]_S_1728"/>
      <sheetName val="[Spt-BH.xls][Spt-BH_xls]B__5224"/>
      <sheetName val="[Spt-BH.xls][Spt-BH_xls]B__5225"/>
      <sheetName val="[Spt-BH.xls][Spt-BH_xls]B__5226"/>
      <sheetName val="[Spt-BH.xls][Spt-BH_xls]B__5227"/>
      <sheetName val="[Spt-BH.xls][Spt-BH_xls]_S_1729"/>
      <sheetName val="[Spt-BH.xls][Spt-BH_xls]B__5228"/>
      <sheetName val="[Spt-BH.xls][Spt-BH_xls]B__5229"/>
      <sheetName val="[Spt-BH.xls][Spt-BH_xls]_S_1730"/>
      <sheetName val="[Spt-BH.xls][Spt-BH_xls]B__5230"/>
      <sheetName val="[Spt-BH.xls][Spt-BH_xls]B__5231"/>
      <sheetName val="[Spt-BH.xls][Spt-BH_xls]_S_1731"/>
      <sheetName val="[Spt-BH.xls][Spt-BH.xls]_S_1858"/>
      <sheetName val="[Spt-BH.xls][Spt-BH.xls]B__5327"/>
      <sheetName val="[Spt-BH.xls][Spt-BH.xls]B__5328"/>
      <sheetName val="[Spt-BH.xls][Spt-BH.xls]_S_1860"/>
      <sheetName val="[Spt-BH.xls][Spt-BH.xls]B__5329"/>
      <sheetName val="[Spt-BH.xls][Spt-BH.xls]B__5330"/>
      <sheetName val="[Spt-BH.xls][Spt-BH.xls]B__5331"/>
      <sheetName val="[Spt-BH.xls][Spt-BH.xls]B__5332"/>
      <sheetName val="[Spt-BH.xls][Spt-BH.xls]_S_1859"/>
      <sheetName val="[Spt-BH.xls][Spt-BH.xls]B__5314"/>
      <sheetName val="[Spt-BH.xls][Spt-BH.xls]B__5315"/>
      <sheetName val="[Spt-BH.xls][Spt-BH.xls]_S_1856"/>
      <sheetName val="[Spt-BH.xls][Spt-BH.xls]B__5316"/>
      <sheetName val="[Spt-BH.xls][Spt-BH.xls]_S_1854"/>
      <sheetName val="[Spt-BH.xls][Spt-BH.xls]B__5317"/>
      <sheetName val="[Spt-BH.xls][Spt-BH.xls]B__5318"/>
      <sheetName val="[Spt-BH.xls][Spt-BH.xls]B__5319"/>
      <sheetName val="[Spt-BH.xls][Spt-BH.xls]_S_1855"/>
      <sheetName val="[Spt-BH.xls][Spt-BH.xls]B__5321"/>
      <sheetName val="[Spt-BH.xls][Spt-BH.xls]B__5322"/>
      <sheetName val="[Spt-BH.xls][Spt-BH.xls]B__5323"/>
      <sheetName val="[Spt-BH.xls][Spt-BH.xls]B__5324"/>
      <sheetName val="[Spt-BH.xls]B____x005f_x0004______426"/>
      <sheetName val="[Spt-BH.xls][Spt-BH.xls]B__5325"/>
      <sheetName val="[Spt-BH.xls][Spt-BH.xls]B__5326"/>
      <sheetName val="[Spt-BH.xls][Spt-BH.xls]B__5320"/>
      <sheetName val="[Spt-BH.xls][Spt-BH.xls]_S_1857"/>
      <sheetName val="[Spt-BH.xls][Spt-BH.xls]_S_1851"/>
      <sheetName val="[Spt-BH.xls][Spt-BH.xls]B__5308"/>
      <sheetName val="[Spt-BH.xls][Spt-BH.xls]B__5309"/>
      <sheetName val="[Spt-BH.xls][Spt-BH.xls]_S_1853"/>
      <sheetName val="[Spt-BH.xls][Spt-BH.xls]B__5310"/>
      <sheetName val="[Spt-BH.xls][Spt-BH.xls]B__5311"/>
      <sheetName val="[Spt-BH.xls][Spt-BH.xls]B__5312"/>
      <sheetName val="[Spt-BH.xls][Spt-BH.xls]B__5313"/>
      <sheetName val="[Spt-BH.xls][Spt-BH.xls]_S_1852"/>
      <sheetName val="[Spt-BH.xls][Spt-BH.xls]_S_1849"/>
      <sheetName val="[Spt-BH.xls][Spt-BH.xls]B__5303"/>
      <sheetName val="[Spt-BH.xls][Spt-BH.xls]B__5304"/>
      <sheetName val="[Spt-BH.xls][Spt-BH.xls]B__5305"/>
      <sheetName val="[Spt-BH.xls][Spt-BH.xls]B__5306"/>
      <sheetName val="[Spt-BH.xls][Spt-BH.xls]B__5307"/>
      <sheetName val="[Spt-BH.xls][Spt-BH.xls]_S_1850"/>
      <sheetName val="[Spt-BH.xls][Spt-BH.xls]B__5334"/>
      <sheetName val="[Spt-BH.xls][Spt-BH.xls]B__5335"/>
      <sheetName val="[Spt-BH.xls][Spt-BH.xls]_S_1862"/>
      <sheetName val="[Spt-BH.xls][Spt-BH.xls]B__5336"/>
      <sheetName val="[Spt-BH.xls][Spt-BH.xls]B__5337"/>
      <sheetName val="[Spt-BH.xls]B____x005f_x0004______427"/>
      <sheetName val="[Spt-BH.xls]B___x005f_x0000__x000_419"/>
      <sheetName val="[Spt-BH.xls][Spt-BH.xls]B__5338"/>
      <sheetName val="[Spt-BH.xls][Spt-BH.xls]B__5339"/>
      <sheetName val="[Spt-BH.xls][Spt-BH.xls]B__5333"/>
      <sheetName val="[Spt-BH.xls][Spt-BH.xls]_S_1861"/>
      <sheetName val="[Spt-BH.xls][Spt-BH_xls]B__5112"/>
      <sheetName val="[Spt-BH.xls][Spt-BH_xls]B__5113"/>
      <sheetName val="[Spt-BH.xls][Spt-BH_xls]B__5114"/>
      <sheetName val="[Spt-BH.xls][Spt-BH_xls]B__5115"/>
      <sheetName val="[Spt-BH.xls][Spt-BH_xls]_S_1692"/>
      <sheetName val="[Spt-BH.xls][Spt-BH_xls]B__5116"/>
      <sheetName val="[Spt-BH.xls][Spt-BH_xls]B__5117"/>
      <sheetName val="[Spt-BH.xls][Spt-BH_xls]B__5118"/>
      <sheetName val="[Spt-BH.xls][Spt-BH_xls]_S_1693"/>
      <sheetName val="[Spt-BH.xls][Spt-BH_xls]B__5119"/>
      <sheetName val="[Spt-BH.xls][Spt-BH_xls]B__5120"/>
      <sheetName val="[Spt-BH.xls][Spt-BH_xls]B__5121"/>
      <sheetName val="[Spt-BH.xls][Spt-BH_xls]B__5122"/>
      <sheetName val="[Spt-BH.xls][Spt-BH_xls]_S_1694"/>
      <sheetName val="[Spt-BH.xls][Spt-BH_xls]B__5123"/>
      <sheetName val="[Spt-BH.xls][Spt-BH_xls]B__5124"/>
      <sheetName val="[Spt-BH.xls][Spt-BH_xls]_S_1695"/>
      <sheetName val="[Spt-BH.xls][Spt-BH_xls]B__5125"/>
      <sheetName val="[Spt-BH.xls][Spt-BH_xls]B__5126"/>
      <sheetName val="[Spt-BH.xls][Spt-BH_xls]_S_1696"/>
      <sheetName val="[Spt-BH.xls][Spt-BH.xls]_S_1863"/>
      <sheetName val="[Spt-BH.xls][Spt-BH.xls]_S_1866"/>
      <sheetName val="[Spt-BH.xls][Spt-BH.xls]B__5347"/>
      <sheetName val="[Spt-BH.xls][Spt-BH.xls]B__5348"/>
      <sheetName val="[Spt-BH.xls][Spt-BH.xls]_S_1868"/>
      <sheetName val="[Spt-BH.xls][Spt-BH.xls]B__5349"/>
      <sheetName val="[Spt-BH.xls][Spt-BH.xls]B__5350"/>
      <sheetName val="[Spt-BH.xls][Spt-BH.xls]B__5351"/>
      <sheetName val="[Spt-BH.xls][Spt-BH.xls]B__5352"/>
      <sheetName val="[Spt-BH.xls][Spt-BH.xls]_S_1867"/>
      <sheetName val="[Spt-BH.xls][Spt-BH.xls]B__5354"/>
      <sheetName val="[Spt-BH.xls][Spt-BH.xls]B__5355"/>
      <sheetName val="[Spt-BH.xls][Spt-BH.xls]_S_1870"/>
      <sheetName val="[Spt-BH.xls][Spt-BH.xls]B__5356"/>
      <sheetName val="[Spt-BH.xls][Spt-BH.xls]B__5357"/>
      <sheetName val="[Spt-BH.xls]B____x005f_x0004______429"/>
      <sheetName val="[Spt-BH.xls]B___x005f_x0000__x000_421"/>
      <sheetName val="[Spt-BH.xls][Spt-BH.xls]B__5358"/>
      <sheetName val="[Spt-BH.xls][Spt-BH.xls]B__5359"/>
      <sheetName val="[Spt-BH.xls][Spt-BH.xls]B__5353"/>
      <sheetName val="[Spt-BH.xls][Spt-BH.xls]_S_1869"/>
      <sheetName val="[Spt-BH.xls][Spt-BH_xls]B__5142"/>
      <sheetName val="[Spt-BH.xls][Spt-BH_xls]B__5143"/>
      <sheetName val="[Spt-BH.xls][Spt-BH_xls]B__5144"/>
      <sheetName val="[Spt-BH.xls][Spt-BH_xls]B__5145"/>
      <sheetName val="[Spt-BH.xls][Spt-BH_xls]_S_1702"/>
      <sheetName val="[Spt-BH.xls][Spt-BH_xls]B__5146"/>
      <sheetName val="[Spt-BH.xls][Spt-BH_xls]B__5147"/>
      <sheetName val="[Spt-BH.xls][Spt-BH_xls]B__5148"/>
      <sheetName val="[Spt-BH.xls][Spt-BH_xls]_S_1703"/>
      <sheetName val="[Spt-BH.xls][Spt-BH_xls]B__5149"/>
      <sheetName val="[Spt-BH.xls][Spt-BH_xls]B__5150"/>
      <sheetName val="[Spt-BH.xls][Spt-BH_xls]B__5151"/>
      <sheetName val="[Spt-BH.xls][Spt-BH_xls]B__5152"/>
      <sheetName val="[Spt-BH.xls][Spt-BH_xls]_S_1704"/>
      <sheetName val="[Spt-BH.xls][Spt-BH_xls]B__5153"/>
      <sheetName val="[Spt-BH.xls][Spt-BH_xls]B__5154"/>
      <sheetName val="[Spt-BH.xls][Spt-BH_xls]_S_1705"/>
      <sheetName val="[Spt-BH.xls][Spt-BH_xls]B__5155"/>
      <sheetName val="[Spt-BH.xls][Spt-BH_xls]B__5156"/>
      <sheetName val="[Spt-BH.xls][Spt-BH_xls]_S_1706"/>
      <sheetName val="[Spt-BH.xls][Spt-BH.xls]_S_1864"/>
      <sheetName val="[Spt-BH.xls][Spt-BH.xls]B__5340"/>
      <sheetName val="[Spt-BH.xls][Spt-BH.xls]B__5341"/>
      <sheetName val="[Spt-BH.xls][Spt-BH.xls]B__5342"/>
      <sheetName val="[Spt-BH.xls][Spt-BH.xls]B__5343"/>
      <sheetName val="[Spt-BH.xls][Spt-BH.xls]B__5344"/>
      <sheetName val="[Spt-BH.xls][Spt-BH.xls]B__5345"/>
      <sheetName val="[Spt-BH.xls][Spt-BH.xls]_S_1865"/>
      <sheetName val="[Spt-BH.xls]B____x005f_x0004______428"/>
      <sheetName val="[Spt-BH.xls]B___x005f_x0000__x000_420"/>
      <sheetName val="[Spt-BH.xls][Spt-BH.xls]B__5346"/>
      <sheetName val="[Spt-BH.xls][Spt-BH_xls]B__5127"/>
      <sheetName val="[Spt-BH.xls][Spt-BH_xls]B__5128"/>
      <sheetName val="[Spt-BH.xls][Spt-BH_xls]B__5129"/>
      <sheetName val="[Spt-BH.xls][Spt-BH_xls]B__5130"/>
      <sheetName val="[Spt-BH.xls][Spt-BH_xls]_S_1697"/>
      <sheetName val="[Spt-BH.xls][Spt-BH_xls]B__5131"/>
      <sheetName val="[Spt-BH.xls][Spt-BH_xls]B__5132"/>
      <sheetName val="[Spt-BH.xls][Spt-BH_xls]B__5133"/>
      <sheetName val="[Spt-BH.xls][Spt-BH_xls]_S_1698"/>
      <sheetName val="[Spt-BH.xls][Spt-BH_xls]B__5134"/>
      <sheetName val="[Spt-BH.xls][Spt-BH_xls]B__5135"/>
      <sheetName val="[Spt-BH.xls][Spt-BH_xls]B__5136"/>
      <sheetName val="[Spt-BH.xls][Spt-BH_xls]B__5137"/>
      <sheetName val="[Spt-BH.xls][Spt-BH_xls]_S_1699"/>
      <sheetName val="[Spt-BH.xls][Spt-BH_xls]B__5138"/>
      <sheetName val="[Spt-BH.xls][Spt-BH_xls]B__5139"/>
      <sheetName val="[Spt-BH.xls][Spt-BH_xls]_S_1700"/>
      <sheetName val="[Spt-BH.xls][Spt-BH_xls]B__5140"/>
      <sheetName val="[Spt-BH.xls][Spt-BH_xls]B__5141"/>
      <sheetName val="[Spt-BH.xls][Spt-BH_xls]_S_1701"/>
      <sheetName val="[Spt-BH.xls][Spt-BH.xls]B__5360"/>
      <sheetName val="[Spt-BH.xls][Spt-BH.xls]B__5361"/>
      <sheetName val="[Spt-BH.xls][Spt-BH.xls]B__5362"/>
      <sheetName val="[Spt-BH.xls][Spt-BH.xls]B__5363"/>
      <sheetName val="[Spt-BH.xls][Spt-BH.xls]B__5364"/>
      <sheetName val="[Spt-BH.xls][Spt-BH.xls]B__5365"/>
      <sheetName val="[Spt-BH.xls][Spt-BH.xls]_S_1871"/>
      <sheetName val="[Spt-BH.xls][Spt-BH.xls]_S_1872"/>
      <sheetName val="[Spt-BH.xls][Spt-BH.xls]B__5366"/>
      <sheetName val="[Spt-BH.xls][Spt-BH.xls]B__5367"/>
      <sheetName val="[Spt-BH.xls][Spt-BH.xls]_S_1874"/>
      <sheetName val="[Spt-BH.xls][Spt-BH.xls]B__5368"/>
      <sheetName val="[Spt-BH.xls][Spt-BH.xls]B__5369"/>
      <sheetName val="[Spt-BH.xls][Spt-BH.xls]B__5370"/>
      <sheetName val="[Spt-BH.xls][Spt-BH.xls]B__5371"/>
      <sheetName val="[Spt-BH.xls][Spt-BH.xls]_S_1873"/>
      <sheetName val="[Spt-BH.xls][Spt-BH.xls]B__5373"/>
      <sheetName val="[Spt-BH.xls][Spt-BH.xls]B__5374"/>
      <sheetName val="[Spt-BH.xls][Spt-BH.xls]B__5375"/>
      <sheetName val="[Spt-BH.xls][Spt-BH.xls]B__5376"/>
      <sheetName val="[Spt-BH.xls]B____x005f_x0004______430"/>
      <sheetName val="[Spt-BH.xls]B___x005f_x0000__x000_422"/>
      <sheetName val="[Spt-BH.xls][Spt-BH.xls]B__5377"/>
      <sheetName val="[Spt-BH.xls][Spt-BH.xls]B__5378"/>
      <sheetName val="[Spt-BH.xls][Spt-BH.xls]B__5372"/>
      <sheetName val="[Spt-BH.xls][Spt-BH.xls]_S_1875"/>
      <sheetName val="[Spt-BH.xls][Spt-BH_xls]B__5157"/>
      <sheetName val="[Spt-BH.xls][Spt-BH_xls]B__5158"/>
      <sheetName val="[Spt-BH.xls][Spt-BH_xls]B__5159"/>
      <sheetName val="[Spt-BH.xls][Spt-BH_xls]B__5160"/>
      <sheetName val="[Spt-BH.xls][Spt-BH_xls]_S_1707"/>
      <sheetName val="[Spt-BH.xls][Spt-BH_xls]B__5161"/>
      <sheetName val="[Spt-BH.xls][Spt-BH_xls]B__5162"/>
      <sheetName val="[Spt-BH.xls][Spt-BH_xls]B__5163"/>
      <sheetName val="[Spt-BH.xls][Spt-BH_xls]_S_1708"/>
      <sheetName val="[Spt-BH.xls][Spt-BH_xls]B__5164"/>
      <sheetName val="[Spt-BH.xls][Spt-BH_xls]B__5165"/>
      <sheetName val="[Spt-BH.xls][Spt-BH_xls]B__5166"/>
      <sheetName val="[Spt-BH.xls][Spt-BH_xls]B__5167"/>
      <sheetName val="[Spt-BH.xls][Spt-BH_xls]_S_1709"/>
      <sheetName val="[Spt-BH.xls][Spt-BH_xls]B__5168"/>
      <sheetName val="[Spt-BH.xls][Spt-BH_xls]B__5169"/>
      <sheetName val="[Spt-BH.xls][Spt-BH_xls]_S_1710"/>
      <sheetName val="[Spt-BH.xls][Spt-BH_xls]B__5170"/>
      <sheetName val="[Spt-BH.xls][Spt-BH_xls]B__5171"/>
      <sheetName val="[Spt-BH.xls][Spt-BH_xls]_S_1711"/>
      <sheetName val="[Spt-BH.xls][Spt-BH.xls]_S_1880"/>
      <sheetName val="[Spt-BH.xls][Spt-BH.xls]B__5393"/>
      <sheetName val="[Spt-BH.xls][Spt-BH.xls]B__5394"/>
      <sheetName val="[Spt-BH.xls][Spt-BH.xls]B__5395"/>
      <sheetName val="[Spt-BH.xls][Spt-BH.xls]B__5396"/>
      <sheetName val="[Spt-BH.xls][Spt-BH.xls]B__5397"/>
      <sheetName val="[Spt-BH.xls][Spt-BH.xls]B__5398"/>
      <sheetName val="[Spt-BH.xls][Spt-BH.xls]_S_1881"/>
      <sheetName val="[Spt-BH.xls]B____x005f_x0004______433"/>
      <sheetName val="[Spt-BH.xls]B___x005f_x0000__x000_425"/>
      <sheetName val="[Spt-BH.xls][Spt-BH.xls]B__5399"/>
      <sheetName val="[Spt-BH.xls][Spt-BH_xls]B__5202"/>
      <sheetName val="[Spt-BH.xls][Spt-BH_xls]B__5203"/>
      <sheetName val="[Spt-BH.xls][Spt-BH_xls]B__5204"/>
      <sheetName val="[Spt-BH.xls][Spt-BH_xls]B__5205"/>
      <sheetName val="[Spt-BH.xls][Spt-BH_xls]_S_1722"/>
      <sheetName val="[Spt-BH.xls][Spt-BH_xls]B__5206"/>
      <sheetName val="[Spt-BH.xls][Spt-BH_xls]B__5207"/>
      <sheetName val="[Spt-BH.xls][Spt-BH_xls]B__5208"/>
      <sheetName val="[Spt-BH.xls][Spt-BH_xls]_S_1723"/>
      <sheetName val="[Spt-BH.xls][Spt-BH_xls]B__5209"/>
      <sheetName val="[Spt-BH.xls][Spt-BH_xls]B__5210"/>
      <sheetName val="[Spt-BH.xls][Spt-BH_xls]B__5211"/>
      <sheetName val="[Spt-BH.xls][Spt-BH_xls]B__5212"/>
      <sheetName val="[Spt-BH.xls][Spt-BH_xls]_S_1724"/>
      <sheetName val="[Spt-BH.xls][Spt-BH_xls]B__5213"/>
      <sheetName val="[Spt-BH.xls][Spt-BH_xls]B__5214"/>
      <sheetName val="[Spt-BH.xls][Spt-BH_xls]_S_1725"/>
      <sheetName val="[Spt-BH.xls][Spt-BH_xls]B__5215"/>
      <sheetName val="[Spt-BH.xls][Spt-BH_xls]B__5216"/>
      <sheetName val="[Spt-BH.xls][Spt-BH_xls]_S_1726"/>
      <sheetName val="[Spt-BH.xls][Spt-BH.xls]_S_1876"/>
      <sheetName val="[Spt-BH.xls][Spt-BH.xls]B__5379"/>
      <sheetName val="[Spt-BH.xls][Spt-BH.xls]B__5380"/>
      <sheetName val="[Spt-BH.xls][Spt-BH.xls]B__5381"/>
      <sheetName val="[Spt-BH.xls][Spt-BH.xls]B__5382"/>
      <sheetName val="[Spt-BH.xls][Spt-BH.xls]B__5383"/>
      <sheetName val="[Spt-BH.xls][Spt-BH.xls]B__5384"/>
      <sheetName val="[Spt-BH.xls][Spt-BH.xls]_S_1877"/>
      <sheetName val="[Spt-BH.xls]B____x005f_x0004______431"/>
      <sheetName val="[Spt-BH.xls]B___x005f_x0000__x000_423"/>
      <sheetName val="[Spt-BH.xls][Spt-BH.xls]B__5385"/>
      <sheetName val="[Spt-BH.xls][Spt-BH_xls]B__5172"/>
      <sheetName val="[Spt-BH.xls][Spt-BH_xls]B__5173"/>
      <sheetName val="[Spt-BH.xls][Spt-BH_xls]B__5174"/>
      <sheetName val="[Spt-BH.xls][Spt-BH_xls]B__5175"/>
      <sheetName val="[Spt-BH.xls][Spt-BH_xls]_S_1712"/>
      <sheetName val="[Spt-BH.xls][Spt-BH_xls]B__5176"/>
      <sheetName val="[Spt-BH.xls][Spt-BH_xls]B__5177"/>
      <sheetName val="[Spt-BH.xls][Spt-BH_xls]B__5178"/>
      <sheetName val="[Spt-BH.xls][Spt-BH_xls]_S_1713"/>
      <sheetName val="[Spt-BH.xls][Spt-BH_xls]B__5179"/>
      <sheetName val="[Spt-BH.xls][Spt-BH_xls]B__5180"/>
      <sheetName val="[Spt-BH.xls][Spt-BH_xls]B__5181"/>
      <sheetName val="[Spt-BH.xls][Spt-BH_xls]B__5182"/>
      <sheetName val="[Spt-BH.xls][Spt-BH_xls]_S_1714"/>
      <sheetName val="[Spt-BH.xls][Spt-BH_xls]B__5183"/>
      <sheetName val="[Spt-BH.xls][Spt-BH_xls]B__5184"/>
      <sheetName val="[Spt-BH.xls][Spt-BH_xls]_S_1715"/>
      <sheetName val="[Spt-BH.xls][Spt-BH_xls]B__5185"/>
      <sheetName val="[Spt-BH.xls][Spt-BH_xls]B__5186"/>
      <sheetName val="[Spt-BH.xls][Spt-BH_xls]_S_1716"/>
      <sheetName val="[Spt-BH.xls][Spt-BH.xls]_S_1878"/>
      <sheetName val="[Spt-BH.xls][Spt-BH.xls]B__5386"/>
      <sheetName val="[Spt-BH.xls][Spt-BH.xls]B__5387"/>
      <sheetName val="[Spt-BH.xls][Spt-BH.xls]B__5388"/>
      <sheetName val="[Spt-BH.xls][Spt-BH.xls]B__5389"/>
      <sheetName val="[Spt-BH.xls][Spt-BH.xls]B__5390"/>
      <sheetName val="[Spt-BH.xls][Spt-BH.xls]B__5391"/>
      <sheetName val="[Spt-BH.xls][Spt-BH.xls]_S_1879"/>
      <sheetName val="[Spt-BH.xls]B____x005f_x0004______432"/>
      <sheetName val="[Spt-BH.xls]B___x005f_x0000__x000_424"/>
      <sheetName val="[Spt-BH.xls][Spt-BH.xls]B__5392"/>
      <sheetName val="[Spt-BH.xls][Spt-BH_xls]B__5187"/>
      <sheetName val="[Spt-BH.xls][Spt-BH_xls]B__5188"/>
      <sheetName val="[Spt-BH.xls][Spt-BH_xls]B__5189"/>
      <sheetName val="[Spt-BH.xls][Spt-BH_xls]B__5190"/>
      <sheetName val="[Spt-BH.xls][Spt-BH_xls]_S_1717"/>
      <sheetName val="[Spt-BH.xls][Spt-BH_xls]B__5191"/>
      <sheetName val="[Spt-BH.xls][Spt-BH_xls]B__5192"/>
      <sheetName val="[Spt-BH.xls][Spt-BH_xls]B__5193"/>
      <sheetName val="[Spt-BH.xls][Spt-BH_xls]_S_1718"/>
      <sheetName val="[Spt-BH.xls][Spt-BH_xls]B__5194"/>
      <sheetName val="[Spt-BH.xls][Spt-BH_xls]B__5195"/>
      <sheetName val="[Spt-BH.xls][Spt-BH_xls]B__5196"/>
      <sheetName val="[Spt-BH.xls][Spt-BH_xls]B__5197"/>
      <sheetName val="[Spt-BH.xls][Spt-BH_xls]_S_1719"/>
      <sheetName val="[Spt-BH.xls][Spt-BH_xls]B__5198"/>
      <sheetName val="[Spt-BH.xls][Spt-BH_xls]B__5199"/>
      <sheetName val="[Spt-BH.xls][Spt-BH_xls]_S_1720"/>
      <sheetName val="[Spt-BH.xls][Spt-BH_xls]B__5200"/>
      <sheetName val="[Spt-BH.xls][Spt-BH_xls]B__5201"/>
      <sheetName val="[Spt-BH.xls][Spt-BH_xls]_S_1721"/>
      <sheetName val="[Spt-BH.xls][Spt-BH.xls]B__5414"/>
      <sheetName val="[Spt-BH.xls][Spt-BH.xls]B__5415"/>
      <sheetName val="[Spt-BH.xls][Spt-BH.xls]_S_1892"/>
      <sheetName val="[Spt-BH.xls][Spt-BH.xls]B__5416"/>
      <sheetName val="[Spt-BH.xls][Spt-BH.xls]B__5417"/>
      <sheetName val="[Spt-BH.xls]B____x005f_x0004______435"/>
      <sheetName val="[Spt-BH.xls]B___x005f_x0000__x000_427"/>
      <sheetName val="[Spt-BH.xls][Spt-BH.xls]B__5418"/>
      <sheetName val="[Spt-BH.xls][Spt-BH.xls]B__5419"/>
      <sheetName val="[Spt-BH.xls][Spt-BH.xls]B__5413"/>
      <sheetName val="[Spt-BH.xls][Spt-BH.xls]_S_1887"/>
      <sheetName val="[Spt-BH.xls][Spt-BH_xls]B__5232"/>
      <sheetName val="[Spt-BH.xls][Spt-BH_xls]B__5233"/>
      <sheetName val="[Spt-BH.xls][Spt-BH_xls]B__5234"/>
      <sheetName val="[Spt-BH.xls][Spt-BH_xls]B__5235"/>
      <sheetName val="[Spt-BH.xls][Spt-BH_xls]_S_1732"/>
      <sheetName val="[Spt-BH.xls][Spt-BH_xls]B__5236"/>
      <sheetName val="[Spt-BH.xls][Spt-BH_xls]B__5237"/>
      <sheetName val="[Spt-BH.xls][Spt-BH_xls]B__5238"/>
      <sheetName val="[Spt-BH.xls][Spt-BH_xls]_S_1733"/>
      <sheetName val="[Spt-BH.xls][Spt-BH_xls]B__5239"/>
      <sheetName val="[Spt-BH.xls][Spt-BH_xls]B__5240"/>
      <sheetName val="[Spt-BH.xls][Spt-BH_xls]B__5241"/>
      <sheetName val="[Spt-BH.xls][Spt-BH_xls]B__5242"/>
      <sheetName val="[Spt-BH.xls][Spt-BH_xls]_S_1734"/>
      <sheetName val="[Spt-BH.xls][Spt-BH_xls]B__5243"/>
      <sheetName val="[Spt-BH.xls][Spt-BH_xls]B__5244"/>
      <sheetName val="[Spt-BH.xls][Spt-BH_xls]_S_1735"/>
      <sheetName val="[Spt-BH.xls][Spt-BH_xls]B__5245"/>
      <sheetName val="[Spt-BH.xls][Spt-BH_xls]B__5246"/>
      <sheetName val="[Spt-BH.xls][Spt-BH_xls]_S_1736"/>
      <sheetName val="[Spt-BH.xls][Spt-BH.xls]B__5434"/>
      <sheetName val="[Spt-BH.xls][Spt-BH.xls]B__5435"/>
      <sheetName val="[Spt-BH.xls][Spt-BH.xls]_S_1894"/>
      <sheetName val="[Spt-BH.xls][Spt-BH.xls]B__5436"/>
      <sheetName val="[Spt-BH.xls][Spt-BH.xls]B__5437"/>
      <sheetName val="[Spt-BH.xls][Spt-BH.xls]B__5438"/>
      <sheetName val="[Spt-BH.xls][Spt-BH.xls]B__5439"/>
      <sheetName val="[Spt-BH.xls][Spt-BH.xls]_S_1893"/>
      <sheetName val="[Spt-BH.xls][Spt-BH.xls]B__5441"/>
      <sheetName val="[Spt-BH.xls][Spt-BH.xls]B__5442"/>
      <sheetName val="[Spt-BH.xls][Spt-BH.xls]_S_1896"/>
      <sheetName val="[Spt-BH.xls][Spt-BH.xls]B__5443"/>
      <sheetName val="[Spt-BH.xls][Spt-BH.xls]B__5444"/>
      <sheetName val="[Spt-BH.xls]B____x005f_x0004______438"/>
      <sheetName val="[Spt-BH.xls]B___x005f_x0000__x000_430"/>
      <sheetName val="[Spt-BH.xls][Spt-BH.xls]B__5445"/>
      <sheetName val="[Spt-BH.xls][Spt-BH.xls]B__5446"/>
      <sheetName val="[Spt-BH.xls][Spt-BH.xls]B__5440"/>
      <sheetName val="[Spt-BH.xls][Spt-BH.xls]_S_1895"/>
      <sheetName val="[Spt-BH.xls][Spt-BH_xls]B__5277"/>
      <sheetName val="[Spt-BH.xls][Spt-BH_xls]B__5278"/>
      <sheetName val="[Spt-BH.xls][Spt-BH_xls]B__5279"/>
      <sheetName val="[Spt-BH.xls][Spt-BH_xls]B__5280"/>
      <sheetName val="[Spt-BH.xls][Spt-BH_xls]_S_1747"/>
      <sheetName val="[Spt-BH.xls][Spt-BH_xls]B__5281"/>
      <sheetName val="[Spt-BH.xls][Spt-BH_xls]B__5282"/>
      <sheetName val="[Spt-BH.xls][Spt-BH_xls]B__5283"/>
      <sheetName val="[Spt-BH.xls][Spt-BH_xls]_S_1748"/>
      <sheetName val="[Spt-BH.xls][Spt-BH_xls]B__5284"/>
      <sheetName val="[Spt-BH.xls][Spt-BH_xls]B__5285"/>
      <sheetName val="[Spt-BH.xls][Spt-BH_xls]B__5286"/>
      <sheetName val="[Spt-BH.xls][Spt-BH_xls]B__5287"/>
      <sheetName val="[Spt-BH.xls][Spt-BH_xls]_S_1749"/>
      <sheetName val="[Spt-BH.xls][Spt-BH_xls]B__5288"/>
      <sheetName val="[Spt-BH.xls][Spt-BH_xls]B__5289"/>
      <sheetName val="[Spt-BH.xls][Spt-BH_xls]_S_1750"/>
      <sheetName val="[Spt-BH.xls][Spt-BH_xls]B__5290"/>
      <sheetName val="[Spt-BH.xls][Spt-BH_xls]B__5291"/>
      <sheetName val="[Spt-BH.xls][Spt-BH_xls]_S_1751"/>
      <sheetName val="[Spt-BH.xls][Spt-BH.xls]_S_1888"/>
      <sheetName val="[Spt-BH.xls][Spt-BH.xls]B__5420"/>
      <sheetName val="[Spt-BH.xls][Spt-BH.xls]B__5421"/>
      <sheetName val="[Spt-BH.xls][Spt-BH.xls]B__5422"/>
      <sheetName val="[Spt-BH.xls][Spt-BH.xls]B__5423"/>
      <sheetName val="[Spt-BH.xls][Spt-BH.xls]B__5424"/>
      <sheetName val="[Spt-BH.xls][Spt-BH.xls]B__5425"/>
      <sheetName val="[Spt-BH.xls][Spt-BH.xls]_S_1889"/>
      <sheetName val="[Spt-BH.xls]B____x005f_x0004______436"/>
      <sheetName val="[Spt-BH.xls]B___x005f_x0000__x000_428"/>
      <sheetName val="[Spt-BH.xls][Spt-BH.xls]B__5426"/>
      <sheetName val="[Spt-BH.xls][Spt-BH_xls]B__5247"/>
      <sheetName val="[Spt-BH.xls][Spt-BH_xls]B__5248"/>
      <sheetName val="[Spt-BH.xls][Spt-BH_xls]B__5249"/>
      <sheetName val="[Spt-BH.xls][Spt-BH_xls]B__5250"/>
      <sheetName val="[Spt-BH.xls][Spt-BH_xls]_S_1737"/>
      <sheetName val="[Spt-BH.xls][Spt-BH_xls]B__5251"/>
      <sheetName val="[Spt-BH.xls][Spt-BH_xls]B__5252"/>
      <sheetName val="[Spt-BH.xls][Spt-BH_xls]B__5253"/>
      <sheetName val="[Spt-BH.xls][Spt-BH_xls]_S_1738"/>
      <sheetName val="[Spt-BH.xls][Spt-BH_xls]B__5254"/>
      <sheetName val="[Spt-BH.xls][Spt-BH_xls]B__5255"/>
      <sheetName val="[Spt-BH.xls][Spt-BH_xls]B__5256"/>
      <sheetName val="[Spt-BH.xls][Spt-BH_xls]B__5257"/>
      <sheetName val="[Spt-BH.xls][Spt-BH_xls]_S_1739"/>
      <sheetName val="[Spt-BH.xls][Spt-BH_xls]B__5258"/>
      <sheetName val="[Spt-BH.xls][Spt-BH_xls]B__5259"/>
      <sheetName val="[Spt-BH.xls][Spt-BH_xls]_S_1740"/>
      <sheetName val="[Spt-BH.xls][Spt-BH_xls]B__5260"/>
      <sheetName val="[Spt-BH.xls][Spt-BH_xls]B__5261"/>
      <sheetName val="[Spt-BH.xls][Spt-BH_xls]_S_1741"/>
      <sheetName val="[Spt-BH.xls][Spt-BH.xls]_S_1890"/>
      <sheetName val="[Spt-BH.xls][Spt-BH.xls]B__5427"/>
      <sheetName val="[Spt-BH.xls][Spt-BH.xls]B__5428"/>
      <sheetName val="[Spt-BH.xls][Spt-BH.xls]B__5429"/>
      <sheetName val="[Spt-BH.xls][Spt-BH.xls]B__5430"/>
      <sheetName val="[Spt-BH.xls][Spt-BH.xls]B__5431"/>
      <sheetName val="[Spt-BH.xls][Spt-BH.xls]B__5432"/>
      <sheetName val="[Spt-BH.xls][Spt-BH.xls]_S_1891"/>
      <sheetName val="[Spt-BH.xls]B____x005f_x0004______437"/>
      <sheetName val="[Spt-BH.xls]B___x005f_x0000__x000_429"/>
      <sheetName val="[Spt-BH.xls][Spt-BH.xls]B__5433"/>
      <sheetName val="[Spt-BH.xls][Spt-BH_xls]B__5262"/>
      <sheetName val="[Spt-BH.xls][Spt-BH_xls]B__5263"/>
      <sheetName val="[Spt-BH.xls][Spt-BH_xls]B__5264"/>
      <sheetName val="[Spt-BH.xls][Spt-BH_xls]B__5265"/>
      <sheetName val="[Spt-BH.xls][Spt-BH_xls]_S_1742"/>
      <sheetName val="[Spt-BH.xls][Spt-BH_xls]B__5266"/>
      <sheetName val="[Spt-BH.xls][Spt-BH_xls]B__5267"/>
      <sheetName val="[Spt-BH.xls][Spt-BH_xls]B__5268"/>
      <sheetName val="[Spt-BH.xls][Spt-BH_xls]_S_1743"/>
      <sheetName val="[Spt-BH.xls][Spt-BH_xls]B__5269"/>
      <sheetName val="[Spt-BH.xls][Spt-BH_xls]B__5270"/>
      <sheetName val="[Spt-BH.xls][Spt-BH_xls]B__5271"/>
      <sheetName val="[Spt-BH.xls][Spt-BH_xls]B__5272"/>
      <sheetName val="[Spt-BH.xls][Spt-BH_xls]_S_1744"/>
      <sheetName val="[Spt-BH.xls][Spt-BH_xls]B__5273"/>
      <sheetName val="[Spt-BH.xls][Spt-BH_xls]B__5274"/>
      <sheetName val="[Spt-BH.xls][Spt-BH_xls]_S_1745"/>
      <sheetName val="[Spt-BH.xls][Spt-BH_xls]B__5275"/>
      <sheetName val="[Spt-BH.xls][Spt-BH_xls]B__5276"/>
      <sheetName val="[Spt-BH.xls][Spt-BH_xls]_S_1746"/>
      <sheetName val="[Spt-BH.xls][Spt-BH.xls]B__5448"/>
      <sheetName val="[Spt-BH.xls][Spt-BH.xls]B__5449"/>
      <sheetName val="[Spt-BH.xls][Spt-BH.xls]_S_1898"/>
      <sheetName val="[Spt-BH.xls][Spt-BH.xls]B__5450"/>
      <sheetName val="[Spt-BH.xls][Spt-BH.xls]B__5451"/>
      <sheetName val="[Spt-BH.xls]B____x005f_x0004______439"/>
      <sheetName val="[Spt-BH.xls]B___x005f_x0000__x000_431"/>
      <sheetName val="[Spt-BH.xls][Spt-BH.xls]B__5452"/>
      <sheetName val="[Spt-BH.xls][Spt-BH.xls]B__5453"/>
      <sheetName val="[Spt-BH.xls][Spt-BH.xls]B__5447"/>
      <sheetName val="[Spt-BH.xls][Spt-BH.xls]_S_1897"/>
      <sheetName val="[Spt-BH.xls][Spt-BH_xls]B__5292"/>
      <sheetName val="[Spt-BH.xls][Spt-BH_xls]B__5293"/>
      <sheetName val="[Spt-BH.xls][Spt-BH_xls]B__5294"/>
      <sheetName val="[Spt-BH.xls][Spt-BH_xls]B__5295"/>
      <sheetName val="[Spt-BH.xls][Spt-BH_xls]_S_1752"/>
      <sheetName val="[Spt-BH.xls][Spt-BH_xls]B__5296"/>
      <sheetName val="[Spt-BH.xls][Spt-BH_xls]B__5297"/>
      <sheetName val="[Spt-BH.xls][Spt-BH_xls]B__5298"/>
      <sheetName val="[Spt-BH.xls][Spt-BH_xls]_S_1753"/>
      <sheetName val="[Spt-BH.xls][Spt-BH_xls]B__5299"/>
      <sheetName val="[Spt-BH.xls][Spt-BH_xls]B__5300"/>
      <sheetName val="[Spt-BH.xls][Spt-BH_xls]B__5301"/>
      <sheetName val="[Spt-BH.xls][Spt-BH_xls]B__5302"/>
      <sheetName val="[Spt-BH.xls][Spt-BH_xls]_S_1754"/>
      <sheetName val="[Spt-BH.xls][Spt-BH_xls]B__5303"/>
      <sheetName val="[Spt-BH.xls][Spt-BH_xls]B__5304"/>
      <sheetName val="[Spt-BH.xls][Spt-BH_xls]_S_1755"/>
      <sheetName val="[Spt-BH.xls][Spt-BH_xls]B__5305"/>
      <sheetName val="[Spt-BH.xls][Spt-BH_xls]B__5306"/>
      <sheetName val="[Spt-BH.xls][Spt-BH_xls]_S_1756"/>
      <sheetName val="[Spt-BH.xls][Spt-BH.xls]B__5455"/>
      <sheetName val="[Spt-BH.xls][Spt-BH.xls]B__5456"/>
      <sheetName val="[Spt-BH.xls][Spt-BH.xls]_S_1900"/>
      <sheetName val="[Spt-BH.xls][Spt-BH.xls]B__5457"/>
      <sheetName val="[Spt-BH.xls][Spt-BH.xls]B__5458"/>
      <sheetName val="[Spt-BH.xls]B____x005f_x0004______440"/>
      <sheetName val="[Spt-BH.xls]B___x005f_x0000__x000_432"/>
      <sheetName val="[Spt-BH.xls][Spt-BH.xls]B__5459"/>
      <sheetName val="[Spt-BH.xls][Spt-BH.xls]B__5460"/>
      <sheetName val="[Spt-BH.xls][Spt-BH.xls]B__5454"/>
      <sheetName val="[Spt-BH.xls][Spt-BH.xls]_S_1899"/>
      <sheetName val="[Spt-BH.xls][Spt-BH_xls]B__5307"/>
      <sheetName val="[Spt-BH.xls][Spt-BH_xls]B__5308"/>
      <sheetName val="[Spt-BH.xls][Spt-BH_xls]B__5309"/>
      <sheetName val="[Spt-BH.xls][Spt-BH_xls]B__5310"/>
      <sheetName val="[Spt-BH.xls][Spt-BH_xls]_S_1757"/>
      <sheetName val="[Spt-BH.xls][Spt-BH_xls]B__5311"/>
      <sheetName val="[Spt-BH.xls][Spt-BH_xls]B__5312"/>
      <sheetName val="[Spt-BH.xls][Spt-BH_xls]B__5313"/>
      <sheetName val="[Spt-BH.xls][Spt-BH_xls]_S_1758"/>
      <sheetName val="[Spt-BH.xls][Spt-BH_xls]B__5314"/>
      <sheetName val="[Spt-BH.xls][Spt-BH_xls]B__5315"/>
      <sheetName val="[Spt-BH.xls][Spt-BH_xls]B__5316"/>
      <sheetName val="[Spt-BH.xls][Spt-BH_xls]B__5317"/>
      <sheetName val="[Spt-BH.xls][Spt-BH_xls]_S_1759"/>
      <sheetName val="[Spt-BH.xls][Spt-BH_xls]B__5318"/>
      <sheetName val="[Spt-BH.xls][Spt-BH_xls]B__5319"/>
      <sheetName val="[Spt-BH.xls][Spt-BH_xls]_S_1760"/>
      <sheetName val="[Spt-BH.xls][Spt-BH_xls]B__5320"/>
      <sheetName val="[Spt-BH.xls][Spt-BH_xls]B__5321"/>
      <sheetName val="[Spt-BH.xls][Spt-BH_xls]_S_1761"/>
      <sheetName val="[Spt-BH.xls][Spt-BH.xls]_S_1901"/>
      <sheetName val="[Spt-BH.xls][Spt-BH.xls]B__5461"/>
      <sheetName val="[Spt-BH.xls][Spt-BH.xls]B__5462"/>
      <sheetName val="[Spt-BH.xls][Spt-BH.xls]_S_1904"/>
      <sheetName val="[Spt-BH.xls][Spt-BH.xls]B__5463"/>
      <sheetName val="[Spt-BH.xls][Spt-BH.xls]B__5464"/>
      <sheetName val="[Spt-BH.xls][Spt-BH.xls]B__5468"/>
      <sheetName val="[Spt-BH.xls][Spt-BH.xls]B__5469"/>
      <sheetName val="[Spt-BH.xls][Spt-BH.xls]_S_1906"/>
      <sheetName val="[Spt-BH.xls][Spt-BH.xls]B__5470"/>
      <sheetName val="[Spt-BH.xls][Spt-BH.xls]B__5471"/>
      <sheetName val="[Spt-BH.xls]B____x005f_x0004______441"/>
      <sheetName val="[Spt-BH.xls][Spt-BH.xls]B__5465"/>
      <sheetName val="[Spt-BH.xls][Spt-BH.xls]_S_1902"/>
      <sheetName val="[Spt-BH.xls][Spt-BH.xls]B__5466"/>
      <sheetName val="[Spt-BH.xls]B___x005f_x0000__x000_433"/>
      <sheetName val="[Spt-BH.xls][Spt-BH.xls]B__5472"/>
      <sheetName val="[Spt-BH.xls][Spt-BH.xls]B__5473"/>
      <sheetName val="[Spt-BH.xls][Spt-BH.xls]B__5467"/>
      <sheetName val="[Spt-BH.xls][Spt-BH.xls]_S_1905"/>
      <sheetName val="[Spt-BH.xls][Spt-BH_xls]B__5322"/>
      <sheetName val="[Spt-BH.xls][Spt-BH_xls]B__5323"/>
      <sheetName val="[Spt-BH.xls][Spt-BH_xls]B__5324"/>
      <sheetName val="[Spt-BH.xls][Spt-BH_xls]B__5325"/>
      <sheetName val="[Spt-BH.xls][Spt-BH_xls]_S_1762"/>
      <sheetName val="[Spt-BH.xls][Spt-BH_xls]B__5326"/>
      <sheetName val="[Spt-BH.xls][Spt-BH_xls]B__5327"/>
      <sheetName val="[Spt-BH.xls][Spt-BH_xls]B__5328"/>
      <sheetName val="[Spt-BH.xls][Spt-BH_xls]_S_1763"/>
      <sheetName val="[Spt-BH.xls][Spt-BH_xls]B__5329"/>
      <sheetName val="[Spt-BH.xls][Spt-BH_xls]B__5330"/>
      <sheetName val="[Spt-BH.xls][Spt-BH_xls]B__5331"/>
      <sheetName val="[Spt-BH.xls][Spt-BH_xls]B__5332"/>
      <sheetName val="[Spt-BH.xls][Spt-BH_xls]_S_1764"/>
      <sheetName val="[Spt-BH.xls][Spt-BH.xls]_S_1903"/>
      <sheetName val="[Spt-BH.xls][Spt-BH_xls]B__5333"/>
      <sheetName val="[Spt-BH.xls][Spt-BH_xls]B__5334"/>
      <sheetName val="[Spt-BH.xls][Spt-BH_xls]_S_1765"/>
      <sheetName val="[Spt-BH.xls][Spt-BH_xls]B__5335"/>
      <sheetName val="[Spt-BH.xls][Spt-BH_xls]B__5336"/>
      <sheetName val="[Spt-BH.xls][Spt-BH_xls]_S_1766"/>
      <sheetName val="[Spt-BH.xls][Spt-BH.xls]B__5474"/>
      <sheetName val="[Spt-BH.xls][Spt-BH.xls]B__5475"/>
      <sheetName val="[Spt-BH.xls][Spt-BH.xls]B__5476"/>
      <sheetName val="[Spt-BH.xls][Spt-BH.xls]B__5477"/>
      <sheetName val="[Spt-BH.xls][Spt-BH.xls]B__5478"/>
      <sheetName val="[Spt-BH.xls][Spt-BH.xls]B__5479"/>
      <sheetName val="[Spt-BH.xls][Spt-BH.xls]_S_1907"/>
      <sheetName val="[Spt-BH.xls][Spt-BH.xls]_S_1908"/>
      <sheetName val="[Spt-BH.xls][Spt-BH.xls]B__5480"/>
      <sheetName val="[Spt-BH.xls][Spt-BH.xls]B__5481"/>
      <sheetName val="[Spt-BH.xls][Spt-BH.xls]_S_1911"/>
      <sheetName val="[Spt-BH.xls][Spt-BH.xls]B__5482"/>
      <sheetName val="[Spt-BH.xls][Spt-BH.xls]B__5483"/>
      <sheetName val="[Spt-BH.xls][Spt-BH.xls]B__5487"/>
      <sheetName val="[Spt-BH.xls][Spt-BH.xls]B__5488"/>
      <sheetName val="[Spt-BH.xls][Spt-BH.xls]_S_1913"/>
      <sheetName val="[Spt-BH.xls][Spt-BH.xls]B__5489"/>
      <sheetName val="[Spt-BH.xls][Spt-BH.xls]B__5490"/>
      <sheetName val="[Spt-BH.xls]B____x005f_x0004______442"/>
      <sheetName val="[Spt-BH.xls][Spt-BH.xls]B__5484"/>
      <sheetName val="[Spt-BH.xls][Spt-BH.xls]_S_1909"/>
      <sheetName val="[Spt-BH.xls][Spt-BH.xls]B__5485"/>
      <sheetName val="[Spt-BH.xls]B___x005f_x0000__x000_434"/>
      <sheetName val="[Spt-BH.xls][Spt-BH.xls]B__5491"/>
      <sheetName val="[Spt-BH.xls][Spt-BH.xls]B__5492"/>
      <sheetName val="[Spt-BH.xls][Spt-BH.xls]B__5486"/>
      <sheetName val="[Spt-BH.xls][Spt-BH.xls]_S_1912"/>
      <sheetName val="[Spt-BH.xls][Spt-BH_xls]B__5337"/>
      <sheetName val="[Spt-BH.xls][Spt-BH_xls]B__5338"/>
      <sheetName val="[Spt-BH.xls][Spt-BH_xls]B__5339"/>
      <sheetName val="[Spt-BH.xls][Spt-BH_xls]B__5340"/>
      <sheetName val="[Spt-BH.xls][Spt-BH_xls]_S_1767"/>
      <sheetName val="[Spt-BH.xls][Spt-BH_xls]B__5341"/>
      <sheetName val="[Spt-BH.xls][Spt-BH_xls]B__5342"/>
      <sheetName val="[Spt-BH.xls][Spt-BH_xls]B__5343"/>
      <sheetName val="[Spt-BH.xls][Spt-BH_xls]_S_1768"/>
      <sheetName val="[Spt-BH.xls][Spt-BH_xls]B__5344"/>
      <sheetName val="[Spt-BH.xls][Spt-BH_xls]B__5345"/>
      <sheetName val="[Spt-BH.xls][Spt-BH_xls]B__5346"/>
      <sheetName val="[Spt-BH.xls][Spt-BH_xls]B__5347"/>
      <sheetName val="[Spt-BH.xls][Spt-BH_xls]_S_1769"/>
      <sheetName val="[Spt-BH.xls][Spt-BH.xls]_S_1910"/>
      <sheetName val="[Spt-BH.xls][Spt-BH_xls]B__5348"/>
      <sheetName val="[Spt-BH.xls][Spt-BH_xls]B__5349"/>
      <sheetName val="[Spt-BH.xls][Spt-BH_xls]_S_1770"/>
      <sheetName val="[Spt-BH.xls][Spt-BH_xls]B__5350"/>
      <sheetName val="[Spt-BH.xls][Spt-BH_xls]B__5351"/>
      <sheetName val="[Spt-BH.xls][Spt-BH_xls]_S_1771"/>
      <sheetName val="[Spt-BH.xls][Spt-BH.xls]B__5500"/>
      <sheetName val="[Spt-BH.xls][Spt-BH.xls]B__5501"/>
      <sheetName val="[Spt-BH.xls][Spt-BH.xls]_S_1918"/>
      <sheetName val="[Spt-BH.xls][Spt-BH.xls]B__5502"/>
      <sheetName val="[Spt-BH.xls][Spt-BH.xls]B__5503"/>
      <sheetName val="[Spt-BH.xls][Spt-BH.xls]B__5507"/>
      <sheetName val="[Spt-BH.xls][Spt-BH.xls]B__5508"/>
      <sheetName val="[Spt-BH.xls][Spt-BH.xls]_S_1920"/>
      <sheetName val="[Spt-BH.xls][Spt-BH.xls]B__5509"/>
      <sheetName val="[Spt-BH.xls][Spt-BH.xls]B__5510"/>
      <sheetName val="[Spt-BH.xls]B____x005f_x0004______444"/>
      <sheetName val="[Spt-BH.xls][Spt-BH.xls]B__5504"/>
      <sheetName val="[Spt-BH.xls][Spt-BH.xls]_S_1916"/>
      <sheetName val="[Spt-BH.xls][Spt-BH.xls]B__5505"/>
      <sheetName val="[Spt-BH.xls]B___x005f_x0000__x000_436"/>
      <sheetName val="[Spt-BH.xls][Spt-BH.xls]B__5511"/>
      <sheetName val="[Spt-BH.xls][Spt-BH.xls]B__5512"/>
      <sheetName val="[Spt-BH.xls][Spt-BH.xls]B__5506"/>
      <sheetName val="[Spt-BH.xls][Spt-BH.xls]_S_1919"/>
      <sheetName val="[Spt-BH.xls][Spt-BH_xls]B__5367"/>
      <sheetName val="[Spt-BH.xls][Spt-BH_xls]B__5368"/>
      <sheetName val="[Spt-BH.xls][Spt-BH_xls]B__5369"/>
      <sheetName val="[Spt-BH.xls][Spt-BH_xls]B__5370"/>
      <sheetName val="[Spt-BH.xls][Spt-BH_xls]_S_1777"/>
      <sheetName val="[Spt-BH.xls][Spt-BH_xls]B__5371"/>
      <sheetName val="[Spt-BH.xls][Spt-BH_xls]B__5372"/>
      <sheetName val="[Spt-BH.xls][Spt-BH_xls]B__5373"/>
      <sheetName val="[Spt-BH.xls][Spt-BH_xls]_S_1778"/>
      <sheetName val="[Spt-BH.xls][Spt-BH_xls]B__5374"/>
      <sheetName val="[Spt-BH.xls][Spt-BH_xls]B__5375"/>
      <sheetName val="[Spt-BH.xls][Spt-BH_xls]B__5376"/>
      <sheetName val="[Spt-BH.xls][Spt-BH_xls]B__5377"/>
      <sheetName val="[Spt-BH.xls][Spt-BH_xls]_S_1779"/>
      <sheetName val="[Spt-BH.xls][Spt-BH.xls]_S_1917"/>
      <sheetName val="[Spt-BH.xls][Spt-BH_xls]B__5378"/>
      <sheetName val="[Spt-BH.xls][Spt-BH_xls]B__5379"/>
      <sheetName val="[Spt-BH.xls][Spt-BH_xls]_S_1780"/>
      <sheetName val="[Spt-BH.xls][Spt-BH_xls]B__5380"/>
      <sheetName val="[Spt-BH.xls][Spt-BH_xls]B__5381"/>
      <sheetName val="[Spt-BH.xls][Spt-BH_xls]_S_1781"/>
      <sheetName val="[Spt-BH.xls][Spt-BH.xls]B__5493"/>
      <sheetName val="[Spt-BH.xls][Spt-BH.xls]B__5494"/>
      <sheetName val="[Spt-BH.xls][Spt-BH.xls]B__5495"/>
      <sheetName val="[Spt-BH.xls][Spt-BH.xls]B__5496"/>
      <sheetName val="[Spt-BH.xls]B____x005f_x0004______443"/>
      <sheetName val="[Spt-BH.xls][Spt-BH.xls]B__5497"/>
      <sheetName val="[Spt-BH.xls][Spt-BH.xls]_S_1914"/>
      <sheetName val="[Spt-BH.xls][Spt-BH.xls]B__5498"/>
      <sheetName val="[Spt-BH.xls]B___x005f_x0000__x000_435"/>
      <sheetName val="[Spt-BH.xls][Spt-BH.xls]B__5499"/>
      <sheetName val="[Spt-BH.xls][Spt-BH_xls]B__5352"/>
      <sheetName val="[Spt-BH.xls][Spt-BH_xls]B__5353"/>
      <sheetName val="[Spt-BH.xls][Spt-BH_xls]B__5354"/>
      <sheetName val="[Spt-BH.xls][Spt-BH_xls]B__5355"/>
      <sheetName val="[Spt-BH.xls][Spt-BH_xls]_S_1772"/>
      <sheetName val="[Spt-BH.xls][Spt-BH_xls]B__5356"/>
      <sheetName val="[Spt-BH.xls][Spt-BH_xls]B__5357"/>
      <sheetName val="[Spt-BH.xls][Spt-BH_xls]B__5358"/>
      <sheetName val="[Spt-BH.xls][Spt-BH_xls]_S_1773"/>
      <sheetName val="[Spt-BH.xls][Spt-BH_xls]B__5359"/>
      <sheetName val="[Spt-BH.xls][Spt-BH_xls]B__5360"/>
      <sheetName val="[Spt-BH.xls][Spt-BH_xls]B__5361"/>
      <sheetName val="[Spt-BH.xls][Spt-BH_xls]B__5362"/>
      <sheetName val="[Spt-BH.xls][Spt-BH_xls]_S_1774"/>
      <sheetName val="[Spt-BH.xls][Spt-BH.xls]_S_1915"/>
      <sheetName val="[Spt-BH.xls][Spt-BH_xls]B__5363"/>
      <sheetName val="[Spt-BH.xls][Spt-BH_xls]B__5364"/>
      <sheetName val="[Spt-BH.xls][Spt-BH_xls]_S_1775"/>
      <sheetName val="[Spt-BH.xls][Spt-BH_xls]B__5365"/>
      <sheetName val="[Spt-BH.xls][Spt-BH_xls]B__5366"/>
      <sheetName val="[Spt-BH.xls][Spt-BH_xls]_S_1776"/>
      <sheetName val="[Spt-BH.xls][Spt-BH.xls]_S_1921"/>
      <sheetName val="[Spt-BH.xls][Spt-BH.xls]_S_1922"/>
      <sheetName val="[Spt-BH.xls][Spt-BH.xls]_S_1925"/>
      <sheetName val="[Spt-BH.xls][Spt-BH.xls]B__5520"/>
      <sheetName val="[Spt-BH.xls][Spt-BH.xls]B__5521"/>
      <sheetName val="[Spt-BH.xls][Spt-BH.xls]B__5522"/>
      <sheetName val="[Spt-BH.xls][Spt-BH.xls]B__5523"/>
      <sheetName val="[Spt-BH.xls]B____x005f_x0004______446"/>
      <sheetName val="[Spt-BH.xls][Spt-BH.xls]B__5524"/>
      <sheetName val="[Spt-BH.xls][Spt-BH.xls]B__5525"/>
      <sheetName val="[Spt-BH.xls]B___x005f_x0000__x000_438"/>
      <sheetName val="[Spt-BH.xls][Spt-BH.xls]B__5526"/>
      <sheetName val="[Spt-BH.xls][Spt-BH_xls]B__5397"/>
      <sheetName val="[Spt-BH.xls][Spt-BH_xls]B__5398"/>
      <sheetName val="[Spt-BH.xls][Spt-BH_xls]B__5399"/>
      <sheetName val="[Spt-BH.xls][Spt-BH_xls]B__5400"/>
      <sheetName val="[Spt-BH.xls][Spt-BH_xls]_S_1787"/>
      <sheetName val="[Spt-BH.xls][Spt-BH_xls]B__5401"/>
      <sheetName val="[Spt-BH.xls][Spt-BH_xls]B__5402"/>
      <sheetName val="[Spt-BH.xls][Spt-BH_xls]B__5403"/>
      <sheetName val="[Spt-BH.xls][Spt-BH_xls]_S_1788"/>
      <sheetName val="[Spt-BH.xls][Spt-BH_xls]B__5404"/>
      <sheetName val="[Spt-BH.xls][Spt-BH_xls]B__5405"/>
      <sheetName val="[Spt-BH.xls][Spt-BH_xls]B__5406"/>
      <sheetName val="[Spt-BH.xls][Spt-BH_xls]B__5407"/>
      <sheetName val="[Spt-BH.xls][Spt-BH_xls]_S_1789"/>
      <sheetName val="[Spt-BH.xls][Spt-BH.xls]_S_1926"/>
      <sheetName val="[Spt-BH.xls][Spt-BH_xls]B__5408"/>
      <sheetName val="[Spt-BH.xls][Spt-BH_xls]B__5409"/>
      <sheetName val="[Spt-BH.xls][Spt-BH_xls]_S_1790"/>
      <sheetName val="[Spt-BH.xls][Spt-BH_xls]B__5410"/>
      <sheetName val="[Spt-BH.xls][Spt-BH_xls]B__5411"/>
      <sheetName val="[Spt-BH.xls][Spt-BH_xls]_S_1791"/>
      <sheetName val="[Spt-BH.xls][Spt-BH.xls]_S_1923"/>
      <sheetName val="[Spt-BH.xls][Spt-BH.xls]B__5513"/>
      <sheetName val="[Spt-BH.xls][Spt-BH.xls]B__5514"/>
      <sheetName val="[Spt-BH.xls][Spt-BH.xls]B__5515"/>
      <sheetName val="[Spt-BH.xls][Spt-BH.xls]B__5516"/>
      <sheetName val="[Spt-BH.xls]B____x005f_x0004______445"/>
      <sheetName val="[Spt-BH.xls][Spt-BH.xls]B__5517"/>
      <sheetName val="[Spt-BH.xls][Spt-BH.xls]B__5518"/>
      <sheetName val="[Spt-BH.xls]B___x005f_x0000__x000_437"/>
      <sheetName val="[Spt-BH.xls][Spt-BH.xls]B__5519"/>
      <sheetName val="[Spt-BH.xls][Spt-BH_xls]B__5382"/>
      <sheetName val="[Spt-BH.xls][Spt-BH_xls]B__5383"/>
      <sheetName val="[Spt-BH.xls][Spt-BH_xls]B__5384"/>
      <sheetName val="[Spt-BH.xls][Spt-BH_xls]B__5385"/>
      <sheetName val="[Spt-BH.xls][Spt-BH_xls]_S_1782"/>
      <sheetName val="[Spt-BH.xls][Spt-BH_xls]B__5386"/>
      <sheetName val="[Spt-BH.xls][Spt-BH_xls]B__5387"/>
      <sheetName val="[Spt-BH.xls][Spt-BH_xls]B__5388"/>
      <sheetName val="[Spt-BH.xls][Spt-BH_xls]_S_1783"/>
      <sheetName val="[Spt-BH.xls][Spt-BH_xls]B__5389"/>
      <sheetName val="[Spt-BH.xls][Spt-BH_xls]B__5390"/>
      <sheetName val="[Spt-BH.xls][Spt-BH_xls]B__5391"/>
      <sheetName val="[Spt-BH.xls][Spt-BH_xls]B__5392"/>
      <sheetName val="[Spt-BH.xls][Spt-BH_xls]_S_1784"/>
      <sheetName val="[Spt-BH.xls][Spt-BH.xls]_S_1924"/>
      <sheetName val="[Spt-BH.xls][Spt-BH_xls]B__5393"/>
      <sheetName val="[Spt-BH.xls][Spt-BH_xls]B__5394"/>
      <sheetName val="[Spt-BH.xls][Spt-BH_xls]_S_1785"/>
      <sheetName val="[Spt-BH.xls][Spt-BH_xls]B__5395"/>
      <sheetName val="[Spt-BH.xls][Spt-BH_xls]B__5396"/>
      <sheetName val="[Spt-BH.xls][Spt-BH_xls]_S_1786"/>
      <sheetName val="[Spt-BH.xls][Spt-BH.xls]B__5527"/>
      <sheetName val="[Spt-BH.xls][Spt-BH.xls]B__5528"/>
      <sheetName val="[Spt-BH.xls][Spt-BH.xls]_S_1930"/>
      <sheetName val="[Spt-BH.xls][Spt-BH.xls]B__5529"/>
      <sheetName val="[Spt-BH.xls][Spt-BH.xls]B__5530"/>
      <sheetName val="[Spt-BH.xls][Spt-BH.xls]_S_1928"/>
      <sheetName val="[Spt-BH.xls][Spt-BH.xls]B__5531"/>
      <sheetName val="[Spt-BH.xls][Spt-BH.xls]B__5532"/>
      <sheetName val="[Spt-BH.xls][Spt-BH.xls]_S_1929"/>
      <sheetName val="[Spt-BH.xls][Spt-BH.xls]_S_1927"/>
      <sheetName val="[Spt-BH.xls][Spt-BH.xls]B__5534"/>
      <sheetName val="[Spt-BH.xls][Spt-BH.xls]B__5535"/>
      <sheetName val="[Spt-BH.xls][Spt-BH.xls]_S_1932"/>
      <sheetName val="[Spt-BH.xls][Spt-BH.xls]B__5536"/>
      <sheetName val="[Spt-BH.xls][Spt-BH.xls]B__5537"/>
      <sheetName val="[Spt-BH.xls]B____x005f_x0004______447"/>
      <sheetName val="[Spt-BH.xls]B___x005f_x0000__x000_439"/>
      <sheetName val="[Spt-BH.xls][Spt-BH.xls]B__5538"/>
      <sheetName val="[Spt-BH.xls][Spt-BH.xls]B__5539"/>
      <sheetName val="[Spt-BH.xls][Spt-BH.xls]B__5533"/>
      <sheetName val="[Spt-BH.xls][Spt-BH.xls]_S_1931"/>
      <sheetName val="[Spt-BH.xls][Spt-BH_xls]B__5412"/>
      <sheetName val="[Spt-BH.xls][Spt-BH_xls]B__5413"/>
      <sheetName val="[Spt-BH.xls][Spt-BH_xls]B__5414"/>
      <sheetName val="[Spt-BH.xls][Spt-BH_xls]B__5415"/>
      <sheetName val="[Spt-BH.xls][Spt-BH_xls]_S_1792"/>
      <sheetName val="[Spt-BH.xls][Spt-BH_xls]B__5416"/>
      <sheetName val="[Spt-BH.xls][Spt-BH_xls]B__5417"/>
      <sheetName val="[Spt-BH.xls][Spt-BH_xls]B__5418"/>
      <sheetName val="[Spt-BH.xls][Spt-BH_xls]_S_1793"/>
      <sheetName val="[Spt-BH.xls][Spt-BH_xls]B__5419"/>
      <sheetName val="[Spt-BH.xls][Spt-BH_xls]B__5420"/>
      <sheetName val="[Spt-BH.xls][Spt-BH_xls]B__5421"/>
      <sheetName val="[Spt-BH.xls][Spt-BH_xls]B__5422"/>
      <sheetName val="[Spt-BH.xls][Spt-BH_xls]_S_1794"/>
      <sheetName val="[Spt-BH.xls][Spt-BH_xls]B__5423"/>
      <sheetName val="[Spt-BH.xls][Spt-BH_xls]B__5424"/>
      <sheetName val="[Spt-BH.xls][Spt-BH_xls]_S_1795"/>
      <sheetName val="[Spt-BH.xls][Spt-BH_xls]B__5425"/>
      <sheetName val="[Spt-BH.xls][Spt-BH_xls]B__5426"/>
      <sheetName val="[Spt-BH.xls][Spt-BH_xls]_S_1796"/>
      <sheetName val="[Spt-BH.xls][Spt-BH.xls]B__5540"/>
      <sheetName val="[Spt-BH.xls][Spt-BH.xls]B__5541"/>
      <sheetName val="[Spt-BH.xls][Spt-BH.xls]_S_1933"/>
      <sheetName val="[Spt-BH.xls][Spt-BH.xls]_S_1934"/>
      <sheetName val="[Spt-BH.xls][Spt-BH.xls]B__5549"/>
      <sheetName val="[Spt-BH.xls][Spt-BH.xls]B__5550"/>
      <sheetName val="[Spt-BH.xls][Spt-BH.xls]B__5551"/>
      <sheetName val="[Spt-BH.xls][Spt-BH.xls]B__5552"/>
      <sheetName val="[Spt-BH.xls]B____x005f_x0004______448"/>
      <sheetName val="[Spt-BH.xls][Spt-BH.xls]B__5542"/>
      <sheetName val="[Spt-BH.xls][Spt-BH.xls]B__5543"/>
      <sheetName val="[Spt-BH.xls][Spt-BH.xls]_S_1936"/>
      <sheetName val="[Spt-BH.xls][Spt-BH.xls]B__5544"/>
      <sheetName val="[Spt-BH.xls][Spt-BH.xls]B__5545"/>
      <sheetName val="[Spt-BH.xls][Spt-BH.xls]B__5546"/>
      <sheetName val="[Spt-BH.xls]B___x005f_x0000__x000_440"/>
      <sheetName val="[Spt-BH.xls][Spt-BH.xls]B__5553"/>
      <sheetName val="[Spt-BH.xls][Spt-BH.xls]B__5554"/>
      <sheetName val="[Spt-BH.xls][Spt-BH.xls]B__5547"/>
      <sheetName val="[Spt-BH.xls][Spt-BH.xls]B__5548"/>
      <sheetName val="[Spt-BH.xls][Spt-BH.xls]_S_1937"/>
      <sheetName val="[Spt-BH.xls][Spt-BH_xls]B__5427"/>
      <sheetName val="[Spt-BH.xls][Spt-BH_xls]B__5428"/>
      <sheetName val="[Spt-BH.xls][Spt-BH_xls]B__5429"/>
      <sheetName val="[Spt-BH.xls][Spt-BH_xls]B__5430"/>
      <sheetName val="[Spt-BH.xls][Spt-BH_xls]_S_1797"/>
      <sheetName val="[Spt-BH.xls][Spt-BH_xls]B__5431"/>
      <sheetName val="[Spt-BH.xls][Spt-BH_xls]B__5432"/>
      <sheetName val="[Spt-BH.xls][Spt-BH_xls]B__5433"/>
      <sheetName val="[Spt-BH.xls][Spt-BH_xls]_S_1798"/>
      <sheetName val="[Spt-BH.xls][Spt-BH_xls]B__5434"/>
      <sheetName val="[Spt-BH.xls][Spt-BH_xls]B__5435"/>
      <sheetName val="[Spt-BH.xls][Spt-BH_xls]B__5436"/>
      <sheetName val="[Spt-BH.xls][Spt-BH_xls]B__5437"/>
      <sheetName val="[Spt-BH.xls][Spt-BH_xls]_S_1799"/>
      <sheetName val="[Spt-BH.xls][Spt-BH.xls]_S_1935"/>
      <sheetName val="[Spt-BH.xls][Spt-BH_xls]B__5438"/>
      <sheetName val="[Spt-BH.xls][Spt-BH_xls]B__5439"/>
      <sheetName val="[Spt-BH.xls][Spt-BH_xls]_S_1800"/>
      <sheetName val="[Spt-BH.xls][Spt-BH_xls]B__5440"/>
      <sheetName val="[Spt-BH.xls][Spt-BH_xls]B__5441"/>
      <sheetName val="[Spt-BH.xls][Spt-BH_xls]_S_1801"/>
      <sheetName val="std.wt."/>
      <sheetName val="Electrical"/>
      <sheetName val="Sqn_Abs__G_1"/>
      <sheetName val="SSR _ NSSR Market final"/>
      <sheetName val="SàQa_x0005_@___²"/>
      <sheetName val="_Spt-BH.xls_B____x0004________4"/>
      <sheetName val="_Spt-BH.xls_B___x0000__x0004__4"/>
      <sheetName val="_Spt-BH.xls_B____x0004________3"/>
      <sheetName val="_Spt-BH.xls_B___x0000__x0004__3"/>
      <sheetName val="_Spt-BH.xls_B____x0004________2"/>
      <sheetName val="_Spt-BH.xls_B___x0000__x0004__2"/>
      <sheetName val="_Spt-BH.xls_B____x0004________6"/>
      <sheetName val="_Spt-BH.xls_B___x0000__x0004__6"/>
      <sheetName val="_Spt-BH.xls_B____x0004________5"/>
      <sheetName val="_Spt-BH.xls_B___x0000__x0004__5"/>
      <sheetName val="_Spt-BH.xls_B__"/>
      <sheetName val="STOCKWTG"/>
      <sheetName val="DEPOT WBS"/>
      <sheetName val="SYSTEM GROUPS"/>
      <sheetName val="jmr which has not takken in Ra-"/>
      <sheetName val="CABLERET"/>
      <sheetName val="Materials "/>
      <sheetName val="Design Requirements"/>
      <sheetName val="rev.02"/>
      <sheetName val="SBS Abstract Backup"/>
      <sheetName val="Stub Col"/>
      <sheetName val="FF SlabBeam"/>
      <sheetName val="F.Slab"/>
      <sheetName val="Plinth Beam1"/>
      <sheetName val="BFS"/>
      <sheetName val="sqn_abs"/>
      <sheetName val="Quotation"/>
      <sheetName val="feasi"/>
      <sheetName val="Staff Acco_"/>
      <sheetName val="(10) Other Costs5"/>
      <sheetName val="Wall"/>
      <sheetName val="Mmt"/>
      <sheetName val="BQ_List"/>
      <sheetName val="[Spt-BH_xls][Spt-BH_xls]_Spt_10"/>
      <sheetName val="B@_?@?_x0000"/>
      <sheetName val="Camp_Power_Cost1"/>
      <sheetName val="[Spt-BH_xls][Spt-BH_xls]_Spt__7"/>
      <sheetName val="[Spt-BH_xls][Spt-BH_xls]B____27"/>
      <sheetName val="[Spt-BH_xls][Spt-BH_xls]_Spt__9"/>
      <sheetName val="[Spt-BH_xls][Spt-BH_xls]B____35"/>
      <sheetName val="[Spt-BH_xls][Spt-BH_xls]B____36"/>
      <sheetName val="[Spt-BH_xls][Spt-BH_xls]B____37"/>
      <sheetName val="[Spt-BH_xls][Spt-BH_xls]B____38"/>
      <sheetName val="[Spt-BH_xls][Spt-BH_xls]B____39"/>
      <sheetName val="[Spt-BH_xls][Spt-BH_xls]B____40"/>
      <sheetName val="[Spt-BH_xls]B____x005f_x0004________5"/>
      <sheetName val="[Spt-BH_xls]B___x005f_x0000__x005f_x0004__5"/>
      <sheetName val="[Spt-BH_xls][Spt-BH_xls]B____41"/>
      <sheetName val="[Spt-BH_xls][Spt-BH_xls]_Spt__8"/>
      <sheetName val="[Spt-BH_xls][Spt-BH_xls]B____28"/>
      <sheetName val="[Spt-BH_xls][Spt-BH_xls]B____29"/>
      <sheetName val="[Spt-BH_xls][Spt-BH_xls]B____30"/>
      <sheetName val="[Spt-BH_xls][Spt-BH_xls]B____31"/>
      <sheetName val="[Spt-BH_xls][Spt-BH_xls]B____32"/>
      <sheetName val="[Spt-BH_xls][Spt-BH_xls]B____33"/>
      <sheetName val="[Spt-BH_xls][Spt-BH_xls]B____34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42"/>
      <sheetName val="[Spt-BH_xls][Spt-BH_xls]B____43"/>
      <sheetName val="[Spt-BH_xls][Spt-BH_xls]B____44"/>
      <sheetName val="[Spt-BH_xls][Spt-BH_xls]_Spt_12"/>
      <sheetName val="[Spt-BH_xls][Spt-BH_xls]B____45"/>
      <sheetName val="[Spt-BH_xls][Spt-BH_xls]B____46"/>
      <sheetName val="[Spt-BH_xls][Spt-BH_xls]B____47"/>
      <sheetName val="[Spt-BH_xls]B____x005f_x0004________6"/>
      <sheetName val="[Spt-BH_xls]B___x005f_x0000__x005f_x0004__6"/>
      <sheetName val="[Spt-BH_xls][Spt-BH_xls]B____53"/>
      <sheetName val="[Spt-BH_xls][Spt-BH_xls]B____54"/>
      <sheetName val="[Spt-BH_xls][Spt-BH_xls]B____48"/>
      <sheetName val="[Spt-BH_xls][Spt-BH_xls]B____76"/>
      <sheetName val="[Spt-BH_xls][Spt-BH_xls]B____77"/>
      <sheetName val="[Spt-BH_xls][Spt-BH_xls]B____78"/>
      <sheetName val="[Spt-BH_xls][Spt-BH_xls]_Spt_34"/>
      <sheetName val="[Spt-BH_xls][Spt-BH_xls]B____79"/>
      <sheetName val="[Spt-BH_xls][Spt-BH_xls]_Spt_21"/>
      <sheetName val="[Spt-BH_xls][Spt-BH_xls]B____80"/>
      <sheetName val="[Spt-BH_xls][Spt-BH_xls]B____81"/>
      <sheetName val="[Spt-BH_xls][Spt-BH_xls]_Spt_14"/>
      <sheetName val="[Spt-BH_xls]B____x005f_x0004________7"/>
      <sheetName val="[Spt-BH_xls]B___x005f_x0000__x005f_x0004__7"/>
      <sheetName val="[Spt-BH_xls]B____x005f_x0004________8"/>
      <sheetName val="[Spt-BH_xls]B___x005f_x0000__x005f_x0004__8"/>
      <sheetName val="[Spt-BH_xls][Spt-BH_xls]_Spt_13"/>
      <sheetName val="[Spt-BH_xls]B____x005f_x0004________9"/>
      <sheetName val="[Spt-BH_xls]B___x005f_x0000__x005f_x0004__9"/>
      <sheetName val="[Spt-BH_xls][Spt-BH_xls]B____55"/>
      <sheetName val="[Spt-BH_xls][Spt-BH_xls]B____56"/>
      <sheetName val="[Spt-BH_xls][Spt-BH_xls]B____57"/>
      <sheetName val="[Spt-BH_xls][Spt-BH_xls]_Spt_16"/>
      <sheetName val="[Spt-BH_xls][Spt-BH_xls]B____58"/>
      <sheetName val="[Spt-BH_xls][Spt-BH_xls]B____59"/>
      <sheetName val="[Spt-BH_xls]B____x005f_x0004_______10"/>
      <sheetName val="[Spt-BH_xls]B___x005f_x0000__x005f_x0004_10"/>
      <sheetName val="[Spt-BH_xls][Spt-BH_xls]B____60"/>
      <sheetName val="[Spt-BH_xls][Spt-BH_xls]_Spt_15"/>
      <sheetName val="[Spt-BH_xls][Spt-BH_xls]B____61"/>
      <sheetName val="[Spt-BH_xls][Spt-BH_xls]B____62"/>
      <sheetName val="[Spt-BH_xls][Spt-BH_xls]_Spt_17"/>
      <sheetName val="[Spt-BH_xls][Spt-BH_xls]B____63"/>
      <sheetName val="[Spt-BH_xls][Spt-BH_xls]B____64"/>
      <sheetName val="[Spt-BH_xls][Spt-BH_xls]B____65"/>
      <sheetName val="[Spt-BH_xls][Spt-BH_xls]_Spt_18"/>
      <sheetName val="[Spt-BH_xls][Spt-BH_xls]B____66"/>
      <sheetName val="[Spt-BH_xls][Spt-BH_xls]B____67"/>
      <sheetName val="[Spt-BH_xls][Spt-BH_xls]_Spt_19"/>
      <sheetName val="[Spt-BH_xls][Spt-BH_xls]B____68"/>
      <sheetName val="[Spt-BH_xls][Spt-BH_xls]B____69"/>
      <sheetName val="[Spt-BH_xls][Spt-BH_xls]B____70"/>
      <sheetName val="[Spt-BH_xls][Spt-BH_xls]B____71"/>
      <sheetName val="[Spt-BH_xls][Spt-BH_xls]B____72"/>
      <sheetName val="[Spt-BH_xls][Spt-BH_xls]_Spt_20"/>
      <sheetName val="[Spt-BH_xls][Spt-BH_xls]B____73"/>
      <sheetName val="[Spt-BH_xls][Spt-BH_xls]B____74"/>
      <sheetName val="[Spt-BH_xls]B____x005f_x0004_______11"/>
      <sheetName val="[Spt-BH_xls]B___x005f_x0000__x005f_x0004_11"/>
      <sheetName val="[Spt-BH_xls][Spt-BH_xls]B____75"/>
      <sheetName val="[Spt-BH_xls][Spt-BH_xls]B___115"/>
      <sheetName val="[Spt-BH_xls][Spt-BH_xls]B___116"/>
      <sheetName val="[Spt-BH_xls][Spt-BH_xls]B___117"/>
      <sheetName val="[Spt-BH_xls][Spt-BH_xls]_Spt_35"/>
      <sheetName val="[Spt-BH_xls][Spt-BH_xls]B___118"/>
      <sheetName val="[Spt-BH_xls][Spt-BH_xls]B___119"/>
      <sheetName val="[Spt-BH_xls][Spt-BH_xls]B___120"/>
      <sheetName val="[Spt-BH_xls][Spt-BH_xls]_Spt_22"/>
      <sheetName val="[Spt-BH_xls][Spt-BH_xls]B____82"/>
      <sheetName val="[Spt-BH_xls][Spt-BH_xls]B____83"/>
      <sheetName val="[Spt-BH_xls][Spt-BH_xls]B____84"/>
      <sheetName val="[Spt-BH_xls][Spt-BH_xls]B____85"/>
      <sheetName val="[Spt-BH_xls][Spt-BH_xls]B____86"/>
      <sheetName val="[Spt-BH_xls][Spt-BH_xls]B____87"/>
      <sheetName val="[Spt-BH_xls][Spt-BH_xls]_Spt_23"/>
      <sheetName val="[Spt-BH_xls][Spt-BH_xls]B____88"/>
      <sheetName val="[Spt-BH_xls][Spt-BH_xls]B____89"/>
      <sheetName val="[Spt-BH_xls][Spt-BH_xls]B____90"/>
      <sheetName val="[Spt-BH_xls][Spt-BH_xls]B____91"/>
      <sheetName val="[Spt-BH_xls][Spt-BH_xls]B____92"/>
      <sheetName val="[Spt-BH_xls][Spt-BH_xls]B____93"/>
      <sheetName val="[Spt-BH_xls][Spt-BH_xls]_Spt_24"/>
      <sheetName val="[Spt-BH_xls][Spt-BH_xls]B____94"/>
      <sheetName val="[Spt-BH_xls][Spt-BH_xls]B____95"/>
      <sheetName val="[Spt-BH_xls][Spt-BH_xls]B____96"/>
      <sheetName val="[Spt-BH_xls][Spt-BH_xls]B____97"/>
      <sheetName val="[Spt-BH_xls][Spt-BH_xls]B____98"/>
      <sheetName val="[Spt-BH_xls][Spt-BH_xls]B____99"/>
      <sheetName val="[Spt-BH_xls][Spt-BH_xls]_Spt_25"/>
      <sheetName val="[Spt-BH_xls][Spt-BH_xls]_Spt_26"/>
      <sheetName val="[Spt-BH_xls][Spt-BH_xls]B___100"/>
      <sheetName val="[Spt-BH_xls][Spt-BH_xls]B___101"/>
      <sheetName val="[Spt-BH_xls][Spt-BH_xls]B___102"/>
      <sheetName val="[Spt-BH_xls][Spt-BH_xls]B___103"/>
      <sheetName val="[Spt-BH_xls][Spt-BH_xls]B___104"/>
      <sheetName val="[Spt-BH_xls][Spt-BH_xls]B___105"/>
      <sheetName val="입찰내역_발주처_양식"/>
      <sheetName val="SC_Cost_FEB_03"/>
      <sheetName val="DM_tANK_Allow"/>
      <sheetName val="B@__@__x0000"/>
      <sheetName val="PANEL_ANNEXURE"/>
      <sheetName val="[Spt-BH_xls][Spt-BH_xls]_Spt_28"/>
      <sheetName val="[Spt-BH_xls][Spt-BH_xls]B___106"/>
      <sheetName val="[Spt-BH_xls][Spt-BH_xls]_Spt_30"/>
      <sheetName val="[Spt-BH_xls][Spt-BH_xls]B___107"/>
      <sheetName val="[Spt-BH_xls][Spt-BH_xls]B___108"/>
      <sheetName val="[Spt-BH_xls][Spt-BH_xls]B___109"/>
      <sheetName val="[Spt-BH_xls][Spt-BH_xls]_Spt_29"/>
      <sheetName val="20th_Office"/>
      <sheetName val="Schd_8_Input"/>
      <sheetName val="Emp_&amp;_Trng"/>
      <sheetName val="Rate_analysis-_BOQ_1_"/>
      <sheetName val="GR_slab-reinft"/>
      <sheetName val="[Spt-BH_xls][Spt-BH_xls]B___110"/>
      <sheetName val="Bank_Guarantee"/>
      <sheetName val="_Spt-BH_xls__Spt-BH_xls_B@__x00"/>
      <sheetName val="_Spt-BH_xls__Spt-BH_xls_B@___x0"/>
      <sheetName val="_Spt-BH_xls_B@__x005f_x0000__x0"/>
      <sheetName val="_Spt-BH_xls_B@_"/>
      <sheetName val="_Spt-BH_xls_B@__@_____$_"/>
      <sheetName val="_Spt-BH_xls__Spt-BH_xls_B@_@__$"/>
      <sheetName val="[Spt-BH_xls][Spt-BH_xls]B___111"/>
      <sheetName val="[Spt-BH_xls][Spt-BH_xls]B___112"/>
      <sheetName val="[Spt-BH_xls][Spt-BH_xls]B___113"/>
      <sheetName val="[Spt-BH_xls][Spt-BH_xls]B___114"/>
      <sheetName val="Operating_Statistics"/>
      <sheetName val="N_T-M-30_GDS"/>
      <sheetName val="PROVISIONAL_SUMS"/>
      <sheetName val="JSSL_BOQ"/>
      <sheetName val="N_T-M-45"/>
      <sheetName val="[Spt-BH_xls][Spt-BH_xls]B___121"/>
      <sheetName val="[Spt-BH_xls][Spt-BH_xls]_Spt_32"/>
      <sheetName val="[Spt-BH_xls][Spt-BH_xls]B___122"/>
      <sheetName val="[Spt-BH_xls][Spt-BH_xls]B___123"/>
      <sheetName val="[Spt-BH_xls][Spt-BH_xls]B___124"/>
      <sheetName val="[Spt-BH_xls]B____x005f_x0004_______12"/>
      <sheetName val="[Spt-BH_xls]B___x005f_x0000__x005f_x0004_12"/>
      <sheetName val="Rate_analysis_civil"/>
      <sheetName val="material_and_Labour_rate"/>
      <sheetName val="LIFE_&amp;_REP_PROVN"/>
      <sheetName val="O&amp;M_CREW"/>
      <sheetName val="[Spt-BH_xls][Spt-BH_xls]B___125"/>
      <sheetName val="[Spt-BH_xls][Spt-BH_xls]B___126"/>
      <sheetName val="[Spt-BH_xls][Spt-BH_xls]B___127"/>
      <sheetName val="[Spt-BH_xls][Spt-BH_xls]B___128"/>
      <sheetName val="Detail_In_Door_Stad"/>
      <sheetName val="[Spt-BH_xls][Spt-BH_xls]B___129"/>
      <sheetName val="[Spt-BH_xls][Spt-BH_xls]B___130"/>
      <sheetName val="Facilites_Master"/>
      <sheetName val="EQP_Master"/>
      <sheetName val="Contract_Status"/>
      <sheetName val="[Spt-BH_xls][Spt-BH_xls]B___131"/>
      <sheetName val="[Spt-BH_xls][Spt-BH_xls]_Spt_31"/>
      <sheetName val="[Spt-BH_xls][Spt-BH_xls]B___132"/>
      <sheetName val="[Spt-BH_xls][Spt-BH_xls]B___133"/>
      <sheetName val="[Spt-BH_xls][Spt-BH_xls]_Spt_27"/>
      <sheetName val="[Spt-BH_xls][Spt-BH_xls]B___134"/>
      <sheetName val="[Spt-BH_xls][Spt-BH_xls]B___135"/>
      <sheetName val="[Spt-BH_xls][Spt-BH_xls]_Spt_33"/>
      <sheetName val="[Spt-BH_xls][Spt-BH_xls]B___136"/>
      <sheetName val="[Spt-BH_xls][Spt-BH_xls]B___137"/>
      <sheetName val="[Spt-BH_xls][Spt-BH_xls]B___138"/>
      <sheetName val="[Spt-BH_xls][Spt-BH_xls]_Spt_37"/>
      <sheetName val="[Spt-BH_xls][Spt-BH_xls]B___139"/>
      <sheetName val="[Spt-BH_xls][Spt-BH_xls]_Spt_36"/>
      <sheetName val="[Spt-BH_xls][Spt-BH_xls]B___140"/>
      <sheetName val="[Spt-BH_xls][Spt-BH_xls]B___141"/>
      <sheetName val="[Spt-BH_xls][Spt-BH_xls]B___142"/>
      <sheetName val="[Spt-BH_xls][Spt-BH_xls]B___143"/>
      <sheetName val="[Spt-BH_xls][Spt-BH_xls]B___144"/>
      <sheetName val="[Spt-BH_xls][Spt-BH_xls]_Spt_39"/>
      <sheetName val="[Spt-BH_xls][Spt-BH_xls]B___145"/>
      <sheetName val="[Spt-BH_xls][Spt-BH_xls]_Spt_38"/>
      <sheetName val="[Spt-BH_xls][Spt-BH_xls]B___146"/>
      <sheetName val="[Spt-BH_xls][Spt-BH_xls]B___147"/>
      <sheetName val="[Spt-BH_xls][Spt-BH_xls]B___148"/>
      <sheetName val="[Spt-BH_xls][Spt-BH_xls]B___149"/>
      <sheetName val="[Spt-BH_xls][Spt-BH_xls]B___150"/>
      <sheetName val="[Spt-BH_xls][Spt-BH_xls]_Spt_40"/>
      <sheetName val="pr_cal11"/>
      <sheetName val="Abstract_for_Variation11"/>
      <sheetName val="LBD_VARIATION11"/>
      <sheetName val="Cost_of_O_&amp;_O11"/>
      <sheetName val="Fin_Sum11"/>
      <sheetName val="Material_List_11"/>
      <sheetName val="Inputs_&amp;_Summary_Output11"/>
      <sheetName val="Broad_Refresher_Model11"/>
      <sheetName val="TRF_details11"/>
      <sheetName val="Material_11"/>
      <sheetName val="Labour_&amp;_Plant11"/>
      <sheetName val="Materials_Cost11"/>
      <sheetName val="2_BHK2"/>
      <sheetName val="BALANCE-IOTL_2"/>
      <sheetName val="kppl_pl2"/>
      <sheetName val="BQ_List1"/>
      <sheetName val="[Spt-BH_xls][Spt-BH_xls]_Spt_41"/>
      <sheetName val="Prelims_Breakup1"/>
      <sheetName val="Staff_planning1"/>
      <sheetName val="1_yr_maintainance1"/>
      <sheetName val="Camp_Power_Cost2"/>
      <sheetName val="[Spt-BH_xls][Spt-BH_xls]B___151"/>
      <sheetName val="[Spt-BH_xls][Spt-BH_xls]B___152"/>
      <sheetName val="[Spt-BH_xls][Spt-BH_xls]B___153"/>
      <sheetName val="[Spt-BH_xls][Spt-BH_xls]_Spt_42"/>
      <sheetName val="[Spt-BH_xls][Spt-BH_xls]B___154"/>
      <sheetName val="[Spt-BH_xls][Spt-BH_xls]B___155"/>
      <sheetName val="[Spt-BH_xls][Spt-BH_xls]B___156"/>
      <sheetName val="[Spt-BH_xls][Spt-BH_xls]B___157"/>
      <sheetName val="[Spt-BH_xls][Spt-BH_xls]B___158"/>
      <sheetName val="[Spt-BH_xls][Spt-BH_xls]B___159"/>
      <sheetName val="[Spt-BH_xls][Spt-BH_xls]_Spt_43"/>
      <sheetName val="[Spt-BH_xls][Spt-BH_xls]B___160"/>
      <sheetName val="[Spt-BH_xls][Spt-BH_xls]B___161"/>
      <sheetName val="[Spt-BH_xls][Spt-BH_xls]B___162"/>
      <sheetName val="[Spt-BH_xls][Spt-BH_xls]B___163"/>
      <sheetName val="[Spt-BH_xls][Spt-BH_xls]_Spt_44"/>
      <sheetName val="[Spt-BH_xls][Spt-BH_xls]B___164"/>
      <sheetName val="[Spt-BH_xls][Spt-BH_xls]B___165"/>
      <sheetName val="[Spt-BH_xls][Spt-BH_xls]B___166"/>
      <sheetName val="[Spt-BH_xls][Spt-BH_xls]_Spt_45"/>
      <sheetName val="[Spt-BH_xls][Spt-BH_xls]B___167"/>
      <sheetName val="[Spt-BH_xls][Spt-BH_xls]B___168"/>
      <sheetName val="[Spt-BH_xls][Spt-BH_xls]B___169"/>
      <sheetName val="[Spt-BH_xls][Spt-BH_xls]B___170"/>
      <sheetName val="[Spt-BH_xls][Spt-BH_xls]B___171"/>
      <sheetName val="[Spt-BH_xls][Spt-BH_xls]B___172"/>
      <sheetName val="[Spt-BH_xls][Spt-BH_xls]_Spt_46"/>
      <sheetName val="[Spt-BH_xls][Spt-BH_xls]B___173"/>
      <sheetName val="[Spt-BH_xls]B____x005f_x0004_______13"/>
      <sheetName val="[Spt-BH_xls]B___x005f_x0000__x005f_x0004_13"/>
      <sheetName val="[Spt-BH_xls][Spt-BH_xls]B___174"/>
      <sheetName val="[Spt-BH_xls][Spt-BH_xls]B___175"/>
      <sheetName val="[Spt-BH_xls][Spt-BH_xls]B___176"/>
      <sheetName val="[Spt-BH_xls][Spt-BH_xls]_Spt_47"/>
      <sheetName val="[Spt-BH_xls][Spt-BH_xls]B___177"/>
      <sheetName val="[Spt-BH_xls][Spt-BH_xls]B___178"/>
      <sheetName val="[Spt-BH_xls][Spt-BH_xls]B___179"/>
      <sheetName val="[Spt-BH_xls][Spt-BH_xls]B___180"/>
      <sheetName val="[Spt-BH_xls][Spt-BH_xls]B___181"/>
      <sheetName val="[Spt-BH_xls][Spt-BH_xls]B___182"/>
      <sheetName val="[Spt-BH_xls]B____x005f_x0004_______14"/>
      <sheetName val="[Spt-BH_xls]B___x005f_x0000__x005f_x0004_14"/>
      <sheetName val="[Spt-BH_xls][Spt-BH_xls]B___183"/>
      <sheetName val="[Spt-BH_xls][Spt-BH_xls]_Spt_48"/>
      <sheetName val="[Spt-BH_xls][Spt-BH_xls]B___184"/>
      <sheetName val="[Spt-BH_xls][Spt-BH_xls]B___185"/>
      <sheetName val="[Spt-BH_xls][Spt-BH_xls]B___186"/>
      <sheetName val="[Spt-BH_xls][Spt-BH_xls]B___187"/>
      <sheetName val="[Spt-BH_xls][Spt-BH_xls]B___188"/>
      <sheetName val="[Spt-BH_xls][Spt-BH_xls]B___189"/>
      <sheetName val="[Spt-BH_xls]B____x005f_x0004_______15"/>
      <sheetName val="[Spt-BH_xls]B___x005f_x0000__x005f_x0004_15"/>
      <sheetName val="[Spt-BH_xls][Spt-BH_xls]B___190"/>
      <sheetName val="[Spt-BH_xls][Spt-BH_xls]B___191"/>
      <sheetName val="[Spt-BH_xls][Spt-BH_xls]B___192"/>
      <sheetName val="[Spt-BH_xls][Spt-BH_xls]B___193"/>
      <sheetName val="[Spt-BH_xls][Spt-BH_xls]B___194"/>
      <sheetName val="[Spt-BH_xls][Spt-BH_xls]_Spt_49"/>
      <sheetName val="[Spt-BH_xls][Spt-BH_xls]B___195"/>
      <sheetName val="[Spt-BH_xls][Spt-BH_xls]B___196"/>
      <sheetName val="[Spt-BH_xls][Spt-BH_xls]B___197"/>
      <sheetName val="[Spt-BH_xls][Spt-BH_xls]_Spt_50"/>
      <sheetName val="[Spt-BH_xls][Spt-BH_xls]B___198"/>
      <sheetName val="[Spt-BH_xls][Spt-BH_xls]B___199"/>
      <sheetName val="[Spt-BH_xls][Spt-BH_xls]B___200"/>
      <sheetName val="[Spt-BH_xls]B____x005f_x0004_______16"/>
      <sheetName val="[Spt-BH_xls]B___x005f_x0000__x005f_x0004_16"/>
      <sheetName val="[Spt-BH_xls][Spt-BH_xls]B___201"/>
      <sheetName val="[Spt-BH_xls][Spt-BH_xls]B___202"/>
      <sheetName val="[Spt-BH_xls][Spt-BH_xls]B___203"/>
      <sheetName val="[Spt-BH_xls][Spt-BH_xls]B___204"/>
      <sheetName val="[Spt-BH_xls][Spt-BH_xls]B___205"/>
      <sheetName val="[Spt-BH_xls][Spt-BH_xls]B___206"/>
      <sheetName val="[Spt-BH_xls][Spt-BH_xls]_Spt_51"/>
      <sheetName val="[Spt-BH_xls][Spt-BH_xls]B___207"/>
      <sheetName val="[Spt-BH_xls][Spt-BH_xls]_Spt_52"/>
      <sheetName val="[Spt-BH_xls][Spt-BH_xls]B___208"/>
      <sheetName val="[Spt-BH_xls][Spt-BH_xls]B___209"/>
      <sheetName val="[Spt-BH_xls][Spt-BH_xls]_Spt_53"/>
      <sheetName val="[Spt-BH_xls]B____x005f_x0004_______17"/>
      <sheetName val="[Spt-BH_xls]B___x005f_x0000__x005f_x0004_17"/>
      <sheetName val="[Spt-BH_xls]B____x005f_x0004_______18"/>
      <sheetName val="[Spt-BH_xls]B___x005f_x0000__x005f_x0004_18"/>
      <sheetName val="[Spt-BH_xls][Spt-BH_xls]_Spt_54"/>
      <sheetName val="[Spt-BH_xls]B____x005f_x0004_______19"/>
      <sheetName val="[Spt-BH_xls]B___x005f_x0000__x005f_x0004_19"/>
      <sheetName val="[Spt-BH_xls][Spt-BH_xls]B___210"/>
      <sheetName val="[Spt-BH_xls][Spt-BH_xls]B___211"/>
      <sheetName val="[Spt-BH_xls][Spt-BH_xls]B___212"/>
      <sheetName val="[Spt-BH_xls][Spt-BH_xls]_Spt_55"/>
      <sheetName val="[Spt-BH_xls][Spt-BH_xls]B___213"/>
      <sheetName val="[Spt-BH_xls][Spt-BH_xls]B___214"/>
      <sheetName val="[Spt-BH_xls]B____x005f_x0004_______20"/>
      <sheetName val="[Spt-BH_xls]B___x005f_x0000__x005f_x0004_20"/>
      <sheetName val="[Spt-BH_xls][Spt-BH_xls]B___215"/>
      <sheetName val="[Spt-BH_xls][Spt-BH_xls]_Spt_56"/>
      <sheetName val="[Spt-BH_xls][Spt-BH_xls]B___216"/>
      <sheetName val="[Spt-BH_xls][Spt-BH_xls]B___217"/>
      <sheetName val="[Spt-BH_xls][Spt-BH_xls]_Spt_57"/>
      <sheetName val="[Spt-BH_xls][Spt-BH_xls]B___218"/>
      <sheetName val="[Spt-BH_xls][Spt-BH_xls]B___219"/>
      <sheetName val="[Spt-BH_xls][Spt-BH_xls]B___220"/>
      <sheetName val="[Spt-BH_xls][Spt-BH_xls]_Spt_58"/>
      <sheetName val="[Spt-BH_xls][Spt-BH_xls]B___221"/>
      <sheetName val="[Spt-BH_xls][Spt-BH_xls]B___222"/>
      <sheetName val="[Spt-BH_xls][Spt-BH_xls]_Spt_59"/>
      <sheetName val="[Spt-BH_xls][Spt-BH_xls]B___223"/>
      <sheetName val="[Spt-BH_xls][Spt-BH_xls]B___224"/>
      <sheetName val="[Spt-BH_xls][Spt-BH_xls]B___225"/>
      <sheetName val="[Spt-BH_xls][Spt-BH_xls]B___226"/>
      <sheetName val="[Spt-BH_xls][Spt-BH_xls]B___227"/>
      <sheetName val="[Spt-BH_xls][Spt-BH_xls]_Spt_60"/>
      <sheetName val="[Spt-BH_xls][Spt-BH_xls]B___228"/>
      <sheetName val="[Spt-BH_xls][Spt-BH_xls]B___229"/>
      <sheetName val="[Spt-BH_xls]B____x005f_x0004_______21"/>
      <sheetName val="[Spt-BH_xls]B___x005f_x0000__x005f_x0004_21"/>
      <sheetName val="[Spt-BH_xls][Spt-BH_xls]B___230"/>
      <sheetName val="[Spt-BH_xls][Spt-BH_xls]B___231"/>
      <sheetName val="[Spt-BH_xls][Spt-BH_xls]B___232"/>
      <sheetName val="[Spt-BH_xls][Spt-BH_xls]B___233"/>
      <sheetName val="[Spt-BH_xls][Spt-BH_xls]_Spt_61"/>
      <sheetName val="[Spt-BH_xls][Spt-BH_xls]B___234"/>
      <sheetName val="[Spt-BH_xls][Spt-BH_xls]B___235"/>
      <sheetName val="[Spt-BH_xls][Spt-BH_xls]B___236"/>
      <sheetName val="[Spt-BH_xls][Spt-BH_xls]_Spt_62"/>
      <sheetName val="[Spt-BH_xls][Spt-BH_xls]B___237"/>
      <sheetName val="[Spt-BH_xls][Spt-BH_xls]B___238"/>
      <sheetName val="[Spt-BH_xls][Spt-BH_xls]B___239"/>
      <sheetName val="[Spt-BH_xls][Spt-BH_xls]B___240"/>
      <sheetName val="[Spt-BH_xls][Spt-BH_xls]B___241"/>
      <sheetName val="[Spt-BH_xls][Spt-BH_xls]B___242"/>
      <sheetName val="[Spt-BH_xls][Spt-BH_xls]_Spt_63"/>
      <sheetName val="[Spt-BH_xls][Spt-BH_xls]B___243"/>
      <sheetName val="[Spt-BH_xls][Spt-BH_xls]B___244"/>
      <sheetName val="[Spt-BH_xls][Spt-BH_xls]B___245"/>
      <sheetName val="[Spt-BH_xls][Spt-BH_xls]B___246"/>
      <sheetName val="[Spt-BH_xls][Spt-BH_xls]B___247"/>
      <sheetName val="[Spt-BH_xls][Spt-BH_xls]B___248"/>
      <sheetName val="[Spt-BH_xls][Spt-BH_xls]_Spt_64"/>
      <sheetName val="[Spt-BH_xls][Spt-BH_xls]B___249"/>
      <sheetName val="[Spt-BH_xls][Spt-BH_xls]B___250"/>
      <sheetName val="[Spt-BH_xls][Spt-BH_xls]B___251"/>
      <sheetName val="[Spt-BH_xls][Spt-BH_xls]B___252"/>
      <sheetName val="[Spt-BH_xls][Spt-BH_xls]B___253"/>
      <sheetName val="[Spt-BH_xls][Spt-BH_xls]B___254"/>
      <sheetName val="[Spt-BH_xls][Spt-BH_xls]_Spt_65"/>
      <sheetName val="[Spt-BH_xls][Spt-BH_xls]_Spt_66"/>
      <sheetName val="[Spt-BH_xls][Spt-BH_xls]B___255"/>
      <sheetName val="[Spt-BH_xls][Spt-BH_xls]B___256"/>
      <sheetName val="[Spt-BH_xls][Spt-BH_xls]B___257"/>
      <sheetName val="[Spt-BH_xls][Spt-BH_xls]B___258"/>
      <sheetName val="[Spt-BH_xls][Spt-BH_xls]B___259"/>
      <sheetName val="[Spt-BH_xls][Spt-BH_xls]B___260"/>
      <sheetName val="입찰내역_발주처_양식1"/>
      <sheetName val="SC_Cost_FEB_031"/>
      <sheetName val="DM_tANK_Allow1"/>
      <sheetName val="_Spt-BH_xls__Spt-BH_xls_B@_1"/>
      <sheetName val="_Spt-BH_xls__Spt-BH_xls__Spt-B1"/>
      <sheetName val="_Spt-BH_xls__Spt-BH_xls_B@__@_1"/>
      <sheetName val="PANEL_ANNEXURE1"/>
      <sheetName val="[Spt-BH_xls][Spt-BH_xls]_Spt_67"/>
      <sheetName val="[Spt-BH_xls][Spt-BH_xls]B___261"/>
      <sheetName val="[Spt-BH_xls][Spt-BH_xls]_Spt_68"/>
      <sheetName val="[Spt-BH_xls][Spt-BH_xls]B___262"/>
      <sheetName val="[Spt-BH_xls][Spt-BH_xls]B___263"/>
      <sheetName val="[Spt-BH_xls][Spt-BH_xls]B___264"/>
      <sheetName val="[Spt-BH_xls][Spt-BH_xls]_Spt_69"/>
      <sheetName val="20th_Office1"/>
      <sheetName val="SP_Break_Up1"/>
      <sheetName val="Schd_8_Input1"/>
      <sheetName val="Emp_&amp;_Trng1"/>
      <sheetName val="Rate_analysis-_BOQ_1_1"/>
      <sheetName val="GR_slab-reinft1"/>
      <sheetName val="[Spt-BH_xls][Spt-BH_xls]B___265"/>
      <sheetName val="[Spt-BH_xls][Spt-BH_xls]B___266"/>
      <sheetName val="Bank_Guarantee1"/>
      <sheetName val="_Spt-BH_xls__Spt-BH_xls_B@__x01"/>
      <sheetName val="_Spt-BH_xls__Spt-BH_xls_B@___x1"/>
      <sheetName val="_Spt-BH_xls_B@__x005f_x0000__x01"/>
      <sheetName val="_Spt-BH_xls_B@_1"/>
      <sheetName val="_Spt-BH_xls_B@_@__$1"/>
      <sheetName val="_Spt-BH_xls_B@__@_____$__1"/>
      <sheetName val="_Spt-BH_xls_B@__@___$_1"/>
      <sheetName val="_Spt-BH_xls__Spt-BH_xls_B@_@__1"/>
      <sheetName val="[Spt-BH_xls][Spt-BH_xls]B___267"/>
      <sheetName val="[Spt-BH_xls][Spt-BH_xls]B___268"/>
      <sheetName val="[Spt-BH_xls][Spt-BH_xls]B___269"/>
      <sheetName val="[Spt-BH_xls][Spt-BH_xls]B___270"/>
      <sheetName val="Operating_Statistics1"/>
      <sheetName val="N_T-M-30_GDS1"/>
      <sheetName val="PROVISIONAL_SUMS1"/>
      <sheetName val="JSSL_BOQ1"/>
      <sheetName val="N_T-M-451"/>
      <sheetName val="[Spt-BH_xls][Spt-BH_xls]B___271"/>
      <sheetName val="[Spt-BH_xls][Spt-BH_xls]_Spt_70"/>
      <sheetName val="[Spt-BH_xls][Spt-BH_xls]B___272"/>
      <sheetName val="[Spt-BH_xls][Spt-BH_xls]B___273"/>
      <sheetName val="[Spt-BH_xls][Spt-BH_xls]B___274"/>
      <sheetName val="[Spt-BH_xls]B____x005f_x0004_______22"/>
      <sheetName val="[Spt-BH_xls]B___x005f_x0000__x005f_x0004_22"/>
      <sheetName val="Rate_analysis_civil1"/>
      <sheetName val="material_and_Labour_rate1"/>
      <sheetName val="LIFE_&amp;_REP_PROVN1"/>
      <sheetName val="O&amp;M_CREW1"/>
      <sheetName val="[Spt-BH_xls][Spt-BH_xls]B___275"/>
      <sheetName val="[Spt-BH_xls][Spt-BH_xls]B___276"/>
      <sheetName val="[Spt-BH_xls][Spt-BH_xls]B___277"/>
      <sheetName val="[Spt-BH_xls][Spt-BH_xls]B___278"/>
      <sheetName val="Detail_In_Door_Stad1"/>
      <sheetName val="[Spt-BH_xls][Spt-BH_xls]B___279"/>
      <sheetName val="[Spt-BH_xls][Spt-BH_xls]B___280"/>
      <sheetName val="Facilites_Master1"/>
      <sheetName val="EQP_Master1"/>
      <sheetName val="Contract_Status1"/>
      <sheetName val="[Spt-BH_xls][Spt-BH_xls]B___281"/>
      <sheetName val="[Spt-BH_xls][Spt-BH_xls]_Spt_71"/>
      <sheetName val="[Spt-BH_xls][Spt-BH_xls]B___282"/>
      <sheetName val="[Spt-BH_xls][Spt-BH_xls]B___283"/>
      <sheetName val="[Spt-BH_xls][Spt-BH_xls]_Spt_72"/>
      <sheetName val="[Spt-BH_xls][Spt-BH_xls]B___284"/>
      <sheetName val="[Spt-BH_xls][Spt-BH_xls]B___285"/>
      <sheetName val="[Spt-BH_xls][Spt-BH_xls]_Spt_73"/>
      <sheetName val="[Spt-BH_xls][Spt-BH_xls]B___286"/>
      <sheetName val="[Spt-BH_xls][Spt-BH_xls]B___287"/>
      <sheetName val="[Spt-BH_xls][Spt-BH_xls]B___288"/>
      <sheetName val="[Spt-BH_xls][Spt-BH_xls]_Spt_74"/>
      <sheetName val="[Spt-BH_xls][Spt-BH_xls]B___289"/>
      <sheetName val="[Spt-BH_xls][Spt-BH_xls]_Spt_75"/>
      <sheetName val="[Spt-BH_xls][Spt-BH_xls]B___290"/>
      <sheetName val="[Spt-BH_xls][Spt-BH_xls]B___291"/>
      <sheetName val="[Spt-BH_xls][Spt-BH_xls]B___292"/>
      <sheetName val="[Spt-BH_xls][Spt-BH_xls]B___293"/>
      <sheetName val="[Spt-BH_xls][Spt-BH_xls]B___294"/>
      <sheetName val="[Spt-BH_xls][Spt-BH_xls]_Spt_76"/>
      <sheetName val="[Spt-BH_xls][Spt-BH_xls]B___295"/>
      <sheetName val="[Spt-BH_xls][Spt-BH_xls]_Spt_77"/>
      <sheetName val="[Spt-BH_xls][Spt-BH_xls]B___296"/>
      <sheetName val="[Spt-BH_xls][Spt-BH_xls]B___297"/>
      <sheetName val="[Spt-BH_xls][Spt-BH_xls]B___298"/>
      <sheetName val="[Spt-BH_xls][Spt-BH_xls]B___299"/>
      <sheetName val="[Spt-BH_xls][Spt-BH_xls]B___300"/>
      <sheetName val="[Spt-BH_xls][Spt-BH_xls]_Spt_78"/>
      <sheetName val="Abstract_for_Variation12"/>
      <sheetName val="LBD_VARIATION12"/>
      <sheetName val="LT_Motor_catalog13"/>
      <sheetName val="Cable_cat13"/>
      <sheetName val="PRRM_Dashboard30"/>
      <sheetName val="Debits_as_on_12_04_0828"/>
      <sheetName val="2_2_띠장의_설계7"/>
      <sheetName val="Cost_of_O_&amp;_O12"/>
      <sheetName val="pr_cal12"/>
      <sheetName val="TRF_details12"/>
      <sheetName val="Material_12"/>
      <sheetName val="Labour_&amp;_Plant12"/>
      <sheetName val="Index_28"/>
      <sheetName val="Email_Approval_Template28"/>
      <sheetName val="1_Executive_Summary28"/>
      <sheetName val="2_Risk_Assessment_Analysis28"/>
      <sheetName val="3_Pre-Approval28"/>
      <sheetName val="4_CIS28"/>
      <sheetName val="5_Change_Order28"/>
      <sheetName val="5_1__Re-book_De-book_order28"/>
      <sheetName val="6_Contract_Re-estimates28"/>
      <sheetName val="7a_BG_Approval_Form28"/>
      <sheetName val="7b_BG_Email_Approval_Template28"/>
      <sheetName val="8_LAD_Approval_Form28"/>
      <sheetName val="9_LOI_Checklist28"/>
      <sheetName val="10_RPS_Information_Form28"/>
      <sheetName val="11_Proj_Cashflow_28"/>
      <sheetName val="11_1_Cash-flow_Chart28"/>
      <sheetName val="Threshold_Calculator28"/>
      <sheetName val="Version_Control28"/>
      <sheetName val="Prebid_Review28"/>
      <sheetName val="DJC_Parameters28"/>
      <sheetName val="Selling_Summary28"/>
      <sheetName val="1-BAS_(cost)28"/>
      <sheetName val="Controller_Configuration28"/>
      <sheetName val="IO_Summary28"/>
      <sheetName val="2-FAS_(cost)28"/>
      <sheetName val="Cost_Summary28"/>
      <sheetName val="3-PA_(cost)28"/>
      <sheetName val="Approved_Make28"/>
      <sheetName val="Basis_of_offer28"/>
      <sheetName val="High_Level_Summary28"/>
      <sheetName val="4-ACS__(cost)28"/>
      <sheetName val="5-CCTV__(cost)28"/>
      <sheetName val="6-FFT__(cost)28"/>
      <sheetName val="7-_Service_Retrofit__(cost)28"/>
      <sheetName val="8-Service_PSA,O&amp;M__(cost)28"/>
      <sheetName val="9-_Service_L&amp;M__(cost)28"/>
      <sheetName val="non_fixed_DJC_28"/>
      <sheetName val="10-UPG_(cost)28"/>
      <sheetName val="11-ESG__(cost)28"/>
      <sheetName val="12-Products_(cost)28"/>
      <sheetName val="13-VAV__(cost)28"/>
      <sheetName val="14-REF_(cost)28"/>
      <sheetName val="15_-_Local_Chiller_(cost)28"/>
      <sheetName val="Selling-Local_Chiller28"/>
      <sheetName val="Material_Cost_JCS28"/>
      <sheetName val="Costing_USD_Chiller28"/>
      <sheetName val="Selling-USD_Chiller28"/>
      <sheetName val="PRICE_MATRIX_-JCIPL28"/>
      <sheetName val="COST_SUMMARY-_JCIPL28"/>
      <sheetName val="6_-FFT-JCIPL28"/>
      <sheetName val="7-Ser_Retro_-JCIPL28"/>
      <sheetName val="8-Ser_PSA,_O&amp;M_-JCIPL28"/>
      <sheetName val="9-Ser_L&amp;M_-JCIPL28"/>
      <sheetName val="10-UPG_JCIPL28"/>
      <sheetName val="11-ESG_JCIPL28"/>
      <sheetName val="12-Products_JCIPL28"/>
      <sheetName val="13-VAV_JCIPL28"/>
      <sheetName val="14-REF_JCMRL_28"/>
      <sheetName val="Proj__DJC-JCIPL28"/>
      <sheetName val="_L0_DDC_128"/>
      <sheetName val="L0_DDC-228"/>
      <sheetName val="L16_DDC-328"/>
      <sheetName val="L16_DDC-528"/>
      <sheetName val="L17_DDC-628"/>
      <sheetName val="L17_DDC-7_28"/>
      <sheetName val="L18_DDC-828"/>
      <sheetName val="2-AutoDialer_Sys28"/>
      <sheetName val="1-BAS1_(cost)28"/>
      <sheetName val="2-BAS2_(cost)28"/>
      <sheetName val="Deviations-Project_Risks28"/>
      <sheetName val="IO_Schedule28"/>
      <sheetName val="Materials_Cost12"/>
      <sheetName val="Staff_Forecast_spread28"/>
      <sheetName val="Direct_cost_shed_A-2_28"/>
      <sheetName val="Inputs_&amp;_Summary_Output12"/>
      <sheetName val="Broad_Refresher_Model12"/>
      <sheetName val="Fin_Sum12"/>
      <sheetName val="Material_List_12"/>
      <sheetName val="2_BHK3"/>
      <sheetName val="BALANCE-IOTL_3"/>
      <sheetName val="Basic_Rates2"/>
      <sheetName val="activit-graph__2"/>
      <sheetName val="kppl_pl3"/>
      <sheetName val="[Spt-BH_xls][Spt-BH_xls]B@[?_x2"/>
      <sheetName val="BQ_List2"/>
      <sheetName val="Vind_-_BtB2"/>
      <sheetName val="PCS_DATA2"/>
      <sheetName val="[Spt-BH_xls][Spt-BH_xls]_Spt_79"/>
      <sheetName val="Prelims_Breakup2"/>
      <sheetName val="Staff_planning2"/>
      <sheetName val="1_yr_maintainance2"/>
      <sheetName val="Data_sheet2"/>
      <sheetName val="MASTER_RATE_ANALYSIS2"/>
      <sheetName val="foot-slab_reinft2"/>
      <sheetName val="Camp_Power_Cost3"/>
      <sheetName val="beam-reinft-machine_rm2"/>
      <sheetName val="[Spt-BH_xls][Spt-BH_xls]_Spt_80"/>
      <sheetName val="[Spt-BH_xls][Spt-BH_xls]B___301"/>
      <sheetName val="[Spt-BH_xls][Spt-BH_xls]B___302"/>
      <sheetName val="[Spt-BH_xls][Spt-BH_xls]B___303"/>
      <sheetName val="[Spt-BH_xls][Spt-BH_xls]_Spt_81"/>
      <sheetName val="[Spt-BH_xls][Spt-BH_xls]B___304"/>
      <sheetName val="[Spt-BH_xls][Spt-BH_xls]B___305"/>
      <sheetName val="[Spt-BH_xls][Spt-BH_xls]B___306"/>
      <sheetName val="[Spt-BH_xls][Spt-BH_xls]B___307"/>
      <sheetName val="[Spt-BH_xls][Spt-BH_xls]B___308"/>
      <sheetName val="[Spt-BH_xls][Spt-BH_xls]B___309"/>
      <sheetName val="[Spt-BH_xls][Spt-BH_xls]_Spt_82"/>
      <sheetName val="[Spt-BH_xls][Spt-BH_xls]B___310"/>
      <sheetName val="[Spt-BH_xls]B____x005f_x0004_______23"/>
      <sheetName val="[Spt-BH_xls]B___x005f_x0000__x005f_x0004_23"/>
      <sheetName val="[Spt-BH_xls][Spt-BH_xls]B___311"/>
      <sheetName val="[Spt-BH_xls][Spt-BH_xls]B___312"/>
      <sheetName val="[Spt-BH_xls][Spt-BH_xls]B___313"/>
      <sheetName val="[Spt-BH_xls][Spt-BH_xls]_Spt_83"/>
      <sheetName val="[Spt-BH_xls][Spt-BH_xls]B___314"/>
      <sheetName val="[Spt-BH_xls][Spt-BH_xls]B___315"/>
      <sheetName val="[Spt-BH_xls][Spt-BH_xls]B___316"/>
      <sheetName val="[Spt-BH_xls][Spt-BH_xls]_Spt_84"/>
      <sheetName val="[Spt-BH_xls][Spt-BH_xls]B___317"/>
      <sheetName val="[Spt-BH_xls][Spt-BH_xls]B___318"/>
      <sheetName val="[Spt-BH_xls][Spt-BH_xls]B___319"/>
      <sheetName val="[Spt-BH_xls][Spt-BH_xls]B___320"/>
      <sheetName val="[Spt-BH_xls][Spt-BH_xls]B___321"/>
      <sheetName val="[Spt-BH_xls][Spt-BH_xls]B___322"/>
      <sheetName val="[Spt-BH_xls][Spt-BH_xls]_Spt_85"/>
      <sheetName val="[Spt-BH_xls][Spt-BH_xls]B___323"/>
      <sheetName val="[Spt-BH_xls]B____x005f_x0004_______24"/>
      <sheetName val="[Spt-BH_xls]B___x005f_x0000__x005f_x0004_24"/>
      <sheetName val="[Spt-BH_xls][Spt-BH_xls]B___324"/>
      <sheetName val="[Spt-BH_xls][Spt-BH_xls]B___325"/>
      <sheetName val="[Spt-BH_xls][Spt-BH_xls]B___326"/>
      <sheetName val="[Spt-BH_xls][Spt-BH_xls]_Spt_86"/>
      <sheetName val="[Spt-BH_xls][Spt-BH_xls]B___327"/>
      <sheetName val="[Spt-BH_xls][Spt-BH_xls]B___328"/>
      <sheetName val="[Spt-BH_xls][Spt-BH_xls]B___329"/>
      <sheetName val="[Spt-BH_xls][Spt-BH_xls]B___330"/>
      <sheetName val="[Spt-BH_xls][Spt-BH_xls]B___331"/>
      <sheetName val="[Spt-BH_xls][Spt-BH_xls]B___332"/>
      <sheetName val="[Spt-BH_xls]B____x005f_x0004_______25"/>
      <sheetName val="[Spt-BH_xls]B___x005f_x0000__x005f_x0004_25"/>
      <sheetName val="[Spt-BH_xls][Spt-BH_xls]B___333"/>
      <sheetName val="[Spt-BH_xls][Spt-BH_xls]_Spt_87"/>
      <sheetName val="[Spt-BH_xls][Spt-BH_xls]B___334"/>
      <sheetName val="[Spt-BH_xls][Spt-BH_xls]B___335"/>
      <sheetName val="[Spt-BH_xls][Spt-BH_xls]B___336"/>
      <sheetName val="[Spt-BH_xls][Spt-BH_xls]B___337"/>
      <sheetName val="[Spt-BH_xls][Spt-BH_xls]B___338"/>
      <sheetName val="[Spt-BH_xls][Spt-BH_xls]B___339"/>
      <sheetName val="[Spt-BH_xls]B____x005f_x0004_______26"/>
      <sheetName val="[Spt-BH_xls]B___x005f_x0000__x005f_x0004_26"/>
      <sheetName val="[Spt-BH_xls][Spt-BH_xls]B___340"/>
      <sheetName val="[Spt-BH_xls][Spt-BH_xls]B___341"/>
      <sheetName val="[Spt-BH_xls][Spt-BH_xls]B___342"/>
      <sheetName val="[Spt-BH_xls][Spt-BH_xls]B___343"/>
      <sheetName val="[Spt-BH_xls][Spt-BH_xls]B___344"/>
      <sheetName val="[Spt-BH_xls][Spt-BH_xls]_Spt_88"/>
      <sheetName val="[Spt-BH_xls][Spt-BH_xls]B___345"/>
      <sheetName val="[Spt-BH_xls][Spt-BH_xls]B___346"/>
      <sheetName val="[Spt-BH_xls][Spt-BH_xls]B___347"/>
      <sheetName val="[Spt-BH_xls][Spt-BH_xls]_Spt_89"/>
      <sheetName val="[Spt-BH_xls][Spt-BH_xls]B___348"/>
      <sheetName val="[Spt-BH_xls][Spt-BH_xls]B___349"/>
      <sheetName val="[Spt-BH_xls][Spt-BH_xls]B___350"/>
      <sheetName val="[Spt-BH_xls]B____x005f_x0004_______27"/>
      <sheetName val="[Spt-BH_xls]B___x005f_x0000__x005f_x0004_27"/>
      <sheetName val="[Spt-BH_xls][Spt-BH_xls]B___351"/>
      <sheetName val="[Spt-BH_xls][Spt-BH_xls]B___352"/>
      <sheetName val="[Spt-BH_xls][Spt-BH_xls]B___353"/>
      <sheetName val="_Spt-BH_xls_B@_2"/>
      <sheetName val="_Spt-BH_xls__Spt-BH_xls_B@_2"/>
      <sheetName val="_Spt-BH_xls__Spt-BH_xls_B@_@__2"/>
      <sheetName val="_Spt-BH_xls__Spt-BH_xls_B@__@_2"/>
      <sheetName val="_Spt-BH_xls_B@_@__$2"/>
      <sheetName val="_Spt-BH_xls_B@__@_____$__2"/>
      <sheetName val="_Spt-BH_xls__Spt-BH_xls__Spt-B2"/>
      <sheetName val="PANEL_ANNEXURE2"/>
      <sheetName val="Bill_No_2_to_8_(Rev)"/>
      <sheetName val="GR_slab-reinft2"/>
      <sheetName val="_Spt-BH_xls__Spt-BH_xls_B@___x2"/>
      <sheetName val="Day_work"/>
      <sheetName val="SàQa@???²"/>
      <sheetName val="[Spt-BH_xls][Spt-BH_xls]B___354"/>
      <sheetName val="[Spt-BH_xls]B____x005f_x0004_______28"/>
      <sheetName val="[Spt-BH_xls]B___x005f_x0000__x005f_x0004_28"/>
      <sheetName val="[Spt-BH_xls][Spt-BH_xls]B___355"/>
      <sheetName val="[Spt-BH_xls][Spt-BH_xls]B___356"/>
      <sheetName val="[Spt-BH_xls][Spt-BH_xls]B___357"/>
      <sheetName val="[Spt-BH_xls][Spt-BH_xls]B___358"/>
      <sheetName val="[Spt-BH_xls][Spt-BH_xls]B___359"/>
      <sheetName val="[Spt-BH_xls][Spt-BH_xls]B___360"/>
      <sheetName val="[Spt-BH_xls][Spt-BH_xls]B___361"/>
      <sheetName val="[Spt-BH_xls][Spt-BH_xls]B___362"/>
      <sheetName val="[Spt-BH_xls][Spt-BH_xls]B___363"/>
      <sheetName val="[Spt-BH_xls][Spt-BH_xls]_Spt_90"/>
      <sheetName val="[Spt-BH_xls][Spt-BH_xls]B___364"/>
      <sheetName val="[Spt-BH_xls][Spt-BH_xls]B___365"/>
      <sheetName val="[Spt-BH_xls][Spt-BH_xls]B___366"/>
      <sheetName val="[Spt-BH_xls][Spt-BH_xls]B___367"/>
      <sheetName val="[Spt-BH_xls][Spt-BH_xls]B___368"/>
      <sheetName val="[Spt-BH_xls][Spt-BH_xls]B___369"/>
      <sheetName val="[Spt-BH_xls][Spt-BH_xls]B___370"/>
      <sheetName val="[Spt-BH_xls][Spt-BH_xls]B___371"/>
      <sheetName val="[Spt-BH_xls][Spt-BH_xls]B___372"/>
      <sheetName val="B@[@_x0000"/>
      <sheetName val="[Spt-BH_xls][Spt-BH_xls]_Spt_91"/>
      <sheetName val="Design_Requirements"/>
      <sheetName val="[Spt-BH_xls][Spt-BH_xls]B___373"/>
      <sheetName val="[Spt-BH_xls][Spt-BH_xls]B___374"/>
      <sheetName val="[Spt-BH_xls][Spt-BH_xls]B___375"/>
      <sheetName val="[Spt-BH_xls][Spt-BH_xls]_Spt_92"/>
      <sheetName val="[Spt-BH_xls][Spt-BH_xls]B___376"/>
      <sheetName val="[Spt-BH_xls][Spt-BH_xls]B___377"/>
      <sheetName val="[Spt-BH_xls][Spt-BH_xls]B___378"/>
      <sheetName val="[Spt-BH_xls][Spt-BH_xls]_Spt_93"/>
      <sheetName val="[Spt-BH_xls][Spt-BH_xls]B___379"/>
      <sheetName val="[Spt-BH_xls][Spt-BH_xls]B___380"/>
      <sheetName val="[Spt-BH_xls][Spt-BH_xls]B___381"/>
      <sheetName val="[Spt-BH_xls][Spt-BH_xls]_Spt_94"/>
      <sheetName val="[Spt-BH_xls][Spt-BH_xls]B___382"/>
      <sheetName val="[Spt-BH_xls][Spt-BH_xls]B___383"/>
      <sheetName val="[Spt-BH_xls][Spt-BH_xls]B___384"/>
      <sheetName val="[Spt-BH_xls]B____x005f_x0004_______29"/>
      <sheetName val="[Spt-BH_xls]B___x005f_x0000__x005f_x0004_29"/>
      <sheetName val="[Spt-BH_xls][Spt-BH_xls]B___385"/>
      <sheetName val="[Spt-BH_xls][Spt-BH_xls]B___386"/>
      <sheetName val="[Spt-BH_xls][Spt-BH_xls]_Spt_95"/>
      <sheetName val="[Spt-BH_xls][Spt-BH_xls]_Spt_96"/>
      <sheetName val="[Spt-BH_xls][Spt-BH_xls]_Spt_97"/>
      <sheetName val="[Spt-BH_xls][Spt-BH_xls]_Spt_98"/>
      <sheetName val="[Spt-BH_xls][Spt-BH_xls]_Spt_99"/>
      <sheetName val="[Spt-BH_xls][Spt-BH_xls]_Spt100"/>
      <sheetName val="[Spt-BH_xls][Spt-BH_xls]_Spt101"/>
      <sheetName val="[Spt-BH_xls][Spt-BH_xls]B___387"/>
      <sheetName val="[Spt-BH_xls][Spt-BH_xls]B___388"/>
      <sheetName val="[Spt-BH_xls][Spt-BH_xls]B___389"/>
      <sheetName val="[Spt-BH_xls][Spt-BH_xls]B___390"/>
      <sheetName val="[Spt-BH_xls][Spt-BH_xls]B___391"/>
      <sheetName val="[Spt-BH_xls][Spt-BH_xls]B___392"/>
      <sheetName val="[Spt-BH_xls][Spt-BH_xls]B___393"/>
      <sheetName val="[Spt-BH_xls][Spt-BH_xls]B___394"/>
      <sheetName val="[Spt-BH_xls][Spt-BH_xls]_Spt102"/>
      <sheetName val="[Spt-BH_xls][Spt-BH_xls]B___395"/>
      <sheetName val="[Spt-BH_xls][Spt-BH_xls]B___396"/>
      <sheetName val="[Spt-BH_xls][Spt-BH_xls]B___397"/>
      <sheetName val="[Spt-BH_xls][Spt-BH_xls]_Spt103"/>
      <sheetName val="[Spt-BH_xls][Spt-BH_xls]B___398"/>
      <sheetName val="[Spt-BH_xls][Spt-BH_xls]B___399"/>
      <sheetName val="[Spt-BH_xls][Spt-BH_xls]B___400"/>
      <sheetName val="[Spt-BH_xls][Spt-BH_xls]B___401"/>
      <sheetName val="[Spt-BH_xls][Spt-BH_xls]B___402"/>
      <sheetName val="[Spt-BH_xls][Spt-BH_xls]B___403"/>
      <sheetName val="[Spt-BH_xls][Spt-BH_xls]B___404"/>
      <sheetName val="Materials_"/>
      <sheetName val="[Spt-BH_xls][Spt-BH_xls]B___405"/>
      <sheetName val="[Spt-BH_xls][Spt-BH_xls]B___406"/>
      <sheetName val="[Spt-BH_xls][Spt-BH_xls]B___407"/>
      <sheetName val="[Spt-BH_xls][Spt-BH_xls]_Spt104"/>
      <sheetName val="[Spt-BH_xls][Spt-BH_xls]B___408"/>
      <sheetName val="[Spt-BH_xls][Spt-BH_xls]B___409"/>
      <sheetName val="[Spt-BH_xls][Spt-BH_xls]B___410"/>
      <sheetName val="[Spt-BH_xls]B____x005f_x0004_______30"/>
      <sheetName val="[Spt-BH_xls]B___x005f_x0000__x005f_x0004_30"/>
      <sheetName val="[Spt-BH_xls]B____x005f_x0004_______31"/>
      <sheetName val="[Spt-BH_xls]B___x005f_x0000__x005f_x0004_31"/>
      <sheetName val="[Spt-BH_xls][Spt-BH_xls]_Spt105"/>
      <sheetName val="[Spt-BH_xls][Spt-BH_xls]B___411"/>
      <sheetName val="[Spt-BH_xls][Spt-BH_xls]B___412"/>
      <sheetName val="[Spt-BH_xls][Spt-BH_xls]B___413"/>
      <sheetName val="[Spt-BH_xls][Spt-BH_xls]_Spt106"/>
      <sheetName val="[Spt-BH_xls][Spt-BH_xls]B___414"/>
      <sheetName val="[Spt-BH_xls][Spt-BH_xls]B___415"/>
      <sheetName val="[Spt-BH_xls][Spt-BH_xls]B___416"/>
      <sheetName val="[Spt-BH_xls][Spt-BH_xls]_Spt107"/>
      <sheetName val="[Spt-BH_xls][Spt-BH_xls]B___417"/>
      <sheetName val="[Spt-BH_xls][Spt-BH_xls]B___418"/>
      <sheetName val="[Spt-BH_xls][Spt-BH_xls]B___419"/>
      <sheetName val="[Spt-BH_xls][Spt-BH_xls]B___420"/>
      <sheetName val="[Spt-BH_xls][Spt-BH_xls]B___421"/>
      <sheetName val="[Spt-BH_xls][Spt-BH_xls]B___422"/>
      <sheetName val="[Spt-BH_xls][Spt-BH_xls]B___423"/>
      <sheetName val="[Spt-BH_xls]B____x005f_x0004_______32"/>
      <sheetName val="[Spt-BH_xls]B___x005f_x0000__x005f_x0004_32"/>
      <sheetName val="[Spt-BH_xls][Spt-BH_xls]B___424"/>
      <sheetName val="[Spt-BH_xls][Spt-BH_xls]_Spt108"/>
      <sheetName val="[Spt-BH_xls][Spt-BH_xls]B___425"/>
      <sheetName val="[Spt-BH_xls][Spt-BH_xls]B___426"/>
      <sheetName val="[Spt-BH_xls][Spt-BH_xls]B___427"/>
      <sheetName val="[Spt-BH_xls][Spt-BH_xls]B___428"/>
      <sheetName val="[Spt-BH_xls][Spt-BH_xls]B___429"/>
      <sheetName val="[Spt-BH_xls][Spt-BH_xls]B___430"/>
      <sheetName val="[Spt-BH_xls][Spt-BH_xls]B___431"/>
      <sheetName val="[Spt-BH_xls]B____x005f_x0004_______33"/>
      <sheetName val="[Spt-BH_xls]B___x005f_x0000__x005f_x0004_33"/>
      <sheetName val="[Spt-BH_xls][Spt-BH_xls]B___432"/>
      <sheetName val="[Spt-BH_xls][Spt-BH_xls]_Spt109"/>
      <sheetName val="[Spt-BH_xls][Spt-BH_xls]B___433"/>
      <sheetName val="[Spt-BH_xls][Spt-BH_xls]B___434"/>
      <sheetName val="[Spt-BH_xls][Spt-BH_xls]B___435"/>
      <sheetName val="[Spt-BH_xls][Spt-BH_xls]B___436"/>
      <sheetName val="[Spt-BH_xls][Spt-BH_xls]B___437"/>
      <sheetName val="[Spt-BH_xls][Spt-BH_xls]B___438"/>
      <sheetName val="[Spt-BH_xls][Spt-BH_xls]B___439"/>
      <sheetName val="[Spt-BH_xls]B____x005f_x0004_______34"/>
      <sheetName val="[Spt-BH_xls]B___x005f_x0000__x005f_x0004_34"/>
      <sheetName val="[Spt-BH_xls][Spt-BH_xls]B___440"/>
      <sheetName val="[Spt-BH_xls][Spt-BH_xls]_Spt110"/>
      <sheetName val="[Spt-BH_xls][Spt-BH_xls]B___441"/>
      <sheetName val="[Spt-BH_xls][Spt-BH_xls]B___442"/>
      <sheetName val="[Spt-BH_xls][Spt-BH_xls]B___443"/>
      <sheetName val="[Spt-BH_xls][Spt-BH_xls]B___444"/>
      <sheetName val="[Spt-BH_xls][Spt-BH_xls]B___445"/>
      <sheetName val="[Spt-BH_xls][Spt-BH_xls]B___446"/>
      <sheetName val="SP_Break_Up2"/>
      <sheetName val="[Spt-BH_xls][Spt-BH_xls]_Spt111"/>
      <sheetName val="[Spt-BH_xls][Spt-BH_xls]B___447"/>
      <sheetName val="[Spt-BH_xls][Spt-BH_xls]_Spt112"/>
      <sheetName val="[Spt-BH_xls][Spt-BH_xls]B___448"/>
      <sheetName val="[Spt-BH_xls][Spt-BH_xls]B___449"/>
      <sheetName val="[Spt-BH_xls][Spt-BH_xls]B___450"/>
      <sheetName val="[Spt-BH_xls][Spt-BH_xls]B___451"/>
      <sheetName val="[Spt-BH_xls][Spt-BH_xls]B___452"/>
      <sheetName val="[Spt-BH_xls][Spt-BH_xls]B___453"/>
      <sheetName val="[Spt-BH_xls][Spt-BH_xls]B___454"/>
      <sheetName val="[Spt-BH_xls][Spt-BH_xls]B___455"/>
      <sheetName val="[Spt-BH_xls][Spt-BH_xls]B___456"/>
      <sheetName val="[Spt-BH_xls][Spt-BH_xls]B___457"/>
      <sheetName val="[Spt-BH_xls][Spt-BH_xls]_Spt113"/>
      <sheetName val="[Spt-BH_xls][Spt-BH_xls]B___458"/>
      <sheetName val="[Spt-BH_xls][Spt-BH_xls]B___459"/>
      <sheetName val="[Spt-BH_xls][Spt-BH_xls]B___460"/>
      <sheetName val="[Spt-BH_xls][Spt-BH_xls]B___461"/>
      <sheetName val="[Spt-BH_xls][Spt-BH_xls]B___462"/>
      <sheetName val="[Spt-BH_xls][Spt-BH_xls]B___463"/>
      <sheetName val="[Spt-BH_xls][Spt-BH_xls]B___464"/>
      <sheetName val="[Spt-BH_xls][Spt-BH_xls]B___465"/>
      <sheetName val="[Spt-BH_xls][Spt-BH_xls]B___466"/>
      <sheetName val="[Spt-BH_xls][Spt-BH_xls]_Spt114"/>
      <sheetName val="[Spt-BH_xls][Spt-BH_xls]B___467"/>
      <sheetName val="[Spt-BH_xls]B____x005f_x0004_______35"/>
      <sheetName val="[Spt-BH_xls]B___x005f_x0000__x005f_x0004_35"/>
      <sheetName val="[Spt-BH_xls][Spt-BH_xls]B___468"/>
      <sheetName val="[Spt-BH_xls][Spt-BH_xls]B___469"/>
      <sheetName val="[Spt-BH_xls][Spt-BH_xls]B___470"/>
      <sheetName val="[Spt-BH_xls][Spt-BH_xls]_Spt115"/>
      <sheetName val="[Spt-BH_xls][Spt-BH_xls]B___471"/>
      <sheetName val="[Spt-BH_xls][Spt-BH_xls]B___472"/>
      <sheetName val="[Spt-BH_xls][Spt-BH_xls]B___473"/>
      <sheetName val="[Spt-BH_xls][Spt-BH_xls]_Spt116"/>
      <sheetName val="[Spt-BH_xls][Spt-BH_xls]B___474"/>
      <sheetName val="[Spt-BH_xls][Spt-BH_xls]B___475"/>
      <sheetName val="[Spt-BH_xls][Spt-BH_xls]B___476"/>
      <sheetName val="[Spt-BH_xls][Spt-BH_xls]B___477"/>
      <sheetName val="[Spt-BH_xls][Spt-BH_xls]B___478"/>
      <sheetName val="[Spt-BH_xls][Spt-BH_xls]B___479"/>
      <sheetName val="[Spt-BH_xls][Spt-BH_xls]_Spt117"/>
      <sheetName val="[Spt-BH_xls][Spt-BH_xls]B___480"/>
      <sheetName val="[Spt-BH_xls][Spt-BH_xls]B___481"/>
      <sheetName val="[Spt-BH_xls][Spt-BH_xls]B___482"/>
      <sheetName val="[Spt-BH_xls][Spt-BH_xls]B___483"/>
      <sheetName val="[Spt-BH_xls][Spt-BH_xls]B___484"/>
      <sheetName val="[Spt-BH_xls][Spt-BH_xls]B___485"/>
      <sheetName val="[Spt-BH_xls][Spt-BH_xls]_Spt118"/>
      <sheetName val="[Spt-BH_xls][Spt-BH_xls]B___486"/>
      <sheetName val="[Spt-BH_xls][Spt-BH_xls]B___487"/>
      <sheetName val="[Spt-BH_xls][Spt-BH_xls]B___488"/>
      <sheetName val="[Spt-BH_xls][Spt-BH_xls]B___489"/>
      <sheetName val="[Spt-BH_xls][Spt-BH_xls]B___490"/>
      <sheetName val="[Spt-BH_xls][Spt-BH_xls]B___491"/>
      <sheetName val="[Spt-BH_xls][Spt-BH_xls]_Spt119"/>
      <sheetName val="[Spt-BH_xls][Spt-BH_xls]B___492"/>
      <sheetName val="[Spt-BH_xls][Spt-BH_xls]B___493"/>
      <sheetName val="[Spt-BH_xls][Spt-BH_xls]B___494"/>
      <sheetName val="[Spt-BH_xls][Spt-BH_xls]B___495"/>
      <sheetName val="[Spt-BH_xls][Spt-BH_xls]B___496"/>
      <sheetName val="[Spt-BH_xls][Spt-BH_xls]B___497"/>
      <sheetName val="[Spt-BH_xls][Spt-BH_xls]_Spt120"/>
      <sheetName val="[Spt-BH_xls][Spt-BH_xls]B___498"/>
      <sheetName val="[Spt-BH_xls][Spt-BH_xls]B___499"/>
      <sheetName val="[Spt-BH_xls][Spt-BH_xls]B___500"/>
      <sheetName val="[Spt-BH_xls][Spt-BH_xls]_Spt121"/>
      <sheetName val="[Spt-BH_xls][Spt-BH_xls]B___501"/>
      <sheetName val="[Spt-BH_xls][Spt-BH_xls]B___502"/>
      <sheetName val="[Spt-BH_xls][Spt-BH_xls]B___503"/>
      <sheetName val="[Spt-BH_xls][Spt-BH_xls]_Spt122"/>
      <sheetName val="[Spt-BH_xls][Spt-BH_xls]B___504"/>
      <sheetName val="[Spt-BH_xls]B____x005f_x0004_______36"/>
      <sheetName val="[Spt-BH_xls]B___x005f_x0000__x005f_x0004_36"/>
      <sheetName val="[Spt-BH_xls][Spt-BH_xls]B___505"/>
      <sheetName val="[Spt-BH_xls][Spt-BH_xls]B___506"/>
      <sheetName val="[Spt-BH_xls][Spt-BH_xls]B___507"/>
      <sheetName val="[Spt-BH_xls][Spt-BH_xls]_Spt123"/>
      <sheetName val="[Spt-BH_xls][Spt-BH_xls]_Spt124"/>
      <sheetName val="[Spt-BH_xls][Spt-BH_xls]B___508"/>
      <sheetName val="[Spt-BH_xls][Spt-BH_xls]B___509"/>
      <sheetName val="[Spt-BH_xls][Spt-BH_xls]B___510"/>
      <sheetName val="[Spt-BH_xls][Spt-BH_xls]_Spt125"/>
      <sheetName val="[Spt-BH_xls][Spt-BH_xls]B___511"/>
      <sheetName val="[Spt-BH_xls]B____x005f_x0004_______37"/>
      <sheetName val="[Spt-BH_xls]B___x005f_x0000__x005f_x0004_37"/>
      <sheetName val="[Spt-BH_xls][Spt-BH_xls]B___512"/>
      <sheetName val="[Spt-BH_xls][Spt-BH_xls]B___513"/>
      <sheetName val="[Spt-BH_xls][Spt-BH_xls]B___514"/>
      <sheetName val="[Spt-BH_xls][Spt-BH_xls]B___515"/>
      <sheetName val="[Spt-BH_xls][Spt-BH_xls]B___516"/>
      <sheetName val="[Spt-BH_xls][Spt-BH_xls]B___517"/>
      <sheetName val="[Spt-BH_xls][Spt-BH_xls]B___518"/>
      <sheetName val="[Spt-BH_xls][Spt-BH_xls]B___519"/>
      <sheetName val="[Spt-BH_xls][Spt-BH_xls]B___520"/>
      <sheetName val="[Spt-BH_xls][Spt-BH_xls]_Spt126"/>
      <sheetName val="[Spt-BH_xls][Spt-BH_xls]B___521"/>
      <sheetName val="[Spt-BH_xls][Spt-BH_xls]B___522"/>
      <sheetName val="[Spt-BH_xls][Spt-BH_xls]B___523"/>
      <sheetName val="[Spt-BH_xls][Spt-BH_xls]B___524"/>
      <sheetName val="[Spt-BH_xls][Spt-BH_xls]B___525"/>
      <sheetName val="[Spt-BH_xls][Spt-BH_xls]B___526"/>
      <sheetName val="[Spt-BH_xls][Spt-BH_xls]B___527"/>
      <sheetName val="[Spt-BH_xls][Spt-BH_xls]B___528"/>
      <sheetName val="[Spt-BH_xls][Spt-BH_xls]B___529"/>
      <sheetName val="[Spt-BH_xls][Spt-BH_xls]_Spt127"/>
      <sheetName val="[Spt-BH_xls][Spt-BH_xls]B___530"/>
      <sheetName val="[Spt-BH_xls][Spt-BH_xls]B___531"/>
      <sheetName val="[Spt-BH_xls][Spt-BH_xls]B___532"/>
      <sheetName val="[Spt-BH_xls][Spt-BH_xls]_Spt128"/>
      <sheetName val="[Spt-BH_xls][Spt-BH_xls]_Spt129"/>
      <sheetName val="[Spt-BH_xls][Spt-BH_xls]B___533"/>
      <sheetName val="[Spt-BH_xls][Spt-BH_xls]B___534"/>
      <sheetName val="[Spt-BH_xls][Spt-BH_xls]B___535"/>
      <sheetName val="[Spt-BH_xls][Spt-BH_xls]B___536"/>
      <sheetName val="[Spt-BH_xls][Spt-BH_xls]B___537"/>
      <sheetName val="[Spt-BH_xls][Spt-BH_xls]B___538"/>
      <sheetName val="[Spt-BH_xls][Spt-BH_xls]_Spt130"/>
      <sheetName val="[Spt-BH_xls][Spt-BH_xls]B___539"/>
      <sheetName val="[Spt-BH_xls][Spt-BH_xls]B___540"/>
      <sheetName val="[Spt-BH_xls][Spt-BH_xls]B___541"/>
      <sheetName val="[Spt-BH_xls][Spt-BH_xls]B___542"/>
      <sheetName val="[Spt-BH_xls][Spt-BH_xls]B___543"/>
      <sheetName val="[Spt-BH_xls][Spt-BH_xls]B___544"/>
      <sheetName val="[Spt-BH_xls][Spt-BH_xls]_Spt131"/>
      <sheetName val="[Spt-BH_xls][Spt-BH_xls]B___545"/>
      <sheetName val="[Spt-BH_xls][Spt-BH_xls]B___546"/>
      <sheetName val="[Spt-BH_xls][Spt-BH_xls]B___547"/>
      <sheetName val="[Spt-BH_xls][Spt-BH_xls]_Spt132"/>
      <sheetName val="[Spt-BH_xls][Spt-BH_xls]B___548"/>
      <sheetName val="[Spt-BH_xls][Spt-BH_xls]B___549"/>
      <sheetName val="[Spt-BH_xls][Spt-BH_xls]B___550"/>
      <sheetName val="[Spt-BH_xls][Spt-BH_xls]_Spt133"/>
      <sheetName val="[Spt-BH_xls][Spt-BH_xls]B___551"/>
      <sheetName val="[Spt-BH_xls][Spt-BH_xls]B___552"/>
      <sheetName val="[Spt-BH_xls][Spt-BH_xls]B___553"/>
      <sheetName val="[Spt-BH_xls][Spt-BH_xls]B___554"/>
      <sheetName val="[Spt-BH_xls][Spt-BH_xls]B___555"/>
      <sheetName val="[Spt-BH_xls][Spt-BH_xls]B___556"/>
      <sheetName val="[Spt-BH_xls]B____x005f_x0004_______38"/>
      <sheetName val="[Spt-BH_xls]B___x005f_x0000__x005f_x0004_38"/>
      <sheetName val="[Spt-BH_xls][Spt-BH_xls]B___557"/>
      <sheetName val="[Spt-BH_xls][Spt-BH_xls]B___558"/>
      <sheetName val="[Spt-BH_xls][Spt-BH_xls]B___559"/>
      <sheetName val="[Spt-BH_xls][Spt-BH_xls]B___560"/>
      <sheetName val="[Spt-BH_xls][Spt-BH_xls]B___561"/>
      <sheetName val="[Spt-BH_xls][Spt-BH_xls]B___562"/>
      <sheetName val="[Spt-BH_xls][Spt-BH_xls]B___563"/>
      <sheetName val="[Spt-BH_xls]B____x005f_x0004_______39"/>
      <sheetName val="[Spt-BH_xls]B___x005f_x0000__x005f_x0004_39"/>
      <sheetName val="[Spt-BH_xls][Spt-BH_xls]B___564"/>
      <sheetName val="[Spt-BH_xls][Spt-BH_xls]_Spt134"/>
      <sheetName val="[Spt-BH_xls][Spt-BH_xls]B___565"/>
      <sheetName val="[Spt-BH_xls][Spt-BH_xls]B___566"/>
      <sheetName val="[Spt-BH_xls][Spt-BH_xls]B___567"/>
      <sheetName val="[Spt-BH_xls][Spt-BH_xls]B___568"/>
      <sheetName val="[Spt-BH_xls][Spt-BH_xls]B___569"/>
      <sheetName val="[Spt-BH_xls][Spt-BH_xls]B___570"/>
      <sheetName val="[Spt-BH_xls][Spt-BH_xls]B___571"/>
      <sheetName val="[Spt-BH_xls][Spt-BH_xls]B___572"/>
      <sheetName val="[Spt-BH_xls][Spt-BH_xls]B___573"/>
      <sheetName val="[Spt-BH_xls][Spt-BH_xls]_Spt135"/>
      <sheetName val="[Spt-BH_xls][Spt-BH_xls]B___574"/>
      <sheetName val="[Spt-BH_xls][Spt-BH_xls]B___575"/>
      <sheetName val="[Spt-BH_xls][Spt-BH_xls]B___576"/>
      <sheetName val="[Spt-BH_xls][Spt-BH_xls]_Spt136"/>
      <sheetName val="[Spt-BH_xls][Spt-BH_xls]B___577"/>
      <sheetName val="[Spt-BH_xls][Spt-BH_xls]B___578"/>
      <sheetName val="[Spt-BH_xls][Spt-BH_xls]B___579"/>
      <sheetName val="[Spt-BH_xls][Spt-BH_xls]_Spt137"/>
      <sheetName val="[Spt-BH_xls][Spt-BH_xls]B___580"/>
      <sheetName val="[Spt-BH_xls][Spt-BH_xls]B___581"/>
      <sheetName val="[Spt-BH_xls][Spt-BH_xls]B___582"/>
      <sheetName val="[Spt-BH_xls][Spt-BH_xls]_Spt138"/>
      <sheetName val="[Spt-BH_xls][Spt-BH_xls]B___583"/>
      <sheetName val="[Spt-BH_xls][Spt-BH_xls]B___584"/>
      <sheetName val="[Spt-BH_xls][Spt-BH_xls]B___585"/>
      <sheetName val="[Spt-BH_xls][Spt-BH_xls]_Spt139"/>
      <sheetName val="[Spt-BH_xls][Spt-BH_xls]B___586"/>
      <sheetName val="[Spt-BH_xls][Spt-BH_xls]B___587"/>
      <sheetName val="[Spt-BH_xls]B____x005f_x0004_______40"/>
      <sheetName val="[Spt-BH_xls]B___x005f_x0000__x005f_x0004_40"/>
      <sheetName val="[Spt-BH_xls][Spt-BH_xls]B___588"/>
      <sheetName val="[Spt-BH_xls][Spt-BH_xls]B___589"/>
      <sheetName val="[Spt-BH_xls][Spt-BH_xls]B___590"/>
      <sheetName val="[Spt-BH_xls][Spt-BH_xls]B___591"/>
      <sheetName val="[Spt-BH_xls][Spt-BH_xls]B___592"/>
      <sheetName val="[Spt-BH_xls][Spt-BH_xls]_Spt140"/>
      <sheetName val="[Spt-BH_xls][Spt-BH_xls]B___593"/>
      <sheetName val="[Spt-BH_xls][Spt-BH_xls]B___594"/>
      <sheetName val="[Spt-BH_xls][Spt-BH_xls]B___595"/>
      <sheetName val="[Spt-BH_xls][Spt-BH_xls]B___596"/>
      <sheetName val="[Spt-BH_xls][Spt-BH_xls]B___597"/>
      <sheetName val="[Spt-BH_xls][Spt-BH_xls]B___598"/>
      <sheetName val="[Spt-BH_xls][Spt-BH_xls]B___599"/>
      <sheetName val="[Spt-BH_xls][Spt-BH_xls]B___600"/>
      <sheetName val="[Spt-BH_xls]B____x005f_x0004_______41"/>
      <sheetName val="[Spt-BH_xls]B___x005f_x0000__x005f_x0004_41"/>
      <sheetName val="[Spt-BH_xls][Spt-BH_xls]B___601"/>
      <sheetName val="INDIGINEOUS_ITEMS_"/>
      <sheetName val="TMT_STEEL"/>
      <sheetName val="Extra_Item"/>
      <sheetName val="_Spt-BH_xls_B@_@_"/>
      <sheetName val="[Spt-BH_xls]B@[2"/>
      <sheetName val="[Spt-BH_xls][Spt-BH_xls]B@[2"/>
      <sheetName val="TORRENT_CEMENT"/>
      <sheetName val="Schd_8_Input2"/>
      <sheetName val="Emp_&amp;_Trng2"/>
      <sheetName val="Rate_analysis-_BOQ_1_2"/>
      <sheetName val="_Spt-BH_xls_B@__@___$_2"/>
      <sheetName val="[Spt-BH_xls][Spt-BH_xls]B___602"/>
      <sheetName val="[Spt-BH_xls][Spt-BH_xls]B___603"/>
      <sheetName val="[Spt-BH_xls][Spt-BH_xls]B___604"/>
      <sheetName val="[Spt-BH_xls][Spt-BH_xls]B___605"/>
      <sheetName val="입찰내역_발주처_양식2"/>
      <sheetName val="SC_Cost_FEB_032"/>
      <sheetName val="DM_tANK_Allow2"/>
      <sheetName val="20th_Office2"/>
      <sheetName val="Bank_Guarantee2"/>
      <sheetName val="_Spt-BH_xls__Spt-BH_xls_B@__x02"/>
      <sheetName val="_Spt-BH_xls_B@__x005f_x0000__x02"/>
      <sheetName val="Operating_Statistics2"/>
      <sheetName val="N_T-M-30_GDS2"/>
      <sheetName val="PROVISIONAL_SUMS2"/>
      <sheetName val="JSSL_BOQ2"/>
      <sheetName val="N_T-M-452"/>
      <sheetName val="Rate_analysis_civil2"/>
      <sheetName val="material_and_Labour_rate2"/>
      <sheetName val="LIFE_&amp;_REP_PROVN2"/>
      <sheetName val="O&amp;M_CREW2"/>
      <sheetName val="[Spt-BH_xls][Spt-BH_xls]B___606"/>
      <sheetName val="[Spt-BH_xls][Spt-BH_xls]B___607"/>
      <sheetName val="Detail_In_Door_Stad2"/>
      <sheetName val="Facilites_Master2"/>
      <sheetName val="EQP_Master2"/>
      <sheetName val="Contract_Status2"/>
      <sheetName val="[Spt-BH_xls][Spt-BH_xls]B___608"/>
      <sheetName val="[Spt-BH_xls][Spt-BH_xls]B___609"/>
      <sheetName val="[Spt-BH_xls][Spt-BH_xls]B___610"/>
      <sheetName val="[Spt-BH_xls][Spt-BH_xls]B___611"/>
      <sheetName val="[Spt-BH_xls][Spt-BH_xls]B___612"/>
      <sheetName val="[Spt-BH_xls][Spt-BH_xls]B___613"/>
      <sheetName val="[Spt-BH_xls][Spt-BH_xls]B___614"/>
      <sheetName val="[Spt-BH_xls][Spt-BH_xls]_Spt141"/>
      <sheetName val="[Spt-BH_xls][Spt-BH_xls]B___615"/>
      <sheetName val="[Spt-BH_xls][Spt-BH_xls]B___616"/>
      <sheetName val="[Spt-BH_xls][Spt-BH_xls]B___617"/>
      <sheetName val="[Spt-BH_xls][Spt-BH_xls]_Spt142"/>
      <sheetName val="[Spt-BH_xls][Spt-BH_xls]_Spt143"/>
      <sheetName val="[Spt-BH_xls][Spt-BH_xls]B___618"/>
      <sheetName val="[Spt-BH_xls][Spt-BH_xls]B___619"/>
      <sheetName val="[Spt-BH_xls][Spt-BH_xls]B___620"/>
      <sheetName val="[Spt-BH_xls][Spt-BH_xls]B___621"/>
      <sheetName val="[Spt-BH_xls][Spt-BH_xls]B___622"/>
      <sheetName val="[Spt-BH_xls][Spt-BH_xls]B___623"/>
      <sheetName val="[Spt-BH_xls][Spt-BH_xls]B___624"/>
      <sheetName val="[Spt-BH_xls][Spt-BH_xls]B___625"/>
      <sheetName val="[Spt-BH_xls][Spt-BH_xls]B___626"/>
      <sheetName val="[Spt-BH_xls][Spt-BH_xls]_Spt144"/>
      <sheetName val="[Spt-BH_xls][Spt-BH_xls]B___627"/>
      <sheetName val="[Spt-BH_xls][Spt-BH_xls]B___628"/>
      <sheetName val="[Spt-BH_xls][Spt-BH_xls]B___629"/>
      <sheetName val="[Spt-BH_xls][Spt-BH_xls]_Spt145"/>
      <sheetName val="[Spt-BH_xls][Spt-BH_xls]B___630"/>
      <sheetName val="[Spt-BH_xls][Spt-BH_xls]B___631"/>
      <sheetName val="[Spt-BH_xls][Spt-BH_xls]B___632"/>
      <sheetName val="[Spt-BH_xls][Spt-BH_xls]_Spt146"/>
      <sheetName val="[Spt-BH_xls][Spt-BH_xls]B___633"/>
      <sheetName val="[Spt-BH_xls][Spt-BH_xls]B___634"/>
      <sheetName val="[Spt-BH_xls][Spt-BH_xls]B___635"/>
      <sheetName val="[Spt-BH_xls][Spt-BH_xls]_Spt147"/>
      <sheetName val="[Spt-BH_xls][Spt-BH_xls]B___636"/>
      <sheetName val="[Spt-BH_xls][Spt-BH_xls]B___637"/>
      <sheetName val="[Spt-BH_xls][Spt-BH_xls]B___638"/>
      <sheetName val="[Spt-BH_xls][Spt-BH_xls]B___639"/>
      <sheetName val="[Spt-BH_xls][Spt-BH_xls]B___640"/>
      <sheetName val="[Spt-BH_xls][Spt-BH_xls]B___641"/>
      <sheetName val="[Spt-BH_xls][Spt-BH_xls]_Spt148"/>
      <sheetName val="[Spt-BH_xls][Spt-BH_xls]B___642"/>
      <sheetName val="[Spt-BH_xls][Spt-BH_xls]B___643"/>
      <sheetName val="[Spt-BH_xls][Spt-BH_xls]B___644"/>
      <sheetName val="[Spt-BH_xls][Spt-BH_xls]_Spt149"/>
      <sheetName val="[Spt-BH_xls][Spt-BH_xls]B___645"/>
      <sheetName val="[Spt-BH_xls][Spt-BH_xls]B___646"/>
      <sheetName val="[Spt-BH_xls]B____x005f_x0004_______42"/>
      <sheetName val="[Spt-BH_xls]B___x005f_x0000__x005f_x0004_42"/>
      <sheetName val="[Spt-BH_xls][Spt-BH_xls]B___647"/>
      <sheetName val="[Spt-BH_xls][Spt-BH_xls]B___648"/>
      <sheetName val="[Spt-BH_xls][Spt-BH_xls]B___649"/>
      <sheetName val="[Spt-BH_xls][Spt-BH_xls]_Spt150"/>
      <sheetName val="[Spt-BH_xls][Spt-BH_xls]B___650"/>
      <sheetName val="[Spt-BH_xls][Spt-BH_xls]B___651"/>
      <sheetName val="[Spt-BH_xls][Spt-BH_xls]B___652"/>
      <sheetName val="[Spt-BH_xls][Spt-BH_xls]B___653"/>
      <sheetName val="[Spt-BH_xls][Spt-BH_xls]B___654"/>
      <sheetName val="[Spt-BH_xls]B____x005f_x0004_______43"/>
      <sheetName val="[Spt-BH_xls]B___x005f_x0000__x005f_x0004_43"/>
      <sheetName val="[Spt-BH_xls][Spt-BH_xls]B___655"/>
      <sheetName val="[Spt-BH_xls][Spt-BH_xls]B___656"/>
      <sheetName val="[Spt-BH_xls][Spt-BH_xls]_Spt151"/>
      <sheetName val="[Spt-BH_xls][Spt-BH_xls]_Spt152"/>
      <sheetName val="[Spt-BH_xls][Spt-BH_xls]B___657"/>
      <sheetName val="[Spt-BH_xls][Spt-BH_xls]B___658"/>
      <sheetName val="[Spt-BH_xls][Spt-BH_xls]B___659"/>
      <sheetName val="[Spt-BH_xls][Spt-BH_xls]_Spt153"/>
      <sheetName val="[Spt-BH_xls][Spt-BH_xls]B___660"/>
      <sheetName val="[Spt-BH_xls][Spt-BH_xls]B___661"/>
      <sheetName val="[Spt-BH_xls][Spt-BH_xls]B___662"/>
      <sheetName val="[Spt-BH_xls][Spt-BH_xls]B___663"/>
      <sheetName val="[Spt-BH_xls][Spt-BH_xls]B___664"/>
      <sheetName val="[Spt-BH_xls][Spt-BH_xls]B___665"/>
      <sheetName val="[Spt-BH_xls][Spt-BH_xls]B___666"/>
      <sheetName val="[Spt-BH_xls][Spt-BH_xls]B___667"/>
      <sheetName val="[Spt-BH_xls][Spt-BH_xls]B___668"/>
      <sheetName val="[Spt-BH_xls][Spt-BH_xls]B___669"/>
      <sheetName val="[Spt-BH_xls][Spt-BH_xls]B___670"/>
      <sheetName val="[Spt-BH_xls][Spt-BH_xls]B___671"/>
      <sheetName val="[Spt-BH_xls][Spt-BH_xls]_Spt154"/>
      <sheetName val="[Spt-BH_xls][Spt-BH_xls]B___672"/>
      <sheetName val="[Spt-BH_xls][Spt-BH_xls]B___673"/>
      <sheetName val="[Spt-BH_xls][Spt-BH_xls]B___674"/>
      <sheetName val="[Spt-BH_xls][Spt-BH_xls]_Spt155"/>
      <sheetName val="[Spt-BH_xls][Spt-BH_xls]B___675"/>
      <sheetName val="[Spt-BH_xls][Spt-BH_xls]B___676"/>
      <sheetName val="[Spt-BH_xls][Spt-BH_xls]B___677"/>
      <sheetName val="[Spt-BH_xls][Spt-BH_xls]B___678"/>
      <sheetName val="[Spt-BH_xls][Spt-BH_xls]B___679"/>
      <sheetName val="[Spt-BH_xls][Spt-BH_xls]B___680"/>
      <sheetName val="[Spt-BH_xls][Spt-BH_xls]B___681"/>
      <sheetName val="[Spt-BH_xls][Spt-BH_xls]B___682"/>
      <sheetName val="[Spt-BH_xls][Spt-BH_xls]B___683"/>
      <sheetName val="[Spt-BH_xls][Spt-BH_xls]_Spt156"/>
      <sheetName val="[Spt-BH_xls][Spt-BH_xls]B___684"/>
      <sheetName val="[Spt-BH_xls]B____x005f_x0004_______44"/>
      <sheetName val="[Spt-BH_xls]B___x005f_x0000__x005f_x0004_44"/>
      <sheetName val="[Spt-BH_xls][Spt-BH_xls]B___685"/>
      <sheetName val="[Spt-BH_xls][Spt-BH_xls]B___686"/>
      <sheetName val="[Spt-BH_xls][Spt-BH_xls]_Spt157"/>
      <sheetName val="[Spt-BH_xls][Spt-BH_xls]B___687"/>
      <sheetName val="[Spt-BH_xls][Spt-BH_xls]B___688"/>
      <sheetName val="[Spt-BH_xls][Spt-BH_xls]B___689"/>
      <sheetName val="[Spt-BH_xls][Spt-BH_xls]_Spt158"/>
      <sheetName val="[Spt-BH_xls][Spt-BH_xls]B___690"/>
      <sheetName val="[Spt-BH_xls][Spt-BH_xls]B___691"/>
      <sheetName val="[Spt-BH_xls][Spt-BH_xls]B___692"/>
      <sheetName val="[Spt-BH_xls][Spt-BH_xls]B___693"/>
      <sheetName val="[Spt-BH_xls]B____x005f_x0004_______45"/>
      <sheetName val="[Spt-BH_xls]B___x005f_x0000__x005f_x0004_45"/>
      <sheetName val="[Spt-BH_xls][Spt-BH_xls]_Spt159"/>
      <sheetName val="[Spt-BH_xls][Spt-BH_xls]B___694"/>
      <sheetName val="[Spt-BH_xls][Spt-BH_xls]B___695"/>
      <sheetName val="[Spt-BH_xls][Spt-BH_xls]B___696"/>
      <sheetName val="[Spt-BH_xls][Spt-BH_xls]B___697"/>
      <sheetName val="[Spt-BH_xls][Spt-BH_xls]B___698"/>
      <sheetName val="[Spt-BH_xls][Spt-BH_xls]B___699"/>
      <sheetName val="[Spt-BH_xls][Spt-BH_xls]B___700"/>
      <sheetName val="[Spt-BH_xls][Spt-BH_xls]B___701"/>
      <sheetName val="[Spt-BH_xls][Spt-BH_xls]B___702"/>
      <sheetName val="[Spt-BH_xls][Spt-BH_xls]B___703"/>
      <sheetName val="[Spt-BH_xls][Spt-BH_xls]B___704"/>
      <sheetName val="[Spt-BH_xls]B____x005f_x0004_______46"/>
      <sheetName val="[Spt-BH_xls]B___x005f_x0000__x005f_x0004_46"/>
      <sheetName val="[Spt-BH_xls][Spt-BH_xls]B___705"/>
      <sheetName val="[Spt-BH_xls][Spt-BH_xls]B___706"/>
      <sheetName val="[Spt-BH_xls][Spt-BH_xls]_Spt160"/>
      <sheetName val="[Spt-BH_xls][Spt-BH_xls]B___707"/>
      <sheetName val="[Spt-BH_xls][Spt-BH_xls]B___708"/>
      <sheetName val="[Spt-BH_xls][Spt-BH_xls]B___709"/>
      <sheetName val="[Spt-BH_xls][Spt-BH_xls]B___710"/>
      <sheetName val="[Spt-BH_xls][Spt-BH_xls]B___711"/>
      <sheetName val="[Spt-BH_xls][Spt-BH_xls]B___712"/>
      <sheetName val="[Spt-BH_xls][Spt-BH_xls]B___713"/>
      <sheetName val="[Spt-BH_xls]B____x005f_x0004_______47"/>
      <sheetName val="[Spt-BH_xls]B___x005f_x0000__x005f_x0004_47"/>
      <sheetName val="[Spt-BH_xls][Spt-BH_xls]B___714"/>
      <sheetName val="[Spt-BH_xls]B____x005f_x0004_______48"/>
      <sheetName val="[Spt-BH_xls]B___x005f_x0000__x005f_x0004_48"/>
      <sheetName val="[Spt-BH_xls][Spt-BH_xls]_Spt161"/>
      <sheetName val="[Spt-BH_xls][Spt-BH_xls]B___715"/>
      <sheetName val="[Spt-BH_xls][Spt-BH_xls]B___716"/>
      <sheetName val="[Spt-BH_xls][Spt-BH_xls]B___717"/>
      <sheetName val="[Spt-BH_xls][Spt-BH_xls]B___718"/>
      <sheetName val="[Spt-BH_xls][Spt-BH_xls]B___719"/>
      <sheetName val="[Spt-BH_xls][Spt-BH_xls]B___720"/>
      <sheetName val="[Spt-BH_xls][Spt-BH_xls]B___721"/>
      <sheetName val="[Spt-BH_xls]B____x005f_x0004_______49"/>
      <sheetName val="[Spt-BH_xls]B___x005f_x0000__x005f_x0004_49"/>
      <sheetName val="[Spt-BH_xls][Spt-BH_xls]_Spt162"/>
      <sheetName val="[Spt-BH_xls][Spt-BH_xls]B___722"/>
      <sheetName val="[Spt-BH_xls][Spt-BH_xls]B___723"/>
      <sheetName val="[Spt-BH_xls][Spt-BH_xls]B___724"/>
      <sheetName val="[Spt-BH_xls][Spt-BH_xls]B___725"/>
      <sheetName val="[Spt-BH_xls][Spt-BH_xls]B___726"/>
      <sheetName val="[Spt-BH_xls][Spt-BH_xls]B___727"/>
      <sheetName val="[Spt-BH_xls][Spt-BH_xls]B___728"/>
      <sheetName val="[Spt-BH_xls]B____x005f_x0004_______50"/>
      <sheetName val="[Spt-BH_xls]B___x005f_x0000__x005f_x0004_50"/>
      <sheetName val="[Spt-BH_xls][Spt-BH_xls]_Spt163"/>
      <sheetName val="[Spt-BH_xls][Spt-BH_xls]B___729"/>
      <sheetName val="[Spt-BH_xls][Spt-BH_xls]B___730"/>
      <sheetName val="[Spt-BH_xls][Spt-BH_xls]B___731"/>
      <sheetName val="[Spt-BH_xls][Spt-BH_xls]B___732"/>
      <sheetName val="[Spt-BH_xls][Spt-BH_xls]B___733"/>
      <sheetName val="[Spt-BH_xls][Spt-BH_xls]B___734"/>
      <sheetName val="[Spt-BH_xls][Spt-BH_xls]B___735"/>
      <sheetName val="[Spt-BH_xls]B____x005f_x0004_______51"/>
      <sheetName val="[Spt-BH_xls]B___x005f_x0000__x005f_x0004_51"/>
      <sheetName val="[Spt-BH_xls][Spt-BH_xls]_Spt164"/>
      <sheetName val="[Spt-BH_xls][Spt-BH_xls]B___736"/>
      <sheetName val="[Spt-BH_xls][Spt-BH_xls]B___737"/>
      <sheetName val="[Spt-BH_xls][Spt-BH_xls]B___738"/>
      <sheetName val="[Spt-BH_xls][Spt-BH_xls]B___739"/>
      <sheetName val="[Spt-BH_xls][Spt-BH_xls]B___740"/>
      <sheetName val="[Spt-BH_xls][Spt-BH_xls]B___741"/>
      <sheetName val="[Spt-BH_xls][Spt-BH_xls]B___742"/>
      <sheetName val="[Spt-BH_xls][Spt-BH_xls]B___743"/>
      <sheetName val="[Spt-BH_xls][Spt-BH_xls]B___744"/>
      <sheetName val="[Spt-BH_xls][Spt-BH_xls]_Spt165"/>
      <sheetName val="[Spt-BH_xls][Spt-BH_xls]B___745"/>
      <sheetName val="[Spt-BH_xls][Spt-BH_xls]B___746"/>
      <sheetName val="[Spt-BH_xls]B____x005f_x0004_______52"/>
      <sheetName val="[Spt-BH_xls]B___x005f_x0000__x005f_x0004_52"/>
      <sheetName val="[Spt-BH_xls][Spt-BH_xls]B___747"/>
      <sheetName val="[Spt-BH_xls][Spt-BH_xls]B___748"/>
      <sheetName val="[Spt-BH_xls][Spt-BH_xls]B___749"/>
      <sheetName val="[Spt-BH_xls][Spt-BH_xls]B___750"/>
      <sheetName val="[Spt-BH_xls][Spt-BH_xls]B___751"/>
      <sheetName val="[Spt-BH_xls][Spt-BH_xls]_Spt166"/>
      <sheetName val="[Spt-BH_xls][Spt-BH_xls]B___752"/>
      <sheetName val="[Spt-BH_xls][Spt-BH_xls]B___753"/>
      <sheetName val="[Spt-BH_xls][Spt-BH_xls]B___754"/>
      <sheetName val="[Spt-BH_xls][Spt-BH_xls]_Spt167"/>
      <sheetName val="[Spt-BH_xls][Spt-BH_xls]B___755"/>
      <sheetName val="[Spt-BH_xls][Spt-BH_xls]B___756"/>
      <sheetName val="[Spt-BH_xls][Spt-BH_xls]B___757"/>
      <sheetName val="[Spt-BH_xls][Spt-BH_xls]B___758"/>
      <sheetName val="[Spt-BH_xls][Spt-BH_xls]B___759"/>
      <sheetName val="[Spt-BH_xls][Spt-BH_xls]B___760"/>
      <sheetName val="[Spt-BH_xls][Spt-BH_xls]_Spt168"/>
      <sheetName val="[Spt-BH_xls][Spt-BH_xls]_Spt169"/>
      <sheetName val="[Spt-BH_xls]B____x005f_x0004_______53"/>
      <sheetName val="[Spt-BH_xls]B___x005f_x0000__x005f_x0004_53"/>
      <sheetName val="[Spt-BH_xls][Spt-BH_xls]B___761"/>
      <sheetName val="[Spt-BH_xls][Spt-BH_xls]B___762"/>
      <sheetName val="[Spt-BH_xls][Spt-BH_xls]B___763"/>
      <sheetName val="[Spt-BH_xls][Spt-BH_xls]B___764"/>
      <sheetName val="[Spt-BH_xls][Spt-BH_xls]B___765"/>
      <sheetName val="[Spt-BH_xls][Spt-BH_xls]B___766"/>
      <sheetName val="[Spt-BH_xls][Spt-BH_xls]B___767"/>
      <sheetName val="[Spt-BH_xls][Spt-BH_xls]_Spt170"/>
      <sheetName val="[Spt-BH_xls][Spt-BH_xls]B___768"/>
      <sheetName val="[Spt-BH_xls][Spt-BH_xls]B___769"/>
      <sheetName val="[Spt-BH_xls][Spt-BH_xls]B___770"/>
      <sheetName val="[Spt-BH_xls][Spt-BH_xls]B___771"/>
      <sheetName val="[Spt-BH_xls][Spt-BH_xls]B___772"/>
      <sheetName val="[Spt-BH_xls][Spt-BH_xls]B___773"/>
      <sheetName val="[Spt-BH_xls][Spt-BH_xls]_Spt171"/>
      <sheetName val="[Spt-BH_xls][Spt-BH_xls]B___774"/>
      <sheetName val="[Spt-BH_xls][Spt-BH_xls]B___775"/>
      <sheetName val="[Spt-BH_xls][Spt-BH_xls]B___776"/>
      <sheetName val="[Spt-BH_xls][Spt-BH_xls]B___777"/>
      <sheetName val="[Spt-BH_xls][Spt-BH_xls]B___778"/>
      <sheetName val="[Spt-BH_xls][Spt-BH_xls]B___779"/>
      <sheetName val="[Spt-BH_xls][Spt-BH_xls]_Spt172"/>
      <sheetName val="[Spt-BH.xls]B____x0004________2"/>
      <sheetName val="[Spt-BH.xls]B___x0000__x0004__2"/>
      <sheetName val="[Spt-BH.xls]B____x0004________3"/>
      <sheetName val="[Spt-BH.xls]B___x0000__x0004__3"/>
      <sheetName val="[Spt-BH.xls]B____x0004________4"/>
      <sheetName val="[Spt-BH.xls]B___x0000__x0004__4"/>
      <sheetName val="[Spt-BH.xls]B____x0004________5"/>
      <sheetName val="[Spt-BH.xls]B___x0000__x0004__5"/>
      <sheetName val="[Spt-BH.xls]B____x0004________6"/>
      <sheetName val="[Spt-BH.xls]B____x0004________7"/>
      <sheetName val="[Spt-BH.xls]B@[_x0000__x0004_@_"/>
      <sheetName val="[Spt-BH_xls]B@[_x0000__x0004_@_"/>
      <sheetName val="[Spt-BH_xls]B@[_x0000__x0004_@1"/>
      <sheetName val="[Spt-BH_xls]B@[_x0000__x0004_@2"/>
      <sheetName val="[Spt-BH_xls]B@[_x0000__x0004_@3"/>
      <sheetName val="[Spt-BH.xls]B____x0004_______37"/>
      <sheetName val="[Spt-BH.xls]B___x0000__x0004_34"/>
      <sheetName val="[Spt-BH.xls]B___x0000__x0004__7"/>
      <sheetName val="[Spt-BH.xls]B___x0000__x0004__6"/>
      <sheetName val="[Spt-BH.xls]B____x0004________8"/>
      <sheetName val="[Spt-BH.xls]B___x0000__x0004__8"/>
      <sheetName val="[Spt-BH.xls]B____x0004________9"/>
      <sheetName val="[Spt-BH.xls]B___x0000__x0004__9"/>
      <sheetName val="[Spt-BH.xls]B____x0004_______33"/>
      <sheetName val="[Spt-BH.xls]B___x0000__x0004_30"/>
      <sheetName val="[Spt-BH.xls]B____x0004_______10"/>
      <sheetName val="[Spt-BH.xls]B___x0000__x0004_10"/>
      <sheetName val="[Spt-BH.xls]B____x0004_______11"/>
      <sheetName val="[Spt-BH.xls]B___x0000__x0004_11"/>
      <sheetName val="[Spt-BH.xls]B____x0004_______13"/>
      <sheetName val="[Spt-BH.xls]B____x0004_______12"/>
      <sheetName val="[Spt-BH.xls]B____x0004_______14"/>
      <sheetName val="[Spt-BH.xls]B___x0000__x0004_12"/>
      <sheetName val="[Spt-BH.xls]B____x0004_______15"/>
      <sheetName val="[Spt-BH.xls]B___x0000__x0004_13"/>
      <sheetName val="[Spt-BH.xls]B____x0004_______22"/>
      <sheetName val="[Spt-BH.xls]B___x0000__x0004_20"/>
      <sheetName val="[Spt-BH.xls]B____x0004_______16"/>
      <sheetName val="[Spt-BH.xls]B___x0000__x0004_14"/>
      <sheetName val="[Spt-BH.xls]B____x0004_______17"/>
      <sheetName val="[Spt-BH.xls]B___x0000__x0004_15"/>
      <sheetName val="[Spt-BH.xls]B____x0004_______18"/>
      <sheetName val="[Spt-BH.xls]B___x0000__x0004_16"/>
      <sheetName val="[Spt-BH.xls]B____x0004_______19"/>
      <sheetName val="[Spt-BH.xls]B___x0000__x0004_17"/>
      <sheetName val="[Spt-BH.xls]B____x0004_______20"/>
      <sheetName val="[Spt-BH.xls]B___x0000__x0004_18"/>
      <sheetName val="[Spt-BH.xls]B____x0004_______21"/>
      <sheetName val="[Spt-BH.xls]B___x0000__x0004_19"/>
      <sheetName val="[Spt-BH.xls]B____x0004_______24"/>
      <sheetName val="[Spt-BH.xls]B____x0004_______23"/>
      <sheetName val="[Spt-BH.xls]B___x0000__x0004_21"/>
      <sheetName val="[Spt-BH.xls]B____x0004_______25"/>
      <sheetName val="[Spt-BH.xls]B___x0000__x0004_22"/>
      <sheetName val="[Spt-BH.xls]B____x0004_______31"/>
      <sheetName val="[Spt-BH.xls]B___x0000__x0004_28"/>
      <sheetName val="[Spt-BH.xls]B____x0004_______26"/>
      <sheetName val="[Spt-BH.xls]B___x0000__x0004_23"/>
      <sheetName val="[Spt-BH.xls]B____x0004_______27"/>
      <sheetName val="[Spt-BH.xls]B___x0000__x0004_24"/>
      <sheetName val="[Spt-BH.xls]B____x0004_______28"/>
      <sheetName val="[Spt-BH.xls]B___x0000__x0004_25"/>
      <sheetName val="[Spt-BH.xls]B____x0004_______29"/>
      <sheetName val="[Spt-BH.xls]B___x0000__x0004_26"/>
      <sheetName val="[Spt-BH.xls]B____x0004_______30"/>
      <sheetName val="[Spt-BH.xls]B___x0000__x0004_27"/>
      <sheetName val="[Spt-BH.xls]B____x0004_______32"/>
      <sheetName val="[Spt-BH.xls]B___x0000__x0004_29"/>
      <sheetName val="[Spt-BH.xls]B____x0004_______34"/>
      <sheetName val="[Spt-BH.xls]B___x0000__x0004_31"/>
      <sheetName val="[Spt-BH.xls]B____x0004_______35"/>
      <sheetName val="[Spt-BH.xls]B___x0000__x0004_32"/>
      <sheetName val="[Spt-BH.xls]B____x0004_______36"/>
      <sheetName val="[Spt-BH.xls]B___x0000__x0004_33"/>
      <sheetName val="[Spt-BH.xls]B____x0004_______38"/>
      <sheetName val="[Spt-BH.xls]B___x0000__x0004_35"/>
      <sheetName val="[Spt-BH.xls]B____x0004_______40"/>
      <sheetName val="[Spt-BH.xls]B___x0000__x0004_37"/>
      <sheetName val="[Spt-BH.xls]B____x0004_______39"/>
      <sheetName val="[Spt-BH.xls]B___x0000__x0004_36"/>
      <sheetName val="[Spt-BH.xls]B____x0004_______41"/>
      <sheetName val="[Spt-BH.xls]B___x0000__x0004_38"/>
      <sheetName val="[Spt-BH.xls]B____x0004_______43"/>
      <sheetName val="[Spt-BH.xls]B____x0004_______42"/>
      <sheetName val="[Spt-BH.xls]B___x0000__x0004_39"/>
      <sheetName val="[Spt-BH.xls]B___x0000__x0004_40"/>
      <sheetName val="[Spt-BH.xls]B____x0004_______44"/>
      <sheetName val="[Spt-BH.xls]B___x0000__x0004_41"/>
      <sheetName val="[Spt-BH.xls]B____x0004_______46"/>
      <sheetName val="[Spt-BH.xls]B___x0000__x0004_43"/>
      <sheetName val="[Spt-BH.xls]B____x0004_______45"/>
      <sheetName val="[Spt-BH.xls]B___x0000__x0004_42"/>
      <sheetName val="[Spt-BH.xls]B____x0004_______48"/>
      <sheetName val="[Spt-BH.xls]B___x0000__x0004_45"/>
      <sheetName val="[Spt-BH.xls]B____x0004_______47"/>
      <sheetName val="[Spt-BH.xls]B___x0000__x0004_44"/>
      <sheetName val="[Spt-BH.xls]B____x0004_______49"/>
      <sheetName val="[Spt-BH.xls]B___x0000__x0004_46"/>
      <sheetName val="[Spt-BH.xls]B____x0004_______50"/>
      <sheetName val="[Spt-BH.xls]B___x0000__x0004_47"/>
      <sheetName val="[Spt-BH.xls]B____x0004_______52"/>
      <sheetName val="[Spt-BH.xls]B___x0000__x0004_49"/>
      <sheetName val="[Spt-BH.xls]B____x0004_______51"/>
      <sheetName val="[Spt-BH.xls]B___x0000__x0004_48"/>
      <sheetName val="[Spt-BH.xls]B____x0004_______53"/>
      <sheetName val="[Spt-BH.xls]B___x0000__x0004_50"/>
      <sheetName val="[Spt-BH.xls]B____x0004_______56"/>
      <sheetName val="[Spt-BH.xls]B___x0000__x0004_53"/>
      <sheetName val="[Spt-BH.xls]B____x0004_______54"/>
      <sheetName val="[Spt-BH.xls]B___x0000__x0004_51"/>
      <sheetName val="[Spt-BH.xls]B____x0004_______55"/>
      <sheetName val="[Spt-BH.xls]B___x0000__x0004_52"/>
      <sheetName val="[Spt-BH.xls]B____x0004_______57"/>
      <sheetName val="[Spt-BH.xls]B___x0000__x0004_54"/>
      <sheetName val="[Spt-BH.xls]B____x0004_______62"/>
      <sheetName val="[Spt-BH.xls]B___x0000__x0004_59"/>
      <sheetName val="[Spt-BH.xls]B____x0004_______58"/>
      <sheetName val="[Spt-BH.xls]B___x0000__x0004_55"/>
      <sheetName val="[Spt-BH.xls]B____x0004_______59"/>
      <sheetName val="[Spt-BH.xls]B___x0000__x0004_56"/>
      <sheetName val="[Spt-BH.xls]B____x0004_______60"/>
      <sheetName val="[Spt-BH.xls]B___x0000__x0004_57"/>
      <sheetName val="[Spt-BH.xls]B____x0004_______61"/>
      <sheetName val="[Spt-BH.xls]B___x0000__x0004_58"/>
      <sheetName val="[Spt-BH.xls]B____x0004_______64"/>
      <sheetName val="[Spt-BH.xls]B___x0000__x0004_61"/>
      <sheetName val="[Spt-BH.xls]B____x0004_______63"/>
      <sheetName val="[Spt-BH.xls]B___x0000__x0004_60"/>
      <sheetName val="[Spt-BH.xls]B____x0004_______65"/>
      <sheetName val="[Spt-BH.xls]B___x0000__x0004_62"/>
      <sheetName val="[Spt-BH.xls]B____x0004_______66"/>
      <sheetName val="[Spt-BH.xls]B___x0000__x0004_63"/>
      <sheetName val="[Spt-BH.xls]B____x0004_______67"/>
      <sheetName val="[Spt-BH.xls]B___x0000__x0004_64"/>
      <sheetName val="[Spt-BH.xls]B____x0004_______68"/>
      <sheetName val="[Spt-BH.xls]B___x0000__x0004_65"/>
      <sheetName val="[Spt-BH.xls]B____x0004_______70"/>
      <sheetName val="[Spt-BH.xls]B___x0000__x0004_67"/>
      <sheetName val="[Spt-BH.xls]B____x0004_______69"/>
      <sheetName val="[Spt-BH.xls]B___x0000__x0004_66"/>
      <sheetName val="[Spt-BH.xls]B____x0004_______71"/>
      <sheetName val="[Spt-BH.xls]B___x0000__x0004_68"/>
      <sheetName val="[Spt-BH.xls]B____x0004_______72"/>
      <sheetName val="[Spt-BH.xls]B___x0000__x0004_69"/>
      <sheetName val="[Spt-BH.xls]B____x0004_______73"/>
      <sheetName val="[Spt-BH.xls]B___x0000__x0004_70"/>
      <sheetName val="[Spt-BH.xls]B____x0004_______75"/>
      <sheetName val="[Spt-BH.xls]B___x0000__x0004_72"/>
      <sheetName val="[Spt-BH.xls]B____x0004_______74"/>
      <sheetName val="[Spt-BH.xls]B___x0000__x0004_71"/>
      <sheetName val="[Spt-BH.xls]B____x0004_______76"/>
      <sheetName val="[Spt-BH.xls]B___x0000__x0004_73"/>
      <sheetName val="[Spt-BH.xls]B____x0004_______79"/>
      <sheetName val="[Spt-BH.xls]B___x0000__x0004_76"/>
      <sheetName val="B@[_x0000__x0004_@_"/>
      <sheetName val="[Spt-BH.xls]B____x0004_______77"/>
      <sheetName val="[Spt-BH.xls]B___x0000__x0004_74"/>
      <sheetName val="[Spt-BH.xls]B____x0004_______78"/>
      <sheetName val="[Spt-BH.xls]B___x0000__x0004_75"/>
      <sheetName val="[Spt-BH.xls]B____x0004_______80"/>
      <sheetName val="[Spt-BH.xls]B___x0000__x0004_77"/>
      <sheetName val="[Spt-BH.xls]B____x0004_______81"/>
      <sheetName val="[Spt-BH.xls]B___x0000__x0004_78"/>
      <sheetName val="[Spt-BH.xls]B____x0004_______82"/>
      <sheetName val="[Spt-BH.xls]B___x0000__x0004_79"/>
      <sheetName val="[Spt-BH.xls]B____x0004_______83"/>
      <sheetName val="[Spt-BH.xls]B___x0000__x0004_80"/>
      <sheetName val="[Spt-BH.xls]B____x0004_______84"/>
      <sheetName val="[Spt-BH.xls]B___x0000__x0004_81"/>
      <sheetName val="[Spt-BH.xls]B____x0004_______87"/>
      <sheetName val="[Spt-BH.xls]B___x0000__x0004_84"/>
      <sheetName val="[Spt-BH.xls]B____x0004_______85"/>
      <sheetName val="[Spt-BH.xls]B___x0000__x0004_82"/>
      <sheetName val="[Spt-BH.xls]B____x0004_______86"/>
      <sheetName val="[Spt-BH.xls]B___x0000__x0004_83"/>
      <sheetName val="[Spt-BH.xls]B____x0004_______88"/>
      <sheetName val="[Spt-BH.xls]B___x0000__x0004_85"/>
      <sheetName val="[Spt-BH.xls]B____x0004_______91"/>
      <sheetName val="[Spt-BH.xls]B___x0000__x0004_88"/>
      <sheetName val="[Spt-BH.xls]B____x0004_______89"/>
      <sheetName val="[Spt-BH.xls]B___x0000__x0004_86"/>
      <sheetName val="[Spt-BH.xls]B____x0004_______90"/>
      <sheetName val="[Spt-BH.xls]B___x0000__x0004_87"/>
      <sheetName val="[Spt-BH.xls]B____x0004_______92"/>
      <sheetName val="[Spt-BH.xls]B___x0000__x0004_89"/>
      <sheetName val="[Spt-BH.xls]B____x0004_______94"/>
      <sheetName val="[Spt-BH.xls]B____x0004_______93"/>
      <sheetName val="[Spt-BH.xls]B____x0004_______95"/>
      <sheetName val="_Spt-BH.xls_B___x0004__4"/>
      <sheetName val="_Spt-BH.xls_B___x0004__3"/>
      <sheetName val="_Spt-BH.xls_B___x0004__2"/>
      <sheetName val="_Spt-BH.xls_B___x0004__6"/>
      <sheetName val="_Spt-BH.xls_B___x0004__5"/>
      <sheetName val="[Spt-BH.xls]B___x0004__2"/>
      <sheetName val="[Spt-BH.xls]B___x0004__3"/>
      <sheetName val="[Spt-BH.xls]B___x0004__4"/>
      <sheetName val="[Spt-BH.xls]B___x0004__5"/>
      <sheetName val="[Spt-BH.xls]B@[_x0004_@_"/>
      <sheetName val="[Spt-BH_xls]B@[_x0004_@_"/>
      <sheetName val="[Spt-BH_xls]B@[_x0004_@1"/>
      <sheetName val="[Spt-BH_xls]B@[_x0004_@2"/>
      <sheetName val="[Spt-BH_xls]B@[_x0004_@3"/>
      <sheetName val="[Spt-BH.xls]B___x0004_34"/>
      <sheetName val="[Spt-BH.xls]B___x0004__7"/>
      <sheetName val="[Spt-BH.xls]B___x0004__6"/>
      <sheetName val="[Spt-BH.xls]B___x0004__8"/>
      <sheetName val="[Spt-BH.xls]B___x0004__9"/>
      <sheetName val="[Spt-BH.xls]B___x0004_30"/>
      <sheetName val="[Spt-BH.xls]B___x0004_10"/>
      <sheetName val="[Spt-BH.xls]B___x0004_11"/>
      <sheetName val="[Spt-BH.xls]B___x0004_12"/>
      <sheetName val="[Spt-BH.xls]B___x0004_13"/>
      <sheetName val="[Spt-BH.xls]B___x0004_20"/>
      <sheetName val="[Spt-BH.xls]B___x0004_14"/>
      <sheetName val="[Spt-BH.xls]B___x0004_15"/>
      <sheetName val="[Spt-BH.xls]B___x0004_16"/>
      <sheetName val="[Spt-BH.xls]B___x0004_17"/>
      <sheetName val="[Spt-BH.xls]B___x0004_18"/>
      <sheetName val="[Spt-BH.xls]B___x0004_19"/>
      <sheetName val="[Spt-BH.xls]B___x0004_21"/>
      <sheetName val="[Spt-BH.xls]B___x0004_22"/>
      <sheetName val="[Spt-BH.xls]B___x0004_28"/>
      <sheetName val="[Spt-BH.xls]B___x0004_23"/>
      <sheetName val="[Spt-BH.xls]B___x0004_24"/>
      <sheetName val="[Spt-BH.xls]B___x0004_25"/>
      <sheetName val="[Spt-BH.xls]B___x0004_26"/>
      <sheetName val="[Spt-BH.xls]B___x0004_27"/>
      <sheetName val="[Spt-BH.xls]B___x0004_29"/>
      <sheetName val="[Spt-BH.xls]B___x0004_31"/>
      <sheetName val="[Spt-BH.xls]B___x0004_32"/>
      <sheetName val="[Spt-BH.xls]B___x0004_33"/>
      <sheetName val="[Spt-BH.xls]B___x0004_35"/>
      <sheetName val="[Spt-BH.xls]B___x0004_37"/>
      <sheetName val="[Spt-BH.xls]B___x0004_36"/>
      <sheetName val="[Spt-BH.xls]B___x0004_38"/>
      <sheetName val="[Spt-BH.xls]B___x0004_39"/>
      <sheetName val="[Spt-BH.xls]B___x0004_40"/>
      <sheetName val="[Spt-BH.xls]B___x0004_41"/>
      <sheetName val="[Spt-BH.xls]B___x0004_43"/>
      <sheetName val="[Spt-BH.xls]B___x0004_42"/>
      <sheetName val="[Spt-BH.xls]B___x0004_45"/>
      <sheetName val="[Spt-BH.xls]B___x0004_44"/>
      <sheetName val="[Spt-BH.xls]B___x0004_46"/>
      <sheetName val="[Spt-BH.xls]B___x0004_47"/>
      <sheetName val="[Spt-BH.xls]B___x0004_49"/>
      <sheetName val="[Spt-BH.xls]B___x0004_48"/>
      <sheetName val="[Spt-BH.xls]B___x0004_50"/>
      <sheetName val="[Spt-BH.xls]B___x0004_53"/>
      <sheetName val="[Spt-BH.xls]B___x0004_51"/>
      <sheetName val="[Spt-BH.xls]B___x0004_52"/>
      <sheetName val="[Spt-BH.xls]B___x0004_54"/>
      <sheetName val="[Spt-BH.xls]B___x0004_59"/>
      <sheetName val="[Spt-BH.xls]B___x0004_55"/>
      <sheetName val="[Spt-BH.xls]B___x0004_56"/>
      <sheetName val="[Spt-BH.xls]B___x0004_57"/>
      <sheetName val="[Spt-BH.xls]B___x0004_58"/>
      <sheetName val="[Spt-BH.xls]B___x0004_61"/>
      <sheetName val="[Spt-BH.xls]B___x0004_60"/>
      <sheetName val="[Spt-BH.xls]B___x0004_62"/>
      <sheetName val="[Spt-BH.xls]B___x0004_63"/>
      <sheetName val="[Spt-BH.xls]B___x0004_64"/>
      <sheetName val="[Spt-BH.xls]B___x0004_65"/>
      <sheetName val="[Spt-BH.xls]B___x0004_67"/>
      <sheetName val="[Spt-BH.xls]B___x0004_66"/>
      <sheetName val="[Spt-BH.xls]B___x0004_68"/>
      <sheetName val="[Spt-BH.xls]B___x0004_69"/>
      <sheetName val="[Spt-BH.xls]B___x0004_70"/>
      <sheetName val="[Spt-BH.xls]B___x0004_72"/>
      <sheetName val="[Spt-BH.xls]B___x0004_71"/>
      <sheetName val="[Spt-BH.xls]B___x0004_73"/>
      <sheetName val="[Spt-BH.xls]B___x0004_76"/>
      <sheetName val="B@[_x0004_@_"/>
      <sheetName val="[Spt-BH.xls]B___x0004_74"/>
      <sheetName val="[Spt-BH.xls]B___x0004_75"/>
      <sheetName val="[Spt-BH.xls]B___x0004_77"/>
      <sheetName val="[Spt-BH.xls]B___x0004_78"/>
      <sheetName val="[Spt-BH.xls]B___x0004_79"/>
      <sheetName val="[Spt-BH.xls]B___x0004_80"/>
      <sheetName val="[Spt-BH.xls]B___x0004_81"/>
      <sheetName val="[Spt-BH.xls]B___x0004_84"/>
      <sheetName val="[Spt-BH.xls]B___x0004_82"/>
      <sheetName val="[Spt-BH.xls]B___x0004_83"/>
      <sheetName val="[Spt-BH.xls]B___x0004_85"/>
      <sheetName val="[Spt-BH.xls]B___x0004_88"/>
      <sheetName val="[Spt-BH.xls]B___x0004_86"/>
      <sheetName val="[Spt-BH.xls]B___x0004_87"/>
      <sheetName val="[Spt-BH.xls]B___x0004_89"/>
      <sheetName val="_Spt-BH.xls__Spt-BH.xls_B__1179"/>
      <sheetName val="_Spt-BH.xls__Spt-BH.xls_B__1180"/>
      <sheetName val="_Spt-BH.xls__Spt-BH.xls__Sp_431"/>
      <sheetName val="_Spt-BH.xls__Spt-BH.xls_B__1181"/>
      <sheetName val="_Spt-BH.xls__Spt-BH.xls_B__1182"/>
      <sheetName val="[Spt-BH.xls][Spt-BH.xls]_S_1957"/>
      <sheetName val="[Spt-BH.xls][Spt-BH.xls]B__5621"/>
      <sheetName val="[Spt-BH.xls][Spt-BH.xls]B__5622"/>
      <sheetName val="[Spt-BH.xls][Spt-BH.xls]_S_1959"/>
      <sheetName val="[Spt-BH.xls][Spt-BH.xls]B__5623"/>
      <sheetName val="[Spt-BH.xls][Spt-BH.xls]B__5624"/>
      <sheetName val="[Spt-BH.xls][Spt-BH.xls]B__5625"/>
      <sheetName val="[Spt-BH.xls][Spt-BH.xls]B__5626"/>
      <sheetName val="[Spt-BH.xls][Spt-BH.xls]_S_1958"/>
      <sheetName val="[Spt-BH.xls][Spt-BH.xls]B__5628"/>
      <sheetName val="[Spt-BH.xls][Spt-BH.xls]B__5629"/>
      <sheetName val="[Spt-BH.xls][Spt-BH.xls]_S_1961"/>
      <sheetName val="[Spt-BH.xls][Spt-BH.xls]B__5630"/>
      <sheetName val="[Spt-BH.xls][Spt-BH.xls]B__5631"/>
      <sheetName val="[Spt-BH.xls]B____x005f_x0004______457"/>
      <sheetName val="[Spt-BH.xls]B___x005f_x0000__x000_449"/>
      <sheetName val="[Spt-BH.xls][Spt-BH.xls]B__5632"/>
      <sheetName val="[Spt-BH.xls][Spt-BH.xls]B__5633"/>
      <sheetName val="[Spt-BH.xls][Spt-BH.xls]B__5627"/>
      <sheetName val="[Spt-BH.xls][Spt-BH.xls]_S_1960"/>
      <sheetName val="[Spt-BH.xls][Spt-BH_xls]B__5562"/>
      <sheetName val="[Spt-BH.xls][Spt-BH_xls]B__5563"/>
      <sheetName val="[Spt-BH.xls][Spt-BH_xls]B__5564"/>
      <sheetName val="[Spt-BH.xls][Spt-BH_xls]B__5565"/>
      <sheetName val="[Spt-BH.xls][Spt-BH_xls]_S_1842"/>
      <sheetName val="[Spt-BH.xls][Spt-BH_xls]B__5566"/>
      <sheetName val="[Spt-BH.xls][Spt-BH_xls]B__5567"/>
      <sheetName val="[Spt-BH.xls][Spt-BH_xls]B__5568"/>
      <sheetName val="[Spt-BH.xls][Spt-BH_xls]_S_1843"/>
      <sheetName val="[Spt-BH.xls][Spt-BH_xls]B__5569"/>
      <sheetName val="[Spt-BH.xls][Spt-BH_xls]B__5570"/>
      <sheetName val="[Spt-BH.xls][Spt-BH_xls]B__5571"/>
      <sheetName val="[Spt-BH.xls][Spt-BH_xls]B__5572"/>
      <sheetName val="[Spt-BH.xls][Spt-BH_xls]_S_1844"/>
      <sheetName val="[Spt-BH.xls][Spt-BH_xls]B__5573"/>
      <sheetName val="[Spt-BH.xls][Spt-BH_xls]B__5574"/>
      <sheetName val="[Spt-BH.xls][Spt-BH_xls]_S_1845"/>
      <sheetName val="[Spt-BH.xls][Spt-BH_xls]B__5575"/>
      <sheetName val="[Spt-BH.xls][Spt-BH_xls]B__5576"/>
      <sheetName val="[Spt-BH.xls][Spt-BH_xls]_S_1846"/>
      <sheetName val="[Spt-BH.xls]B____x005f_x0004______449"/>
      <sheetName val="[Spt-BH.xls]B___x005f_x0000__x000_441"/>
      <sheetName val="[Spt-BH.xls][Spt-BH_xls]B__5442"/>
      <sheetName val="[Spt-BH.xls][Spt-BH_xls]B__5443"/>
      <sheetName val="[Spt-BH.xls][Spt-BH_xls]B__5444"/>
      <sheetName val="[Spt-BH.xls][Spt-BH_xls]B__5445"/>
      <sheetName val="[Spt-BH.xls][Spt-BH_xls]_S_1802"/>
      <sheetName val="[Spt-BH.xls][Spt-BH_xls]B__5446"/>
      <sheetName val="[Spt-BH.xls][Spt-BH_xls]B__5447"/>
      <sheetName val="[Spt-BH.xls][Spt-BH_xls]B__5448"/>
      <sheetName val="[Spt-BH.xls][Spt-BH_xls]_S_1803"/>
      <sheetName val="[Spt-BH.xls][Spt-BH_xls]B__5449"/>
      <sheetName val="[Spt-BH.xls][Spt-BH_xls]B__5450"/>
      <sheetName val="[Spt-BH.xls][Spt-BH_xls]B__5451"/>
      <sheetName val="[Spt-BH.xls][Spt-BH_xls]B__5452"/>
      <sheetName val="[Spt-BH.xls][Spt-BH_xls]_S_1804"/>
      <sheetName val="[Spt-BH.xls][Spt-BH_xls]B__5453"/>
      <sheetName val="[Spt-BH.xls][Spt-BH_xls]B__5454"/>
      <sheetName val="[Spt-BH.xls][Spt-BH_xls]_S_1805"/>
      <sheetName val="[Spt-BH.xls][Spt-BH_xls]B__5455"/>
      <sheetName val="[Spt-BH.xls][Spt-BH_xls]B__5456"/>
      <sheetName val="[Spt-BH.xls][Spt-BH_xls]_S_1806"/>
      <sheetName val="[Spt-BH.xls][Spt-BH.xls]B__5555"/>
      <sheetName val="[Spt-BH.xls][Spt-BH.xls]B__5556"/>
      <sheetName val="[Spt-BH.xls][Spt-BH.xls]B__5557"/>
      <sheetName val="[Spt-BH.xls][Spt-BH.xls]B__5558"/>
      <sheetName val="[Spt-BH.xls]B____x005f_x0004______450"/>
      <sheetName val="[Spt-BH.xls]B___x005f_x0000__x000_442"/>
      <sheetName val="[Spt-BH.xls][Spt-BH.xls]B__5559"/>
      <sheetName val="[Spt-BH.xls][Spt-BH.xls]B__5560"/>
      <sheetName val="[Spt-BH.xls][Spt-BH_xls]B__5457"/>
      <sheetName val="[Spt-BH.xls][Spt-BH_xls]B__5458"/>
      <sheetName val="[Spt-BH.xls][Spt-BH_xls]B__5459"/>
      <sheetName val="[Spt-BH.xls][Spt-BH_xls]B__5460"/>
      <sheetName val="[Spt-BH.xls][Spt-BH_xls]_S_1807"/>
      <sheetName val="[Spt-BH.xls][Spt-BH_xls]B__5461"/>
      <sheetName val="[Spt-BH.xls][Spt-BH_xls]B__5462"/>
      <sheetName val="[Spt-BH.xls][Spt-BH_xls]B__5463"/>
      <sheetName val="[Spt-BH.xls][Spt-BH_xls]_S_1808"/>
      <sheetName val="[Spt-BH.xls][Spt-BH_xls]B__5464"/>
      <sheetName val="[Spt-BH.xls][Spt-BH_xls]B__5465"/>
      <sheetName val="[Spt-BH.xls][Spt-BH_xls]B__5466"/>
      <sheetName val="[Spt-BH.xls][Spt-BH_xls]B__5467"/>
      <sheetName val="[Spt-BH.xls][Spt-BH_xls]_S_1809"/>
      <sheetName val="[Spt-BH.xls][Spt-BH_xls]B__5468"/>
      <sheetName val="[Spt-BH.xls][Spt-BH_xls]B__5469"/>
      <sheetName val="[Spt-BH.xls][Spt-BH_xls]_S_1810"/>
      <sheetName val="[Spt-BH.xls][Spt-BH_xls]B__5470"/>
      <sheetName val="[Spt-BH.xls][Spt-BH_xls]B__5471"/>
      <sheetName val="[Spt-BH.xls][Spt-BH_xls]_S_1811"/>
      <sheetName val="[Spt-BH.xls][Spt-BH.xls]B__5561"/>
      <sheetName val="[Spt-BH.xls][Spt-BH.xls]B__5562"/>
      <sheetName val="[Spt-BH.xls][Spt-BH.xls]_S_1938"/>
      <sheetName val="[Spt-BH.xls][Spt-BH.xls]B__5563"/>
      <sheetName val="[Spt-BH.xls][Spt-BH.xls]B__5564"/>
      <sheetName val="[Spt-BH.xls][Spt-BH.xls]B__5565"/>
      <sheetName val="[Spt-BH.xls][Spt-BH.xls]B__5566"/>
      <sheetName val="[Spt-BH.xls][Spt-BH.xls]B__5568"/>
      <sheetName val="[Spt-BH.xls][Spt-BH.xls]B__5569"/>
      <sheetName val="[Spt-BH.xls][Spt-BH.xls]_S_1940"/>
      <sheetName val="[Spt-BH.xls][Spt-BH.xls]B__5570"/>
      <sheetName val="[Spt-BH.xls][Spt-BH.xls]B__5571"/>
      <sheetName val="[Spt-BH.xls]B____x005f_x0004______451"/>
      <sheetName val="[Spt-BH.xls]B___x005f_x0000__x000_443"/>
      <sheetName val="[Spt-BH.xls][Spt-BH.xls]B__5572"/>
      <sheetName val="[Spt-BH.xls][Spt-BH.xls]B__5573"/>
      <sheetName val="[Spt-BH.xls][Spt-BH.xls]B__5567"/>
      <sheetName val="[Spt-BH.xls][Spt-BH.xls]_S_1939"/>
      <sheetName val="[Spt-BH.xls][Spt-BH_xls]B__5472"/>
      <sheetName val="[Spt-BH.xls][Spt-BH_xls]B__5473"/>
      <sheetName val="[Spt-BH.xls][Spt-BH_xls]B__5474"/>
      <sheetName val="[Spt-BH.xls][Spt-BH_xls]B__5475"/>
      <sheetName val="[Spt-BH.xls][Spt-BH_xls]_S_1812"/>
      <sheetName val="[Spt-BH.xls][Spt-BH_xls]B__5476"/>
      <sheetName val="[Spt-BH.xls][Spt-BH_xls]B__5477"/>
      <sheetName val="[Spt-BH.xls][Spt-BH_xls]B__5478"/>
      <sheetName val="[Spt-BH.xls][Spt-BH_xls]_S_1813"/>
      <sheetName val="[Spt-BH.xls][Spt-BH_xls]B__5479"/>
      <sheetName val="[Spt-BH.xls][Spt-BH_xls]B__5480"/>
      <sheetName val="[Spt-BH.xls][Spt-BH_xls]B__5481"/>
      <sheetName val="[Spt-BH.xls][Spt-BH_xls]B__5482"/>
      <sheetName val="[Spt-BH.xls][Spt-BH_xls]_S_1814"/>
      <sheetName val="[Spt-BH.xls][Spt-BH_xls]B__5483"/>
      <sheetName val="[Spt-BH.xls][Spt-BH_xls]B__5484"/>
      <sheetName val="[Spt-BH.xls][Spt-BH_xls]_S_1815"/>
      <sheetName val="[Spt-BH.xls][Spt-BH_xls]B__5485"/>
      <sheetName val="[Spt-BH.xls][Spt-BH_xls]B__5486"/>
      <sheetName val="[Spt-BH.xls][Spt-BH_xls]_S_1816"/>
      <sheetName val="[Spt-BH.xls][Spt-BH.xls]_S_1941"/>
      <sheetName val="[Spt-BH.xls][Spt-BH.xls]B__5574"/>
      <sheetName val="[Spt-BH.xls][Spt-BH.xls]B__5575"/>
      <sheetName val="[Spt-BH.xls][Spt-BH.xls]B__5576"/>
      <sheetName val="[Spt-BH.xls][Spt-BH.xls]B__5577"/>
      <sheetName val="[Spt-BH.xls][Spt-BH.xls]B__5578"/>
      <sheetName val="[Spt-BH.xls][Spt-BH.xls]B__5579"/>
      <sheetName val="[Spt-BH.xls][Spt-BH.xls]_S_1942"/>
      <sheetName val="[Spt-BH.xls]B____x005f_x0004______452"/>
      <sheetName val="[Spt-BH.xls]B___x005f_x0000__x000_444"/>
      <sheetName val="[Spt-BH.xls][Spt-BH.xls]B__5580"/>
      <sheetName val="[Spt-BH.xls][Spt-BH_xls]B__5487"/>
      <sheetName val="[Spt-BH.xls][Spt-BH_xls]B__5488"/>
      <sheetName val="[Spt-BH.xls][Spt-BH_xls]B__5489"/>
      <sheetName val="[Spt-BH.xls][Spt-BH_xls]B__5490"/>
      <sheetName val="[Spt-BH.xls][Spt-BH_xls]_S_1817"/>
      <sheetName val="[Spt-BH.xls][Spt-BH_xls]B__5491"/>
      <sheetName val="[Spt-BH.xls][Spt-BH_xls]B__5492"/>
      <sheetName val="[Spt-BH.xls][Spt-BH_xls]B__5493"/>
      <sheetName val="[Spt-BH.xls][Spt-BH_xls]_S_1818"/>
      <sheetName val="[Spt-BH.xls][Spt-BH_xls]B__5494"/>
      <sheetName val="[Spt-BH.xls][Spt-BH_xls]B__5495"/>
      <sheetName val="[Spt-BH.xls][Spt-BH_xls]B__5496"/>
      <sheetName val="[Spt-BH.xls][Spt-BH_xls]B__5497"/>
      <sheetName val="[Spt-BH.xls][Spt-BH_xls]_S_1819"/>
      <sheetName val="[Spt-BH.xls][Spt-BH_xls]B__5498"/>
      <sheetName val="[Spt-BH.xls][Spt-BH_xls]B__5499"/>
      <sheetName val="[Spt-BH.xls][Spt-BH_xls]_S_1820"/>
      <sheetName val="[Spt-BH.xls][Spt-BH_xls]B__5500"/>
      <sheetName val="[Spt-BH.xls][Spt-BH_xls]B__5501"/>
      <sheetName val="[Spt-BH.xls][Spt-BH_xls]_S_1821"/>
      <sheetName val="[Spt-BH.xls][Spt-BH.xls]_S_1943"/>
      <sheetName val="[Spt-BH.xls][Spt-BH.xls]B__5581"/>
      <sheetName val="[Spt-BH.xls][Spt-BH.xls]B__5582"/>
      <sheetName val="[Spt-BH.xls][Spt-BH.xls]_S_1945"/>
      <sheetName val="[Spt-BH.xls][Spt-BH.xls]B__5583"/>
      <sheetName val="[Spt-BH.xls][Spt-BH.xls]B__5584"/>
      <sheetName val="[Spt-BH.xls][Spt-BH.xls]B__5585"/>
      <sheetName val="[Spt-BH.xls][Spt-BH.xls]B__5586"/>
      <sheetName val="[Spt-BH.xls][Spt-BH.xls]_S_1944"/>
      <sheetName val="[Spt-BH.xls][Spt-BH.xls]B__5588"/>
      <sheetName val="[Spt-BH.xls][Spt-BH.xls]B__5589"/>
      <sheetName val="[Spt-BH.xls][Spt-BH.xls]B__5590"/>
      <sheetName val="[Spt-BH.xls][Spt-BH.xls]B__5591"/>
      <sheetName val="[Spt-BH.xls]B____x005f_x0004______453"/>
      <sheetName val="[Spt-BH.xls]B___x005f_x0000__x000_445"/>
      <sheetName val="[Spt-BH.xls][Spt-BH.xls]B__5592"/>
      <sheetName val="[Spt-BH.xls][Spt-BH.xls]B__5593"/>
      <sheetName val="[Spt-BH.xls][Spt-BH.xls]B__5587"/>
      <sheetName val="[Spt-BH.xls][Spt-BH.xls]_S_1946"/>
      <sheetName val="[Spt-BH.xls][Spt-BH_xls]B__5502"/>
      <sheetName val="[Spt-BH.xls][Spt-BH_xls]B__5503"/>
      <sheetName val="[Spt-BH.xls][Spt-BH_xls]B__5504"/>
      <sheetName val="[Spt-BH.xls][Spt-BH_xls]B__5505"/>
      <sheetName val="[Spt-BH.xls][Spt-BH_xls]_S_1822"/>
      <sheetName val="[Spt-BH.xls][Spt-BH_xls]B__5506"/>
      <sheetName val="[Spt-BH.xls][Spt-BH_xls]B__5507"/>
      <sheetName val="[Spt-BH.xls][Spt-BH_xls]B__5508"/>
      <sheetName val="[Spt-BH.xls][Spt-BH_xls]_S_1823"/>
      <sheetName val="[Spt-BH.xls][Spt-BH_xls]B__5509"/>
      <sheetName val="[Spt-BH.xls][Spt-BH_xls]B__5510"/>
      <sheetName val="[Spt-BH.xls][Spt-BH_xls]B__5511"/>
      <sheetName val="[Spt-BH.xls][Spt-BH_xls]B__5512"/>
      <sheetName val="[Spt-BH.xls][Spt-BH_xls]_S_1824"/>
      <sheetName val="[Spt-BH.xls][Spt-BH_xls]B__5513"/>
      <sheetName val="[Spt-BH.xls][Spt-BH_xls]B__5514"/>
      <sheetName val="[Spt-BH.xls][Spt-BH_xls]_S_1825"/>
      <sheetName val="[Spt-BH.xls][Spt-BH_xls]B__5515"/>
      <sheetName val="[Spt-BH.xls][Spt-BH_xls]B__5516"/>
      <sheetName val="[Spt-BH.xls][Spt-BH_xls]_S_1826"/>
      <sheetName val="[Spt-BH.xls][Spt-BH.xls]_S_1947"/>
      <sheetName val="[Spt-BH.xls][Spt-BH.xls]_S_1948"/>
      <sheetName val="[Spt-BH.xls][Spt-BH.xls]B__5594"/>
      <sheetName val="[Spt-BH.xls][Spt-BH.xls]B__5595"/>
      <sheetName val="[Spt-BH.xls][Spt-BH.xls]_S_1950"/>
      <sheetName val="[Spt-BH.xls][Spt-BH.xls]B__5596"/>
      <sheetName val="[Spt-BH.xls][Spt-BH.xls]B__5597"/>
      <sheetName val="[Spt-BH.xls][Spt-BH.xls]B__5598"/>
      <sheetName val="[Spt-BH.xls][Spt-BH.xls]B__5599"/>
      <sheetName val="[Spt-BH.xls][Spt-BH.xls]_S_1949"/>
      <sheetName val="[Spt-BH.xls][Spt-BH.xls]B__5601"/>
      <sheetName val="[Spt-BH.xls][Spt-BH.xls]B__5602"/>
      <sheetName val="[Spt-BH.xls][Spt-BH.xls]B__5603"/>
      <sheetName val="[Spt-BH.xls][Spt-BH.xls]B__5604"/>
      <sheetName val="[Spt-BH.xls]B____x005f_x0004______454"/>
      <sheetName val="[Spt-BH.xls]B___x005f_x0000__x000_446"/>
      <sheetName val="[Spt-BH.xls][Spt-BH.xls]B__5605"/>
      <sheetName val="[Spt-BH.xls][Spt-BH.xls]B__5606"/>
      <sheetName val="[Spt-BH.xls][Spt-BH.xls]B__5600"/>
      <sheetName val="[Spt-BH.xls][Spt-BH.xls]_S_1951"/>
      <sheetName val="[Spt-BH.xls][Spt-BH_xls]B__5517"/>
      <sheetName val="[Spt-BH.xls][Spt-BH_xls]B__5518"/>
      <sheetName val="[Spt-BH.xls][Spt-BH_xls]B__5519"/>
      <sheetName val="[Spt-BH.xls][Spt-BH_xls]B__5520"/>
      <sheetName val="[Spt-BH.xls][Spt-BH_xls]_S_1827"/>
      <sheetName val="[Spt-BH.xls][Spt-BH_xls]B__5521"/>
      <sheetName val="[Spt-BH.xls][Spt-BH_xls]B__5522"/>
      <sheetName val="[Spt-BH.xls][Spt-BH_xls]B__5523"/>
      <sheetName val="[Spt-BH.xls][Spt-BH_xls]_S_1828"/>
      <sheetName val="[Spt-BH.xls][Spt-BH_xls]B__5524"/>
      <sheetName val="[Spt-BH.xls][Spt-BH_xls]B__5525"/>
      <sheetName val="[Spt-BH.xls][Spt-BH_xls]B__5526"/>
      <sheetName val="[Spt-BH.xls][Spt-BH_xls]B__5527"/>
      <sheetName val="[Spt-BH.xls][Spt-BH_xls]_S_1829"/>
      <sheetName val="[Spt-BH.xls][Spt-BH_xls]B__5528"/>
      <sheetName val="[Spt-BH.xls][Spt-BH_xls]B__5529"/>
      <sheetName val="[Spt-BH.xls][Spt-BH_xls]_S_1830"/>
      <sheetName val="[Spt-BH.xls][Spt-BH_xls]B__5530"/>
      <sheetName val="[Spt-BH.xls][Spt-BH_xls]B__5531"/>
      <sheetName val="[Spt-BH.xls][Spt-BH_xls]_S_1831"/>
      <sheetName val="[Spt-BH.xls][Spt-BH.xls]_S_1952"/>
      <sheetName val="[Spt-BH.xls][Spt-BH.xls]_S_1955"/>
      <sheetName val="[Spt-BH.xls][Spt-BH.xls]B__5614"/>
      <sheetName val="[Spt-BH.xls][Spt-BH.xls]B__5615"/>
      <sheetName val="[Spt-BH.xls][Spt-BH.xls]B__5616"/>
      <sheetName val="[Spt-BH.xls][Spt-BH.xls]B__5617"/>
      <sheetName val="[Spt-BH.xls][Spt-BH.xls]B__5618"/>
      <sheetName val="[Spt-BH.xls][Spt-BH.xls]B__5619"/>
      <sheetName val="[Spt-BH.xls][Spt-BH.xls]_S_1956"/>
      <sheetName val="[Spt-BH.xls]B____x005f_x0004______456"/>
      <sheetName val="[Spt-BH.xls]B___x005f_x0000__x000_448"/>
      <sheetName val="[Spt-BH.xls][Spt-BH.xls]B__5620"/>
      <sheetName val="[Spt-BH.xls][Spt-BH_xls]B__5547"/>
      <sheetName val="[Spt-BH.xls][Spt-BH_xls]B__5548"/>
      <sheetName val="[Spt-BH.xls][Spt-BH_xls]B__5549"/>
      <sheetName val="[Spt-BH.xls][Spt-BH_xls]B__5550"/>
      <sheetName val="[Spt-BH.xls][Spt-BH_xls]_S_1837"/>
      <sheetName val="[Spt-BH.xls][Spt-BH_xls]B__5551"/>
      <sheetName val="[Spt-BH.xls][Spt-BH_xls]B__5552"/>
      <sheetName val="[Spt-BH.xls][Spt-BH_xls]B__5553"/>
      <sheetName val="[Spt-BH.xls][Spt-BH_xls]_S_1838"/>
      <sheetName val="[Spt-BH.xls][Spt-BH_xls]B__5554"/>
      <sheetName val="[Spt-BH.xls][Spt-BH_xls]B__5555"/>
      <sheetName val="[Spt-BH.xls][Spt-BH_xls]B__5556"/>
      <sheetName val="[Spt-BH.xls][Spt-BH_xls]B__5557"/>
      <sheetName val="[Spt-BH.xls][Spt-BH_xls]_S_1839"/>
      <sheetName val="[Spt-BH.xls][Spt-BH_xls]B__5558"/>
      <sheetName val="[Spt-BH.xls][Spt-BH_xls]B__5559"/>
      <sheetName val="[Spt-BH.xls][Spt-BH_xls]_S_1840"/>
      <sheetName val="[Spt-BH.xls][Spt-BH_xls]B__5560"/>
      <sheetName val="[Spt-BH.xls][Spt-BH_xls]B__5561"/>
      <sheetName val="[Spt-BH.xls][Spt-BH_xls]_S_1841"/>
      <sheetName val="[Spt-BH.xls][Spt-BH.xls]_S_1953"/>
      <sheetName val="[Spt-BH.xls][Spt-BH.xls]B__5607"/>
      <sheetName val="[Spt-BH.xls][Spt-BH.xls]B__5608"/>
      <sheetName val="[Spt-BH.xls][Spt-BH.xls]B__5609"/>
      <sheetName val="[Spt-BH.xls][Spt-BH.xls]B__5610"/>
      <sheetName val="[Spt-BH.xls][Spt-BH.xls]B__5611"/>
      <sheetName val="[Spt-BH.xls][Spt-BH.xls]B__5612"/>
      <sheetName val="[Spt-BH.xls][Spt-BH.xls]_S_1954"/>
      <sheetName val="[Spt-BH.xls]B____x005f_x0004______455"/>
      <sheetName val="[Spt-BH.xls]B___x005f_x0000__x000_447"/>
      <sheetName val="[Spt-BH.xls][Spt-BH.xls]B__5613"/>
      <sheetName val="[Spt-BH.xls][Spt-BH_xls]B__5532"/>
      <sheetName val="[Spt-BH.xls][Spt-BH_xls]B__5533"/>
      <sheetName val="[Spt-BH.xls][Spt-BH_xls]B__5534"/>
      <sheetName val="[Spt-BH.xls][Spt-BH_xls]B__5535"/>
      <sheetName val="[Spt-BH.xls][Spt-BH_xls]_S_1832"/>
      <sheetName val="[Spt-BH.xls][Spt-BH_xls]B__5536"/>
      <sheetName val="[Spt-BH.xls][Spt-BH_xls]B__5537"/>
      <sheetName val="[Spt-BH.xls][Spt-BH_xls]B__5538"/>
      <sheetName val="[Spt-BH.xls][Spt-BH_xls]_S_1833"/>
      <sheetName val="[Spt-BH.xls][Spt-BH_xls]B__5539"/>
      <sheetName val="[Spt-BH.xls][Spt-BH_xls]B__5540"/>
      <sheetName val="[Spt-BH.xls][Spt-BH_xls]B__5541"/>
      <sheetName val="[Spt-BH.xls][Spt-BH_xls]B__5542"/>
      <sheetName val="[Spt-BH.xls][Spt-BH_xls]_S_1834"/>
      <sheetName val="[Spt-BH.xls][Spt-BH_xls]B__5543"/>
      <sheetName val="[Spt-BH.xls][Spt-BH_xls]B__5544"/>
      <sheetName val="[Spt-BH.xls][Spt-BH_xls]_S_1835"/>
      <sheetName val="[Spt-BH.xls][Spt-BH_xls]B__5545"/>
      <sheetName val="[Spt-BH.xls][Spt-BH_xls]B__5546"/>
      <sheetName val="[Spt-BH.xls][Spt-BH_xls]_S_1836"/>
      <sheetName val="[Spt-BH.xls][Spt-BH.xls]B__5635"/>
      <sheetName val="[Spt-BH.xls][Spt-BH.xls]B__5636"/>
      <sheetName val="[Spt-BH.xls][Spt-BH.xls]_S_1964"/>
      <sheetName val="[Spt-BH.xls][Spt-BH.xls]B__5637"/>
      <sheetName val="[Spt-BH.xls][Spt-BH.xls]B__5638"/>
      <sheetName val="[Spt-BH.xls]B____x005f_x0004______458"/>
      <sheetName val="[Spt-BH.xls]B___x005f_x0000__x000_450"/>
      <sheetName val="[Spt-BH.xls][Spt-BH.xls]B__5639"/>
      <sheetName val="[Spt-BH.xls][Spt-BH.xls]B__5640"/>
      <sheetName val="[Spt-BH.xls][Spt-BH.xls]B__5634"/>
      <sheetName val="[Spt-BH.xls][Spt-BH.xls]_S_1962"/>
      <sheetName val="[Spt-BH.xls][Spt-BH_xls]B__5577"/>
      <sheetName val="[Spt-BH.xls][Spt-BH_xls]B__5578"/>
      <sheetName val="[Spt-BH.xls][Spt-BH_xls]B__5579"/>
      <sheetName val="[Spt-BH.xls][Spt-BH_xls]B__5580"/>
      <sheetName val="[Spt-BH.xls][Spt-BH_xls]_S_1847"/>
      <sheetName val="[Spt-BH.xls][Spt-BH_xls]B__5581"/>
      <sheetName val="[Spt-BH.xls][Spt-BH_xls]B__5582"/>
      <sheetName val="[Spt-BH.xls][Spt-BH_xls]B__5583"/>
      <sheetName val="[Spt-BH.xls][Spt-BH_xls]_S_1848"/>
      <sheetName val="[Spt-BH.xls][Spt-BH_xls]B__5584"/>
      <sheetName val="[Spt-BH.xls][Spt-BH_xls]B__5585"/>
      <sheetName val="[Spt-BH.xls][Spt-BH_xls]B__5586"/>
      <sheetName val="[Spt-BH.xls][Spt-BH_xls]B__5587"/>
      <sheetName val="[Spt-BH.xls][Spt-BH_xls]_S_1849"/>
      <sheetName val="[Spt-BH.xls][Spt-BH_xls]B__5588"/>
      <sheetName val="[Spt-BH.xls][Spt-BH_xls]B__5589"/>
      <sheetName val="[Spt-BH.xls][Spt-BH_xls]_S_1850"/>
      <sheetName val="[Spt-BH.xls][Spt-BH_xls]B__5590"/>
      <sheetName val="[Spt-BH.xls][Spt-BH_xls]B__5591"/>
      <sheetName val="[Spt-BH.xls][Spt-BH_xls]_S_1851"/>
      <sheetName val="[Spt-BH.xls][Spt-BH.xls]_S_1963"/>
      <sheetName val="[Spt-BH.xls][Spt-BH.xls]_S_1965"/>
      <sheetName val="[Spt-BH.xls][Spt-BH.xls]_S_1966"/>
      <sheetName val="[Spt-BH.xls][Spt-BH.xls]B__5641"/>
      <sheetName val="[Spt-BH.xls][Spt-BH.xls]B__5642"/>
      <sheetName val="[Spt-BH.xls][Spt-BH.xls]_S_1968"/>
      <sheetName val="[Spt-BH.xls][Spt-BH.xls]B__5643"/>
      <sheetName val="[Spt-BH.xls][Spt-BH.xls]B__5644"/>
      <sheetName val="[Spt-BH.xls][Spt-BH.xls]B__5645"/>
      <sheetName val="[Spt-BH.xls][Spt-BH.xls]B__5646"/>
      <sheetName val="[Spt-BH.xls][Spt-BH.xls]_S_1967"/>
      <sheetName val="[Spt-BH.xls][Spt-BH.xls]_S_1969"/>
      <sheetName val="[Spt-BH.xls][Spt-BH.xls]B__5647"/>
      <sheetName val="[Spt-BH.xls][Spt-BH.xls]B__5648"/>
      <sheetName val="[Spt-BH.xls][Spt-BH.xls]_S_1973"/>
      <sheetName val="[Spt-BH.xls][Spt-BH.xls]B__5649"/>
      <sheetName val="[Spt-BH.xls][Spt-BH.xls]B__5650"/>
      <sheetName val="[Spt-BH.xls][Spt-BH.xls]B__5651"/>
      <sheetName val="[Spt-BH.xls][Spt-BH.xls]B__5652"/>
      <sheetName val="[Spt-BH.xls][Spt-BH.xls]_S_1970"/>
      <sheetName val="[Spt-BH.xls][Spt-BH.xls]B__5659"/>
      <sheetName val="[Spt-BH.xls][Spt-BH.xls]B__5660"/>
      <sheetName val="[Spt-BH.xls][Spt-BH.xls]_S_1975"/>
      <sheetName val="[Spt-BH.xls][Spt-BH.xls]B__5661"/>
      <sheetName val="[Spt-BH.xls][Spt-BH.xls]B__5662"/>
      <sheetName val="[Spt-BH.xls][Spt-BH.xls]B__5663"/>
      <sheetName val="[Spt-BH.xls][Spt-BH.xls]B__5664"/>
      <sheetName val="[Spt-BH.xls][Spt-BH.xls]_S_1974"/>
      <sheetName val="[Spt-BH.xls][Spt-BH.xls]_S_1971"/>
      <sheetName val="[Spt-BH.xls][Spt-BH.xls]B__5653"/>
      <sheetName val="[Spt-BH.xls][Spt-BH.xls]B__5654"/>
      <sheetName val="[Spt-BH.xls][Spt-BH.xls]B__5655"/>
      <sheetName val="[Spt-BH.xls][Spt-BH.xls]B__5656"/>
      <sheetName val="[Spt-BH.xls][Spt-BH.xls]B__5657"/>
      <sheetName val="[Spt-BH.xls][Spt-BH.xls]B__5658"/>
      <sheetName val="[Spt-BH.xls][Spt-BH.xls]_S_1972"/>
      <sheetName val="[Spt-BH.xls][Spt-BH.xls]B__5665"/>
      <sheetName val="[Spt-BH.xls][Spt-BH.xls]B__5666"/>
      <sheetName val="[Spt-BH.xls][Spt-BH.xls]_S_1977"/>
      <sheetName val="[Spt-BH.xls][Spt-BH.xls]B__5667"/>
      <sheetName val="[Spt-BH.xls][Spt-BH.xls]B__5668"/>
      <sheetName val="[Spt-BH.xls][Spt-BH.xls]B__5669"/>
      <sheetName val="[Spt-BH.xls][Spt-BH.xls]B__5670"/>
      <sheetName val="[Spt-BH.xls][Spt-BH.xls]_S_1976"/>
      <sheetName val="[Spt-BH.xls][Spt-BH.xls]B__5672"/>
      <sheetName val="[Spt-BH.xls][Spt-BH.xls]B__5673"/>
      <sheetName val="[Spt-BH.xls][Spt-BH.xls]_S_1979"/>
      <sheetName val="[Spt-BH.xls][Spt-BH.xls]B__5674"/>
      <sheetName val="[Spt-BH.xls][Spt-BH.xls]B__5675"/>
      <sheetName val="[Spt-BH.xls]B____x005f_x0004______459"/>
      <sheetName val="[Spt-BH.xls]B___x005f_x0000__x000_451"/>
      <sheetName val="[Spt-BH.xls][Spt-BH.xls]B__5676"/>
      <sheetName val="[Spt-BH.xls][Spt-BH.xls]B__5677"/>
      <sheetName val="[Spt-BH.xls][Spt-BH.xls]B__5671"/>
      <sheetName val="[Spt-BH.xls][Spt-BH.xls]_S_1978"/>
      <sheetName val="[Spt-BH.xls][Spt-BH_xls]B__5592"/>
      <sheetName val="[Spt-BH.xls][Spt-BH_xls]B__5593"/>
      <sheetName val="[Spt-BH.xls][Spt-BH_xls]B__5594"/>
      <sheetName val="[Spt-BH.xls][Spt-BH_xls]B__5595"/>
      <sheetName val="[Spt-BH.xls][Spt-BH_xls]_S_1852"/>
      <sheetName val="[Spt-BH.xls][Spt-BH_xls]B__5596"/>
      <sheetName val="[Spt-BH.xls][Spt-BH_xls]B__5597"/>
      <sheetName val="[Spt-BH.xls][Spt-BH_xls]B__5598"/>
      <sheetName val="[Spt-BH.xls][Spt-BH_xls]_S_1853"/>
      <sheetName val="[Spt-BH.xls][Spt-BH_xls]B__5599"/>
      <sheetName val="[Spt-BH.xls][Spt-BH_xls]B__5600"/>
      <sheetName val="[Spt-BH.xls][Spt-BH_xls]B__5601"/>
      <sheetName val="[Spt-BH.xls][Spt-BH_xls]B__5602"/>
      <sheetName val="[Spt-BH.xls][Spt-BH_xls]_S_1854"/>
      <sheetName val="[Spt-BH.xls][Spt-BH_xls]B__5603"/>
      <sheetName val="[Spt-BH.xls][Spt-BH_xls]B__5604"/>
      <sheetName val="[Spt-BH.xls][Spt-BH_xls]_S_1855"/>
      <sheetName val="[Spt-BH.xls][Spt-BH_xls]B__5605"/>
      <sheetName val="[Spt-BH.xls][Spt-BH_xls]B__5606"/>
      <sheetName val="[Spt-BH.xls][Spt-BH_xls]_S_1856"/>
      <sheetName val="[Spt-BH.xls][Spt-BH.xls]B__5679"/>
      <sheetName val="[Spt-BH.xls][Spt-BH.xls]B__5680"/>
      <sheetName val="[Spt-BH.xls][Spt-BH.xls]_S_1981"/>
      <sheetName val="[Spt-BH.xls][Spt-BH.xls]B__5681"/>
      <sheetName val="[Spt-BH.xls][Spt-BH.xls]B__5682"/>
      <sheetName val="[Spt-BH.xls]B____x005f_x0004______460"/>
      <sheetName val="[Spt-BH.xls]B___x005f_x0000__x000_452"/>
      <sheetName val="[Spt-BH.xls][Spt-BH.xls]B__5683"/>
      <sheetName val="[Spt-BH.xls][Spt-BH.xls]B__5684"/>
      <sheetName val="[Spt-BH.xls][Spt-BH.xls]B__5678"/>
      <sheetName val="[Spt-BH.xls][Spt-BH.xls]_S_1980"/>
      <sheetName val="[Spt-BH.xls][Spt-BH_xls]B__5607"/>
      <sheetName val="[Spt-BH.xls][Spt-BH_xls]B__5608"/>
      <sheetName val="[Spt-BH.xls][Spt-BH_xls]B__5609"/>
      <sheetName val="[Spt-BH.xls][Spt-BH_xls]B__5610"/>
      <sheetName val="[Spt-BH.xls][Spt-BH_xls]_S_1857"/>
      <sheetName val="[Spt-BH.xls][Spt-BH_xls]B__5611"/>
      <sheetName val="[Spt-BH.xls][Spt-BH_xls]B__5612"/>
      <sheetName val="[Spt-BH.xls][Spt-BH_xls]B__5613"/>
      <sheetName val="[Spt-BH.xls][Spt-BH_xls]_S_1858"/>
      <sheetName val="[Spt-BH.xls][Spt-BH_xls]B__5614"/>
      <sheetName val="[Spt-BH.xls][Spt-BH_xls]B__5615"/>
      <sheetName val="[Spt-BH.xls][Spt-BH_xls]B__5616"/>
      <sheetName val="[Spt-BH.xls][Spt-BH_xls]B__5617"/>
      <sheetName val="[Spt-BH.xls][Spt-BH_xls]_S_1859"/>
      <sheetName val="[Spt-BH.xls][Spt-BH_xls]B__5618"/>
      <sheetName val="[Spt-BH.xls][Spt-BH_xls]B__5619"/>
      <sheetName val="[Spt-BH.xls][Spt-BH_xls]_S_1860"/>
      <sheetName val="[Spt-BH.xls][Spt-BH_xls]B__5620"/>
      <sheetName val="[Spt-BH.xls][Spt-BH_xls]B__5621"/>
      <sheetName val="[Spt-BH.xls][Spt-BH_xls]_S_1861"/>
      <sheetName val="[Spt-BH.xls][Spt-BH.xls]B__5686"/>
      <sheetName val="[Spt-BH.xls][Spt-BH.xls]B__5687"/>
      <sheetName val="[Spt-BH.xls][Spt-BH.xls]_S_1983"/>
      <sheetName val="[Spt-BH.xls][Spt-BH.xls]B__5688"/>
      <sheetName val="[Spt-BH.xls][Spt-BH.xls]B__5689"/>
      <sheetName val="[Spt-BH.xls]B____x005f_x0004______461"/>
      <sheetName val="[Spt-BH.xls]B___x005f_x0000__x000_453"/>
      <sheetName val="[Spt-BH.xls][Spt-BH.xls]B__5690"/>
      <sheetName val="[Spt-BH.xls][Spt-BH.xls]B__5691"/>
      <sheetName val="[Spt-BH.xls][Spt-BH.xls]B__5685"/>
      <sheetName val="[Spt-BH.xls][Spt-BH.xls]_S_1982"/>
      <sheetName val="[Spt-BH.xls][Spt-BH_xls]B__5622"/>
      <sheetName val="[Spt-BH.xls][Spt-BH_xls]B__5623"/>
      <sheetName val="[Spt-BH.xls][Spt-BH_xls]B__5624"/>
      <sheetName val="[Spt-BH.xls][Spt-BH_xls]B__5625"/>
      <sheetName val="[Spt-BH.xls][Spt-BH_xls]_S_1862"/>
      <sheetName val="[Spt-BH.xls][Spt-BH_xls]B__5626"/>
      <sheetName val="[Spt-BH.xls][Spt-BH_xls]B__5627"/>
      <sheetName val="[Spt-BH.xls][Spt-BH_xls]B__5628"/>
      <sheetName val="[Spt-BH.xls][Spt-BH_xls]_S_1863"/>
      <sheetName val="[Spt-BH.xls][Spt-BH_xls]B__5629"/>
      <sheetName val="[Spt-BH.xls][Spt-BH_xls]B__5630"/>
      <sheetName val="[Spt-BH.xls][Spt-BH_xls]B__5631"/>
      <sheetName val="[Spt-BH.xls][Spt-BH_xls]B__5632"/>
      <sheetName val="[Spt-BH.xls][Spt-BH_xls]_S_1864"/>
      <sheetName val="[Spt-BH.xls][Spt-BH_xls]B__5633"/>
      <sheetName val="[Spt-BH.xls][Spt-BH_xls]B__5634"/>
      <sheetName val="[Spt-BH.xls][Spt-BH_xls]_S_1865"/>
      <sheetName val="[Spt-BH.xls][Spt-BH_xls]B__5635"/>
      <sheetName val="[Spt-BH.xls][Spt-BH_xls]B__5636"/>
      <sheetName val="[Spt-BH.xls][Spt-BH_xls]_S_1866"/>
      <sheetName val="[Spt-BH.xls][Spt-BH.xls]B__5692"/>
      <sheetName val="[Spt-BH.xls][Spt-BH.xls]B__5693"/>
      <sheetName val="[Spt-BH.xls][Spt-BH.xls]B__5694"/>
      <sheetName val="[Spt-BH.xls][Spt-BH.xls]B__5695"/>
      <sheetName val="[Spt-BH.xls][Spt-BH.xls]B__5696"/>
      <sheetName val="[Spt-BH.xls][Spt-BH.xls]B__5697"/>
      <sheetName val="[Spt-BH.xls][Spt-BH.xls]_S_1984"/>
      <sheetName val="[Spt-BH.xls][Spt-BH.xls]_S_1986"/>
      <sheetName val="[Spt-BH.xls][Spt-BH.xls]_S_1985"/>
      <sheetName val="[Spt-BH.xls][Spt-BH.xls]B__5699"/>
      <sheetName val="[Spt-BH.xls][Spt-BH.xls]B__5700"/>
      <sheetName val="[Spt-BH.xls][Spt-BH.xls]_S_1988"/>
      <sheetName val="[Spt-BH.xls][Spt-BH.xls]B__5701"/>
      <sheetName val="[Spt-BH.xls][Spt-BH.xls]B__5702"/>
      <sheetName val="[Spt-BH.xls]B____x005f_x0004______462"/>
      <sheetName val="[Spt-BH.xls]B___x005f_x0000__x000_454"/>
      <sheetName val="[Spt-BH.xls][Spt-BH.xls]B__5703"/>
      <sheetName val="[Spt-BH.xls][Spt-BH.xls]B__5704"/>
      <sheetName val="[Spt-BH.xls][Spt-BH.xls]B__5698"/>
      <sheetName val="[Spt-BH.xls][Spt-BH.xls]_S_1987"/>
      <sheetName val="[Spt-BH.xls][Spt-BH_xls]B__5637"/>
      <sheetName val="[Spt-BH.xls][Spt-BH_xls]B__5638"/>
      <sheetName val="[Spt-BH.xls][Spt-BH_xls]B__5639"/>
      <sheetName val="[Spt-BH.xls][Spt-BH_xls]B__5640"/>
      <sheetName val="[Spt-BH.xls][Spt-BH_xls]_S_1867"/>
      <sheetName val="[Spt-BH.xls][Spt-BH_xls]B__5641"/>
      <sheetName val="[Spt-BH.xls][Spt-BH_xls]B__5642"/>
      <sheetName val="[Spt-BH.xls][Spt-BH_xls]B__5643"/>
      <sheetName val="[Spt-BH.xls][Spt-BH_xls]_S_1868"/>
      <sheetName val="[Spt-BH.xls][Spt-BH_xls]B__5644"/>
      <sheetName val="[Spt-BH.xls][Spt-BH_xls]B__5645"/>
      <sheetName val="[Spt-BH.xls][Spt-BH_xls]B__5646"/>
      <sheetName val="[Spt-BH.xls][Spt-BH_xls]B__5647"/>
      <sheetName val="[Spt-BH.xls][Spt-BH_xls]_S_1869"/>
      <sheetName val="[Spt-BH.xls][Spt-BH_xls]B__5648"/>
      <sheetName val="[Spt-BH.xls][Spt-BH_xls]B__5649"/>
      <sheetName val="[Spt-BH.xls][Spt-BH_xls]_S_1870"/>
      <sheetName val="[Spt-BH.xls][Spt-BH_xls]B__5650"/>
      <sheetName val="[Spt-BH.xls][Spt-BH_xls]B__5651"/>
      <sheetName val="[Spt-BH.xls][Spt-BH_xls]_S_1871"/>
      <sheetName val="[Spt-BH.xls][Spt-BH.xls]_S_1989"/>
      <sheetName val="[Spt-BH.xls][Spt-BH.xls]B__5705"/>
      <sheetName val="[Spt-BH.xls][Spt-BH.xls]B__5706"/>
      <sheetName val="[Spt-BH.xls][Spt-BH.xls]_S_1991"/>
      <sheetName val="[Spt-BH.xls][Spt-BH.xls]B__5707"/>
      <sheetName val="[Spt-BH.xls][Spt-BH.xls]B__5708"/>
      <sheetName val="[Spt-BH.xls][Spt-BH.xls]B__5709"/>
      <sheetName val="[Spt-BH.xls][Spt-BH.xls]B__5710"/>
      <sheetName val="[Spt-BH.xls][Spt-BH.xls]_S_1990"/>
      <sheetName val="[Spt-BH.xls][Spt-BH.xls]B__5712"/>
      <sheetName val="[Spt-BH.xls][Spt-BH.xls]B__5713"/>
      <sheetName val="[Spt-BH.xls][Spt-BH.xls]_S_1993"/>
      <sheetName val="[Spt-BH.xls][Spt-BH.xls]B__5714"/>
      <sheetName val="[Spt-BH.xls][Spt-BH.xls]B__5715"/>
      <sheetName val="[Spt-BH.xls]B____x005f_x0004______463"/>
      <sheetName val="[Spt-BH.xls]B___x005f_x0000__x000_455"/>
      <sheetName val="[Spt-BH.xls][Spt-BH.xls]B__5716"/>
      <sheetName val="[Spt-BH.xls][Spt-BH.xls]B__5717"/>
      <sheetName val="[Spt-BH.xls][Spt-BH.xls]B__5711"/>
      <sheetName val="[Spt-BH.xls][Spt-BH.xls]_S_1992"/>
      <sheetName val="[Spt-BH.xls][Spt-BH_xls]B__5652"/>
      <sheetName val="[Spt-BH.xls][Spt-BH_xls]B__5653"/>
      <sheetName val="[Spt-BH.xls][Spt-BH_xls]B__5654"/>
      <sheetName val="[Spt-BH.xls][Spt-BH_xls]B__5655"/>
      <sheetName val="[Spt-BH.xls][Spt-BH_xls]_S_1872"/>
      <sheetName val="[Spt-BH.xls][Spt-BH_xls]B__5656"/>
      <sheetName val="[Spt-BH.xls][Spt-BH_xls]B__5657"/>
      <sheetName val="[Spt-BH.xls][Spt-BH_xls]B__5658"/>
      <sheetName val="[Spt-BH.xls][Spt-BH_xls]_S_1873"/>
      <sheetName val="[Spt-BH.xls][Spt-BH_xls]B__5659"/>
      <sheetName val="[Spt-BH.xls][Spt-BH_xls]B__5660"/>
      <sheetName val="[Spt-BH.xls][Spt-BH_xls]B__5661"/>
      <sheetName val="[Spt-BH.xls][Spt-BH_xls]B__5662"/>
      <sheetName val="[Spt-BH.xls][Spt-BH_xls]_S_1874"/>
      <sheetName val="[Spt-BH.xls][Spt-BH_xls]B__5663"/>
      <sheetName val="[Spt-BH.xls][Spt-BH_xls]B__5664"/>
      <sheetName val="[Spt-BH.xls][Spt-BH_xls]_S_1875"/>
      <sheetName val="[Spt-BH.xls][Spt-BH_xls]B__5665"/>
      <sheetName val="[Spt-BH.xls][Spt-BH_xls]B__5666"/>
      <sheetName val="[Spt-BH.xls][Spt-BH_xls]_S_1876"/>
      <sheetName val="[Spt-BH.xls][Spt-BH.xls]B__5718"/>
      <sheetName val="[Spt-BH.xls][Spt-BH.xls]B__5719"/>
      <sheetName val="[Spt-BH.xls][Spt-BH.xls]_S_1994"/>
      <sheetName val="[Spt-BH.xls][Spt-BH.xls]B__5720"/>
      <sheetName val="[Spt-BH.xls][Spt-BH.xls]B__5721"/>
      <sheetName val="[Spt-BH.xls][Spt-BH.xls]B__5722"/>
      <sheetName val="[Spt-BH.xls][Spt-BH.xls]B__5723"/>
      <sheetName val="[Spt-BH.xls][Spt-BH.xls]B__5725"/>
      <sheetName val="[Spt-BH.xls][Spt-BH.xls]B__5726"/>
      <sheetName val="[Spt-BH.xls][Spt-BH.xls]_S_1996"/>
      <sheetName val="[Spt-BH.xls][Spt-BH.xls]B__5727"/>
      <sheetName val="[Spt-BH.xls][Spt-BH.xls]B__5728"/>
      <sheetName val="[Spt-BH.xls]B____x005f_x0004______464"/>
      <sheetName val="[Spt-BH.xls]B___x005f_x0000__x000_456"/>
      <sheetName val="[Spt-BH.xls][Spt-BH.xls]B__5729"/>
      <sheetName val="[Spt-BH.xls][Spt-BH.xls]B__5730"/>
      <sheetName val="[Spt-BH.xls][Spt-BH.xls]B__5724"/>
      <sheetName val="[Spt-BH.xls][Spt-BH.xls]_S_1995"/>
      <sheetName val="[Spt-BH.xls][Spt-BH_xls]B__5667"/>
      <sheetName val="[Spt-BH.xls][Spt-BH_xls]B__5668"/>
      <sheetName val="[Spt-BH.xls][Spt-BH_xls]B__5669"/>
      <sheetName val="[Spt-BH.xls][Spt-BH_xls]B__5670"/>
      <sheetName val="[Spt-BH.xls][Spt-BH_xls]_S_1877"/>
      <sheetName val="[Spt-BH.xls][Spt-BH_xls]B__5671"/>
      <sheetName val="[Spt-BH.xls][Spt-BH_xls]B__5672"/>
      <sheetName val="[Spt-BH.xls][Spt-BH_xls]B__5673"/>
      <sheetName val="[Spt-BH.xls][Spt-BH_xls]_S_1878"/>
      <sheetName val="[Spt-BH.xls][Spt-BH_xls]B__5674"/>
      <sheetName val="[Spt-BH.xls][Spt-BH_xls]B__5675"/>
      <sheetName val="[Spt-BH.xls][Spt-BH_xls]B__5676"/>
      <sheetName val="[Spt-BH.xls][Spt-BH_xls]B__5677"/>
      <sheetName val="[Spt-BH.xls][Spt-BH_xls]_S_1879"/>
      <sheetName val="[Spt-BH.xls][Spt-BH_xls]B__5678"/>
      <sheetName val="[Spt-BH.xls][Spt-BH_xls]B__5679"/>
      <sheetName val="[Spt-BH.xls][Spt-BH_xls]_S_1880"/>
      <sheetName val="[Spt-BH.xls][Spt-BH_xls]B__5680"/>
      <sheetName val="[Spt-BH.xls][Spt-BH_xls]B__5681"/>
      <sheetName val="[Spt-BH.xls][Spt-BH_xls]_S_1881"/>
      <sheetName val="[Spt-BH.xls][Spt-BH.xls]_S_1997"/>
      <sheetName val="[Spt-BH.xls][Spt-BH.xls]B__5731"/>
      <sheetName val="[Spt-BH.xls][Spt-BH.xls]B__5732"/>
      <sheetName val="[Spt-BH.xls][Spt-BH.xls]B__5733"/>
      <sheetName val="[Spt-BH.xls][Spt-BH.xls]B__5734"/>
      <sheetName val="[Spt-BH.xls][Spt-BH.xls]B__5735"/>
      <sheetName val="[Spt-BH.xls][Spt-BH.xls]B__5736"/>
      <sheetName val="[Spt-BH.xls][Spt-BH.xls]_S_1998"/>
      <sheetName val="[Spt-BH.xls]B____x005f_x0004______465"/>
      <sheetName val="[Spt-BH.xls]B___x005f_x0000__x000_457"/>
      <sheetName val="[Spt-BH.xls][Spt-BH.xls]B__5737"/>
      <sheetName val="[Spt-BH.xls][Spt-BH_xls]B__5682"/>
      <sheetName val="[Spt-BH.xls][Spt-BH_xls]B__5683"/>
      <sheetName val="[Spt-BH.xls][Spt-BH_xls]B__5684"/>
      <sheetName val="[Spt-BH.xls][Spt-BH_xls]B__5685"/>
      <sheetName val="[Spt-BH.xls][Spt-BH_xls]_S_1882"/>
      <sheetName val="[Spt-BH.xls][Spt-BH_xls]B__5686"/>
      <sheetName val="[Spt-BH.xls][Spt-BH_xls]B__5687"/>
      <sheetName val="[Spt-BH.xls][Spt-BH_xls]B__5688"/>
      <sheetName val="[Spt-BH.xls][Spt-BH_xls]_S_1883"/>
      <sheetName val="[Spt-BH.xls][Spt-BH_xls]B__5689"/>
      <sheetName val="[Spt-BH.xls][Spt-BH_xls]B__5690"/>
      <sheetName val="[Spt-BH.xls][Spt-BH_xls]B__5691"/>
      <sheetName val="[Spt-BH.xls][Spt-BH_xls]B__5692"/>
      <sheetName val="[Spt-BH.xls][Spt-BH_xls]_S_1884"/>
      <sheetName val="[Spt-BH.xls][Spt-BH_xls]B__5693"/>
      <sheetName val="[Spt-BH.xls][Spt-BH_xls]B__5694"/>
      <sheetName val="[Spt-BH.xls][Spt-BH_xls]_S_1885"/>
      <sheetName val="[Spt-BH.xls][Spt-BH_xls]B__5695"/>
      <sheetName val="[Spt-BH.xls][Spt-BH_xls]B__5696"/>
      <sheetName val="[Spt-BH.xls][Spt-BH_xls]_S_1886"/>
      <sheetName val="[Spt-BH.xls][Spt-BH.xls]_S_1999"/>
      <sheetName val="[Spt-BH.xls][Spt-BH.xls]B__5738"/>
      <sheetName val="[Spt-BH.xls][Spt-BH.xls]B__5739"/>
      <sheetName val="[Spt-BH.xls][Spt-BH.xls]_S_2001"/>
      <sheetName val="[Spt-BH.xls][Spt-BH.xls]B__5740"/>
      <sheetName val="[Spt-BH.xls][Spt-BH.xls]B__5741"/>
      <sheetName val="[Spt-BH.xls][Spt-BH.xls]B__5742"/>
      <sheetName val="[Spt-BH.xls][Spt-BH.xls]B__5743"/>
      <sheetName val="[Spt-BH.xls][Spt-BH.xls]_S_2000"/>
      <sheetName val="[Spt-BH.xls][Spt-BH.xls]B__5745"/>
      <sheetName val="[Spt-BH.xls][Spt-BH.xls]B__5746"/>
      <sheetName val="[Spt-BH.xls][Spt-BH.xls]_S_2007"/>
      <sheetName val="[Spt-BH.xls][Spt-BH.xls]B__5747"/>
      <sheetName val="[Spt-BH.xls][Spt-BH.xls]B__5748"/>
      <sheetName val="[Spt-BH.xls]B____x005f_x0004______466"/>
      <sheetName val="[Spt-BH.xls]B___x005f_x0000__x000_458"/>
      <sheetName val="[Spt-BH.xls][Spt-BH.xls]B__5749"/>
      <sheetName val="[Spt-BH.xls][Spt-BH.xls]B__5750"/>
      <sheetName val="[Spt-BH.xls][Spt-BH.xls]B__5744"/>
      <sheetName val="[Spt-BH.xls][Spt-BH.xls]_S_2002"/>
      <sheetName val="[Spt-BH.xls][Spt-BH_xls]B__5697"/>
      <sheetName val="[Spt-BH.xls][Spt-BH_xls]B__5698"/>
      <sheetName val="[Spt-BH.xls][Spt-BH_xls]B__5699"/>
      <sheetName val="[Spt-BH.xls][Spt-BH_xls]B__5700"/>
      <sheetName val="[Spt-BH.xls][Spt-BH_xls]_S_1887"/>
      <sheetName val="[Spt-BH.xls][Spt-BH_xls]B__5701"/>
      <sheetName val="[Spt-BH.xls][Spt-BH_xls]B__5702"/>
      <sheetName val="[Spt-BH.xls][Spt-BH_xls]B__5703"/>
      <sheetName val="[Spt-BH.xls][Spt-BH_xls]_S_1888"/>
      <sheetName val="[Spt-BH.xls][Spt-BH_xls]B__5704"/>
      <sheetName val="[Spt-BH.xls][Spt-BH_xls]B__5705"/>
      <sheetName val="[Spt-BH.xls][Spt-BH_xls]B__5706"/>
      <sheetName val="[Spt-BH.xls][Spt-BH_xls]B__5707"/>
      <sheetName val="[Spt-BH.xls][Spt-BH_xls]_S_1889"/>
      <sheetName val="[Spt-BH.xls][Spt-BH_xls]B__5708"/>
      <sheetName val="[Spt-BH.xls][Spt-BH_xls]B__5709"/>
      <sheetName val="[Spt-BH.xls][Spt-BH_xls]_S_1890"/>
      <sheetName val="[Spt-BH.xls][Spt-BH_xls]B__5710"/>
      <sheetName val="[Spt-BH.xls][Spt-BH_xls]B__5711"/>
      <sheetName val="[Spt-BH.xls][Spt-BH_xls]_S_1891"/>
      <sheetName val="[Spt-BH.xls][Spt-BH.xls]B__5764"/>
      <sheetName val="[Spt-BH.xls][Spt-BH.xls]B__5765"/>
      <sheetName val="[Spt-BH.xls][Spt-BH.xls]_S_2009"/>
      <sheetName val="[Spt-BH.xls][Spt-BH.xls]B__5766"/>
      <sheetName val="[Spt-BH.xls][Spt-BH.xls]B__5767"/>
      <sheetName val="[Spt-BH.xls]B____x005f_x0004______467"/>
      <sheetName val="[Spt-BH.xls]B___x005f_x0000__x000_459"/>
      <sheetName val="[Spt-BH.xls][Spt-BH.xls]B__5768"/>
      <sheetName val="[Spt-BH.xls][Spt-BH.xls]B__5769"/>
      <sheetName val="[Spt-BH.xls][Spt-BH.xls]B__5751"/>
      <sheetName val="[Spt-BH.xls][Spt-BH.xls]_S_2008"/>
      <sheetName val="[Spt-BH.xls][Spt-BH_xls]B__5712"/>
      <sheetName val="[Spt-BH.xls][Spt-BH_xls]B__5713"/>
      <sheetName val="[Spt-BH.xls][Spt-BH_xls]B__5714"/>
      <sheetName val="[Spt-BH.xls][Spt-BH_xls]B__5715"/>
      <sheetName val="[Spt-BH.xls][Spt-BH_xls]_S_1892"/>
      <sheetName val="[Spt-BH.xls][Spt-BH_xls]B__5716"/>
      <sheetName val="[Spt-BH.xls][Spt-BH_xls]B__5717"/>
      <sheetName val="[Spt-BH.xls][Spt-BH_xls]B__5718"/>
      <sheetName val="[Spt-BH.xls][Spt-BH_xls]_S_1893"/>
      <sheetName val="[Spt-BH.xls][Spt-BH_xls]B__5719"/>
      <sheetName val="[Spt-BH.xls][Spt-BH_xls]B__5720"/>
      <sheetName val="[Spt-BH.xls][Spt-BH_xls]B__5721"/>
      <sheetName val="[Spt-BH.xls][Spt-BH_xls]B__5722"/>
      <sheetName val="[Spt-BH.xls][Spt-BH_xls]_S_1894"/>
      <sheetName val="[Spt-BH.xls][Spt-BH_xls]B__5723"/>
      <sheetName val="[Spt-BH.xls][Spt-BH_xls]B__5724"/>
      <sheetName val="[Spt-BH.xls][Spt-BH_xls]_S_1895"/>
      <sheetName val="[Spt-BH.xls][Spt-BH_xls]B__5725"/>
      <sheetName val="[Spt-BH.xls][Spt-BH_xls]B__5726"/>
      <sheetName val="[Spt-BH.xls][Spt-BH_xls]_S_1896"/>
      <sheetName val="[Spt-BH.xls][Spt-BH.xls]_S_2003"/>
      <sheetName val="[Spt-BH.xls][Spt-BH.xls]B__5752"/>
      <sheetName val="[Spt-BH.xls][Spt-BH.xls]B__5753"/>
      <sheetName val="[Spt-BH.xls][Spt-BH.xls]B__5754"/>
      <sheetName val="[Spt-BH.xls][Spt-BH.xls]B__5755"/>
      <sheetName val="[Spt-BH.xls][Spt-BH.xls]B__5756"/>
      <sheetName val="[Spt-BH.xls][Spt-BH.xls]B__5757"/>
      <sheetName val="[Spt-BH.xls][Spt-BH.xls]_S_2004"/>
      <sheetName val="[Spt-BH.xls][Spt-BH.xls]_S_2005"/>
      <sheetName val="[Spt-BH.xls][Spt-BH.xls]B__5758"/>
      <sheetName val="[Spt-BH.xls][Spt-BH.xls]B__5759"/>
      <sheetName val="[Spt-BH.xls][Spt-BH.xls]B__5760"/>
      <sheetName val="[Spt-BH.xls][Spt-BH.xls]B__5761"/>
      <sheetName val="[Spt-BH.xls][Spt-BH.xls]B__5762"/>
      <sheetName val="[Spt-BH.xls][Spt-BH.xls]B__5763"/>
      <sheetName val="[Spt-BH.xls][Spt-BH.xls]_S_2006"/>
      <sheetName val="[Spt-BH.xls][Spt-BH.xls]B__5771"/>
      <sheetName val="[Spt-BH.xls][Spt-BH.xls]B__5772"/>
      <sheetName val="[Spt-BH.xls][Spt-BH.xls]B__5773"/>
      <sheetName val="[Spt-BH.xls][Spt-BH.xls]B__5774"/>
      <sheetName val="[Spt-BH.xls]B____x005f_x0004______468"/>
      <sheetName val="[Spt-BH.xls]B___x005f_x0000__x000_460"/>
      <sheetName val="[Spt-BH.xls][Spt-BH.xls]B__5775"/>
      <sheetName val="[Spt-BH.xls][Spt-BH.xls]B__5776"/>
      <sheetName val="[Spt-BH.xls][Spt-BH.xls]B__5770"/>
      <sheetName val="[Spt-BH.xls][Spt-BH.xls]_S_2010"/>
      <sheetName val="[Spt-BH.xls][Spt-BH_xls]B__5727"/>
      <sheetName val="[Spt-BH.xls][Spt-BH_xls]B__5728"/>
      <sheetName val="[Spt-BH.xls][Spt-BH_xls]B__5729"/>
      <sheetName val="[Spt-BH.xls][Spt-BH_xls]B__5730"/>
      <sheetName val="[Spt-BH.xls][Spt-BH_xls]_S_1897"/>
      <sheetName val="[Spt-BH.xls][Spt-BH_xls]B__5731"/>
      <sheetName val="[Spt-BH.xls][Spt-BH_xls]B__5732"/>
      <sheetName val="[Spt-BH.xls][Spt-BH_xls]B__5733"/>
      <sheetName val="[Spt-BH.xls][Spt-BH_xls]_S_1898"/>
      <sheetName val="[Spt-BH.xls][Spt-BH_xls]B__5734"/>
      <sheetName val="[Spt-BH.xls][Spt-BH_xls]B__5735"/>
      <sheetName val="[Spt-BH.xls][Spt-BH_xls]B__5736"/>
      <sheetName val="[Spt-BH.xls][Spt-BH_xls]B__5737"/>
      <sheetName val="[Spt-BH.xls][Spt-BH_xls]_S_1899"/>
      <sheetName val="[Spt-BH.xls][Spt-BH_xls]B__5738"/>
      <sheetName val="[Spt-BH.xls][Spt-BH_xls]B__5739"/>
      <sheetName val="[Spt-BH.xls][Spt-BH_xls]_S_1900"/>
      <sheetName val="[Spt-BH.xls][Spt-BH_xls]B__5740"/>
      <sheetName val="[Spt-BH.xls][Spt-BH_xls]B__5741"/>
      <sheetName val="[Spt-BH.xls][Spt-BH_xls]_S_1901"/>
      <sheetName val="[Spt-BH.xls][Spt-BH.xls]_S_2011"/>
      <sheetName val="[Spt-BH.xls]B____x005f_x0004______469"/>
      <sheetName val="[Spt-BH.xls]B___x005f_x0000__x000_461"/>
      <sheetName val="[Spt-BH.xls][Spt-BH.xls]B__5777"/>
      <sheetName val="[Spt-BH.xls][Spt-BH.xls]_S_2012"/>
      <sheetName val="[Spt-BH.xls][Spt-BH_xls]B__5742"/>
      <sheetName val="[Spt-BH.xls][Spt-BH_xls]B__5743"/>
      <sheetName val="[Spt-BH.xls][Spt-BH_xls]B__5744"/>
      <sheetName val="[Spt-BH.xls][Spt-BH_xls]B__5745"/>
      <sheetName val="[Spt-BH.xls][Spt-BH_xls]_S_1902"/>
      <sheetName val="[Spt-BH.xls][Spt-BH_xls]B__5746"/>
      <sheetName val="[Spt-BH.xls][Spt-BH_xls]B__5747"/>
      <sheetName val="[Spt-BH.xls][Spt-BH_xls]B__5748"/>
      <sheetName val="[Spt-BH.xls][Spt-BH_xls]_S_1903"/>
      <sheetName val="[Spt-BH.xls][Spt-BH_xls]B__5749"/>
      <sheetName val="[Spt-BH.xls][Spt-BH_xls]B__5750"/>
      <sheetName val="[Spt-BH.xls][Spt-BH_xls]B__5751"/>
      <sheetName val="[Spt-BH.xls][Spt-BH_xls]B__5752"/>
      <sheetName val="[Spt-BH.xls][Spt-BH_xls]_S_1904"/>
      <sheetName val="[Spt-BH.xls][Spt-BH_xls]B__5753"/>
      <sheetName val="[Spt-BH.xls][Spt-BH_xls]B__5754"/>
      <sheetName val="[Spt-BH.xls][Spt-BH_xls]_S_1905"/>
      <sheetName val="[Spt-BH.xls][Spt-BH_xls]B__5755"/>
      <sheetName val="[Spt-BH.xls][Spt-BH_xls]B__5756"/>
      <sheetName val="[Spt-BH.xls][Spt-BH_xls]_S_1906"/>
      <sheetName val="[Spt-BH.xls]B____x005f_x0004______470"/>
      <sheetName val="[Spt-BH.xls]B___x005f_x0000__x000_462"/>
      <sheetName val="[Spt-BH.xls][Spt-BH.xls]B__5778"/>
      <sheetName val="[Spt-BH.xls][Spt-BH_xls]B__5757"/>
      <sheetName val="[Spt-BH.xls][Spt-BH_xls]B__5758"/>
      <sheetName val="[Spt-BH.xls][Spt-BH_xls]B__5759"/>
      <sheetName val="[Spt-BH.xls][Spt-BH_xls]B__5760"/>
      <sheetName val="[Spt-BH.xls][Spt-BH_xls]_S_1907"/>
      <sheetName val="[Spt-BH.xls][Spt-BH_xls]B__5761"/>
      <sheetName val="[Spt-BH.xls][Spt-BH_xls]B__5762"/>
      <sheetName val="[Spt-BH.xls][Spt-BH_xls]B__5763"/>
      <sheetName val="[Spt-BH.xls][Spt-BH_xls]_S_1908"/>
      <sheetName val="[Spt-BH.xls][Spt-BH_xls]B__5764"/>
      <sheetName val="[Spt-BH.xls][Spt-BH_xls]B__5765"/>
      <sheetName val="[Spt-BH.xls][Spt-BH_xls]B__5766"/>
      <sheetName val="[Spt-BH.xls][Spt-BH_xls]B__5767"/>
      <sheetName val="[Spt-BH.xls][Spt-BH_xls]_S_1909"/>
      <sheetName val="[Spt-BH.xls][Spt-BH_xls]B__5768"/>
      <sheetName val="[Spt-BH.xls][Spt-BH_xls]B__5769"/>
      <sheetName val="[Spt-BH.xls][Spt-BH_xls]_S_1910"/>
      <sheetName val="[Spt-BH.xls][Spt-BH_xls]B__5770"/>
      <sheetName val="[Spt-BH.xls][Spt-BH_xls]B__5771"/>
      <sheetName val="[Spt-BH.xls][Spt-BH_xls]_S_1911"/>
      <sheetName val="[Spt-BH.xls][Spt-BH.xls]_S_2025"/>
      <sheetName val="[Spt-BH.xls][Spt-BH.xls]B__5818"/>
      <sheetName val="[Spt-BH.xls][Spt-BH.xls]B__5819"/>
      <sheetName val="[Spt-BH.xls][Spt-BH.xls]_S_2033"/>
      <sheetName val="[Spt-BH.xls][Spt-BH.xls]B__5820"/>
      <sheetName val="[Spt-BH.xls][Spt-BH.xls]B__5821"/>
      <sheetName val="[Spt-BH.xls][Spt-BH.xls]B__5822"/>
      <sheetName val="[Spt-BH.xls][Spt-BH.xls]B__5823"/>
      <sheetName val="[Spt-BH.xls][Spt-BH.xls]_S_2026"/>
      <sheetName val="[Spt-BH.xls][Spt-BH.xls]B__5844"/>
      <sheetName val="[Spt-BH.xls][Spt-BH.xls]B__5845"/>
      <sheetName val="[Spt-BH.xls][Spt-BH.xls]_S_2035"/>
      <sheetName val="[Spt-BH.xls][Spt-BH.xls]B__5846"/>
      <sheetName val="[Spt-BH.xls][Spt-BH.xls]B__5847"/>
      <sheetName val="[Spt-BH.xls]B____x005f_x0004______474"/>
      <sheetName val="[Spt-BH.xls]B___x005f_x0000__x000_466"/>
      <sheetName val="[Spt-BH.xls][Spt-BH.xls]B__5848"/>
      <sheetName val="[Spt-BH.xls][Spt-BH.xls]B__5849"/>
      <sheetName val="[Spt-BH.xls][Spt-BH.xls]B__5824"/>
      <sheetName val="[Spt-BH.xls][Spt-BH.xls]_S_2034"/>
      <sheetName val="[Spt-BH.xls][Spt-BH_xls]B__5817"/>
      <sheetName val="[Spt-BH.xls][Spt-BH_xls]B__5818"/>
      <sheetName val="[Spt-BH.xls][Spt-BH_xls]B__5819"/>
      <sheetName val="[Spt-BH.xls][Spt-BH_xls]B__5820"/>
      <sheetName val="[Spt-BH.xls][Spt-BH_xls]_S_1927"/>
      <sheetName val="[Spt-BH.xls][Spt-BH_xls]B__5821"/>
      <sheetName val="[Spt-BH.xls][Spt-BH_xls]B__5822"/>
      <sheetName val="[Spt-BH.xls][Spt-BH_xls]B__5823"/>
      <sheetName val="[Spt-BH.xls][Spt-BH_xls]_S_1928"/>
      <sheetName val="[Spt-BH.xls][Spt-BH_xls]B__5824"/>
      <sheetName val="[Spt-BH.xls][Spt-BH_xls]B__5825"/>
      <sheetName val="[Spt-BH.xls][Spt-BH_xls]B__5826"/>
      <sheetName val="[Spt-BH.xls][Spt-BH_xls]B__5827"/>
      <sheetName val="[Spt-BH.xls][Spt-BH_xls]_S_1929"/>
      <sheetName val="[Spt-BH.xls][Spt-BH_xls]B__5828"/>
      <sheetName val="[Spt-BH.xls][Spt-BH_xls]B__5829"/>
      <sheetName val="[Spt-BH.xls][Spt-BH_xls]_S_1930"/>
      <sheetName val="[Spt-BH.xls][Spt-BH_xls]B__5830"/>
      <sheetName val="[Spt-BH.xls][Spt-BH_xls]B__5831"/>
      <sheetName val="[Spt-BH.xls][Spt-BH_xls]_S_1931"/>
      <sheetName val="[Spt-BH.xls][Spt-BH.xls]B__5805"/>
      <sheetName val="[Spt-BH.xls][Spt-BH.xls]B__5806"/>
      <sheetName val="[Spt-BH.xls][Spt-BH.xls]_S_2023"/>
      <sheetName val="[Spt-BH.xls][Spt-BH.xls]B__5807"/>
      <sheetName val="[Spt-BH.xls][Spt-BH.xls]B__5808"/>
      <sheetName val="[Spt-BH.xls][Spt-BH.xls]B__5812"/>
      <sheetName val="[Spt-BH.xls][Spt-BH.xls]B__5813"/>
      <sheetName val="[Spt-BH.xls][Spt-BH.xls]B__5814"/>
      <sheetName val="[Spt-BH.xls][Spt-BH.xls]B__5815"/>
      <sheetName val="[Spt-BH.xls]B____x005f_x0004______473"/>
      <sheetName val="[Spt-BH.xls][Spt-BH.xls]B__5809"/>
      <sheetName val="[Spt-BH.xls][Spt-BH.xls]_S_2021"/>
      <sheetName val="[Spt-BH.xls][Spt-BH.xls]B__5810"/>
      <sheetName val="[Spt-BH.xls]B___x005f_x0000__x000_465"/>
      <sheetName val="[Spt-BH.xls][Spt-BH.xls]B__5816"/>
      <sheetName val="[Spt-BH.xls][Spt-BH.xls]B__5817"/>
      <sheetName val="[Spt-BH.xls][Spt-BH.xls]B__5811"/>
      <sheetName val="[Spt-BH.xls][Spt-BH.xls]_S_2024"/>
      <sheetName val="[Spt-BH.xls][Spt-BH_xls]B__5802"/>
      <sheetName val="[Spt-BH.xls][Spt-BH_xls]B__5803"/>
      <sheetName val="[Spt-BH.xls][Spt-BH_xls]B__5804"/>
      <sheetName val="[Spt-BH.xls][Spt-BH_xls]B__5805"/>
      <sheetName val="[Spt-BH.xls][Spt-BH_xls]_S_1922"/>
      <sheetName val="[Spt-BH.xls][Spt-BH_xls]B__5806"/>
      <sheetName val="[Spt-BH.xls][Spt-BH_xls]B__5807"/>
      <sheetName val="[Spt-BH.xls][Spt-BH_xls]B__5808"/>
      <sheetName val="[Spt-BH.xls][Spt-BH_xls]_S_1923"/>
      <sheetName val="[Spt-BH.xls][Spt-BH_xls]B__5809"/>
      <sheetName val="[Spt-BH.xls][Spt-BH_xls]B__5810"/>
      <sheetName val="[Spt-BH.xls][Spt-BH_xls]B__5811"/>
      <sheetName val="[Spt-BH.xls][Spt-BH_xls]B__5812"/>
      <sheetName val="[Spt-BH.xls][Spt-BH_xls]_S_1924"/>
      <sheetName val="[Spt-BH.xls][Spt-BH.xls]_S_2022"/>
      <sheetName val="[Spt-BH.xls][Spt-BH_xls]B__5813"/>
      <sheetName val="[Spt-BH.xls][Spt-BH_xls]B__5814"/>
      <sheetName val="[Spt-BH.xls][Spt-BH_xls]_S_1925"/>
      <sheetName val="[Spt-BH.xls][Spt-BH_xls]B__5815"/>
      <sheetName val="[Spt-BH.xls][Spt-BH_xls]B__5816"/>
      <sheetName val="[Spt-BH.xls][Spt-BH_xls]_S_1926"/>
      <sheetName val="[Spt-BH.xls][Spt-BH.xls]B__5792"/>
      <sheetName val="[Spt-BH.xls][Spt-BH.xls]B__5793"/>
      <sheetName val="[Spt-BH.xls][Spt-BH.xls]_S_2019"/>
      <sheetName val="[Spt-BH.xls][Spt-BH.xls]B__5794"/>
      <sheetName val="[Spt-BH.xls][Spt-BH.xls]B__5795"/>
      <sheetName val="[Spt-BH.xls][Spt-BH.xls]B__5799"/>
      <sheetName val="[Spt-BH.xls][Spt-BH.xls]B__5800"/>
      <sheetName val="[Spt-BH.xls][Spt-BH.xls]B__5801"/>
      <sheetName val="[Spt-BH.xls][Spt-BH.xls]B__5802"/>
      <sheetName val="[Spt-BH.xls]B____x005f_x0004______472"/>
      <sheetName val="[Spt-BH.xls][Spt-BH.xls]B__5796"/>
      <sheetName val="[Spt-BH.xls][Spt-BH.xls]_S_2017"/>
      <sheetName val="[Spt-BH.xls][Spt-BH.xls]B__5797"/>
      <sheetName val="[Spt-BH.xls]B___x005f_x0000__x000_464"/>
      <sheetName val="[Spt-BH.xls][Spt-BH.xls]B__5803"/>
      <sheetName val="[Spt-BH.xls][Spt-BH.xls]B__5804"/>
      <sheetName val="[Spt-BH.xls][Spt-BH.xls]B__5798"/>
      <sheetName val="[Spt-BH.xls][Spt-BH.xls]_S_2020"/>
      <sheetName val="[Spt-BH.xls][Spt-BH_xls]B__5787"/>
      <sheetName val="[Spt-BH.xls][Spt-BH_xls]B__5788"/>
      <sheetName val="[Spt-BH.xls][Spt-BH_xls]B__5789"/>
      <sheetName val="[Spt-BH.xls][Spt-BH_xls]B__5790"/>
      <sheetName val="[Spt-BH.xls][Spt-BH_xls]_S_1917"/>
      <sheetName val="[Spt-BH.xls][Spt-BH_xls]B__5791"/>
      <sheetName val="[Spt-BH.xls][Spt-BH_xls]B__5792"/>
      <sheetName val="[Spt-BH.xls][Spt-BH_xls]B__5793"/>
      <sheetName val="[Spt-BH.xls][Spt-BH_xls]_S_1918"/>
      <sheetName val="[Spt-BH.xls][Spt-BH_xls]B__5794"/>
      <sheetName val="[Spt-BH.xls][Spt-BH_xls]B__5795"/>
      <sheetName val="[Spt-BH.xls][Spt-BH_xls]B__5796"/>
      <sheetName val="[Spt-BH.xls][Spt-BH_xls]B__5797"/>
      <sheetName val="[Spt-BH.xls][Spt-BH_xls]_S_1919"/>
      <sheetName val="[Spt-BH.xls][Spt-BH.xls]_S_2018"/>
      <sheetName val="[Spt-BH.xls][Spt-BH_xls]B__5798"/>
      <sheetName val="[Spt-BH.xls][Spt-BH_xls]B__5799"/>
      <sheetName val="[Spt-BH.xls][Spt-BH_xls]_S_1920"/>
      <sheetName val="[Spt-BH.xls][Spt-BH_xls]B__5800"/>
      <sheetName val="[Spt-BH.xls][Spt-BH_xls]B__5801"/>
      <sheetName val="[Spt-BH.xls][Spt-BH_xls]_S_1921"/>
      <sheetName val="Basement Budget"/>
      <sheetName val="[Spt-BH.xls][Spt-BH.xls]_S_2027"/>
      <sheetName val="[Spt-BH.xls][Spt-BH.xls]B__5825"/>
      <sheetName val="[Spt-BH.xls][Spt-BH.xls]B__5826"/>
      <sheetName val="[Spt-BH.xls][Spt-BH.xls]_S_2029"/>
      <sheetName val="[Spt-BH.xls][Spt-BH.xls]B__5827"/>
      <sheetName val="[Spt-BH.xls][Spt-BH.xls]B__5828"/>
      <sheetName val="[Spt-BH.xls][Spt-BH.xls]B__5829"/>
      <sheetName val="[Spt-BH.xls][Spt-BH.xls]B__5830"/>
      <sheetName val="[Spt-BH.xls][Spt-BH.xls]_S_2028"/>
      <sheetName val="[Spt-BH.xls][Spt-BH.xls]B__5831"/>
      <sheetName val="[Spt-BH.xls][Spt-BH.xls]B__5832"/>
      <sheetName val="[Spt-BH.xls][Spt-BH.xls]_S_2031"/>
      <sheetName val="[Spt-BH.xls][Spt-BH.xls]B__5833"/>
      <sheetName val="[Spt-BH.xls][Spt-BH.xls]B__5834"/>
      <sheetName val="[Spt-BH.xls][Spt-BH.xls]B__5835"/>
      <sheetName val="[Spt-BH.xls][Spt-BH.xls]B__5836"/>
      <sheetName val="[Spt-BH.xls][Spt-BH.xls]_S_2030"/>
      <sheetName val="[Spt-BH.xls][Spt-BH.xls]B__5838"/>
      <sheetName val="[Spt-BH.xls][Spt-BH.xls]B__5839"/>
      <sheetName val="[Spt-BH.xls][Spt-BH.xls]B__5840"/>
      <sheetName val="[Spt-BH.xls][Spt-BH.xls]B__5841"/>
      <sheetName val="[Spt-BH.xls]B____x005f_x0004______475"/>
      <sheetName val="[Spt-BH.xls]B___x005f_x0000__x000_467"/>
      <sheetName val="[Spt-BH.xls][Spt-BH.xls]B__5842"/>
      <sheetName val="[Spt-BH.xls][Spt-BH.xls]B__5843"/>
      <sheetName val="[Spt-BH.xls][Spt-BH.xls]B__5837"/>
      <sheetName val="[Spt-BH.xls][Spt-BH.xls]_S_2032"/>
      <sheetName val="[Spt-BH.xls][Spt-BH_xls]B__5832"/>
      <sheetName val="[Spt-BH.xls][Spt-BH_xls]B__5833"/>
      <sheetName val="[Spt-BH.xls][Spt-BH_xls]B__5834"/>
      <sheetName val="[Spt-BH.xls][Spt-BH_xls]B__5835"/>
      <sheetName val="[Spt-BH.xls][Spt-BH_xls]_S_1932"/>
      <sheetName val="[Spt-BH.xls][Spt-BH_xls]B__5836"/>
      <sheetName val="[Spt-BH.xls][Spt-BH_xls]B__5837"/>
      <sheetName val="[Spt-BH.xls][Spt-BH_xls]B__5838"/>
      <sheetName val="[Spt-BH.xls][Spt-BH_xls]_S_1933"/>
      <sheetName val="[Spt-BH.xls][Spt-BH_xls]B__5839"/>
      <sheetName val="[Spt-BH.xls][Spt-BH_xls]B__5840"/>
      <sheetName val="[Spt-BH.xls][Spt-BH_xls]B__5841"/>
      <sheetName val="[Spt-BH.xls][Spt-BH_xls]B__5842"/>
      <sheetName val="[Spt-BH.xls][Spt-BH_xls]_S_1934"/>
      <sheetName val="[Spt-BH.xls][Spt-BH_xls]B__5843"/>
      <sheetName val="[Spt-BH.xls][Spt-BH_xls]B__5844"/>
      <sheetName val="[Spt-BH.xls][Spt-BH_xls]_S_1935"/>
      <sheetName val="[Spt-BH.xls][Spt-BH_xls]B__5845"/>
      <sheetName val="[Spt-BH.xls][Spt-BH_xls]B__5846"/>
      <sheetName val="[Spt-BH.xls][Spt-BH_xls]_S_1936"/>
      <sheetName val="[Spt-BH.xls][Spt-BH.xls]B__5850"/>
      <sheetName val="[Spt-BH.xls][Spt-BH.xls]B__5851"/>
      <sheetName val="[Spt-BH.xls][Spt-BH.xls]_S_2037"/>
      <sheetName val="[Spt-BH.xls][Spt-BH.xls]B__5852"/>
      <sheetName val="[Spt-BH.xls][Spt-BH.xls]B__5853"/>
      <sheetName val="[Spt-BH.xls][Spt-BH.xls]B__5854"/>
      <sheetName val="[Spt-BH.xls][Spt-BH.xls]B__5855"/>
      <sheetName val="[Spt-BH.xls][Spt-BH.xls]_S_2036"/>
      <sheetName val="[Spt-BH.xls][Spt-BH.xls]_S_2038"/>
      <sheetName val="[Spt-BH.xls][Spt-BH.xls]B__5856"/>
      <sheetName val="[Spt-BH.xls][Spt-BH.xls]B__5857"/>
      <sheetName val="[Spt-BH.xls][Spt-BH.xls]B__5858"/>
      <sheetName val="[Spt-BH.xls][Spt-BH.xls]B__5859"/>
      <sheetName val="[Spt-BH.xls][Spt-BH.xls]B__5860"/>
      <sheetName val="[Spt-BH.xls][Spt-BH.xls]B__5861"/>
      <sheetName val="[Spt-BH.xls][Spt-BH.xls]_S_2039"/>
      <sheetName val="[Spt-BH.xls][Spt-BH.xls]B__5862"/>
      <sheetName val="[Spt-BH.xls][Spt-BH.xls]B__5863"/>
      <sheetName val="[Spt-BH.xls][Spt-BH.xls]_S_2044"/>
      <sheetName val="[Spt-BH.xls][Spt-BH.xls]B__5864"/>
      <sheetName val="[Spt-BH.xls][Spt-BH.xls]B__5865"/>
      <sheetName val="[Spt-BH.xls][Spt-BH.xls]B__5875"/>
      <sheetName val="[Spt-BH.xls][Spt-BH.xls]B__5876"/>
      <sheetName val="[Spt-BH.xls][Spt-BH.xls]_S_2046"/>
      <sheetName val="[Spt-BH.xls][Spt-BH.xls]B__5877"/>
      <sheetName val="[Spt-BH.xls][Spt-BH.xls]B__5878"/>
      <sheetName val="[Spt-BH.xls]B____x005f_x0004______476"/>
      <sheetName val="[Spt-BH.xls][Spt-BH.xls]B__5866"/>
      <sheetName val="[Spt-BH.xls][Spt-BH.xls]B__5867"/>
      <sheetName val="[Spt-BH.xls]B___x005f_x0000__x000_468"/>
      <sheetName val="[Spt-BH.xls][Spt-BH.xls]B__5879"/>
      <sheetName val="[Spt-BH.xls][Spt-BH.xls]B__5880"/>
      <sheetName val="[Spt-BH.xls][Spt-BH.xls]B__5868"/>
      <sheetName val="[Spt-BH.xls][Spt-BH.xls]_S_2045"/>
      <sheetName val="[Spt-BH.xls][Spt-BH_xls]B__5847"/>
      <sheetName val="[Spt-BH.xls][Spt-BH_xls]B__5848"/>
      <sheetName val="[Spt-BH.xls][Spt-BH_xls]B__5849"/>
      <sheetName val="[Spt-BH.xls][Spt-BH_xls]B__5850"/>
      <sheetName val="[Spt-BH.xls][Spt-BH_xls]_S_1937"/>
      <sheetName val="[Spt-BH.xls][Spt-BH_xls]B__5851"/>
      <sheetName val="[Spt-BH.xls][Spt-BH_xls]B__5852"/>
      <sheetName val="[Spt-BH.xls][Spt-BH_xls]B__5853"/>
      <sheetName val="[Spt-BH.xls][Spt-BH_xls]_S_1938"/>
      <sheetName val="[Spt-BH.xls][Spt-BH_xls]B__5854"/>
      <sheetName val="[Spt-BH.xls][Spt-BH_xls]B__5855"/>
      <sheetName val="[Spt-BH.xls][Spt-BH_xls]B__5856"/>
      <sheetName val="[Spt-BH.xls][Spt-BH_xls]B__5857"/>
      <sheetName val="[Spt-BH.xls][Spt-BH_xls]_S_1939"/>
      <sheetName val="[Spt-BH.xls][Spt-BH.xls]_S_2041"/>
      <sheetName val="[Spt-BH.xls][Spt-BH_xls]B__5858"/>
      <sheetName val="[Spt-BH.xls][Spt-BH_xls]B__5859"/>
      <sheetName val="[Spt-BH.xls][Spt-BH_xls]_S_1940"/>
      <sheetName val="[Spt-BH.xls][Spt-BH_xls]B__5860"/>
      <sheetName val="[Spt-BH.xls][Spt-BH_xls]B__5861"/>
      <sheetName val="[Spt-BH.xls][Spt-BH_xls]_S_1941"/>
      <sheetName val="[Spt-BH.xls][Spt-BH.xls]_S_2042"/>
      <sheetName val="[Spt-BH.xls][Spt-BH.xls]B__5869"/>
      <sheetName val="[Spt-BH.xls][Spt-BH.xls]B__5870"/>
      <sheetName val="[Spt-BH.xls][Spt-BH.xls]B__5871"/>
      <sheetName val="[Spt-BH.xls][Spt-BH.xls]B__5872"/>
      <sheetName val="[Spt-BH.xls][Spt-BH.xls]B__5873"/>
      <sheetName val="[Spt-BH.xls][Spt-BH.xls]B__5874"/>
      <sheetName val="[Spt-BH.xls][Spt-BH.xls]_S_2043"/>
      <sheetName val="[Spt-BH.xls][Spt-BH.xls]_S_2047"/>
      <sheetName val="[Spt-BH.xls][Spt-BH.xls]B__5881"/>
      <sheetName val="[Spt-BH.xls][Spt-BH.xls]B__5882"/>
      <sheetName val="[Spt-BH.xls][Spt-BH.xls]_S_2049"/>
      <sheetName val="[Spt-BH.xls][Spt-BH.xls]B__5883"/>
      <sheetName val="[Spt-BH.xls][Spt-BH.xls]B__5884"/>
      <sheetName val="[Spt-BH.xls][Spt-BH.xls]B__5885"/>
      <sheetName val="[Spt-BH.xls][Spt-BH.xls]B__5886"/>
      <sheetName val="[Spt-BH.xls][Spt-BH.xls]_S_2048"/>
      <sheetName val="[Spt-BH.xls][Spt-BH.xls]_S_2050"/>
      <sheetName val="Direct co_x0006__x0017_ _x000e_  "/>
      <sheetName val="[Spt-BH.xls][Spt-BH.xls]_S_2051"/>
      <sheetName val="[Spt-BH.xls][Spt-BH.xls]B__6077"/>
      <sheetName val="[Spt-BH.xls][Spt-BH.xls]B__6078"/>
      <sheetName val="[Spt-BH.xls][Spt-BH.xls]_S_2134"/>
      <sheetName val="[Spt-BH.xls][Spt-BH.xls]B__6079"/>
      <sheetName val="[Spt-BH.xls][Spt-BH.xls]B__6080"/>
      <sheetName val="[Spt-BH.xls]B____x005f_x0004______493"/>
      <sheetName val="[Spt-BH.xls][Spt-BH.xls]_S_2088"/>
      <sheetName val="[Spt-BH.xls][Spt-BH.xls]B__5963"/>
      <sheetName val="[Spt-BH.xls][Spt-BH.xls]B__5964"/>
      <sheetName val="[Spt-BH.xls][Spt-BH.xls]_S_2090"/>
      <sheetName val="[Spt-BH.xls][Spt-BH.xls]B__5965"/>
      <sheetName val="[Spt-BH.xls][Spt-BH.xls]B__5966"/>
      <sheetName val="[Spt-BH.xls][Spt-BH.xls]B__5967"/>
      <sheetName val="[Spt-BH.xls][Spt-BH.xls]B__5968"/>
      <sheetName val="[Spt-BH.xls][Spt-BH.xls]_S_2089"/>
      <sheetName val="[Spt-BH.xls]B____x005f_x0004______477"/>
      <sheetName val="[Spt-BH.xls]B___x005f_x0000__x000_469"/>
      <sheetName val="[Spt-BH.xls][Spt-BH_xls]B__5862"/>
      <sheetName val="[Spt-BH.xls][Spt-BH_xls]B__5863"/>
      <sheetName val="[Spt-BH.xls][Spt-BH_xls]B__5864"/>
      <sheetName val="[Spt-BH.xls][Spt-BH_xls]B__5865"/>
      <sheetName val="[Spt-BH.xls][Spt-BH_xls]_S_1942"/>
      <sheetName val="[Spt-BH.xls][Spt-BH_xls]B__5866"/>
      <sheetName val="[Spt-BH.xls][Spt-BH_xls]B__5867"/>
      <sheetName val="[Spt-BH.xls][Spt-BH_xls]B__5868"/>
      <sheetName val="[Spt-BH.xls][Spt-BH_xls]_S_1943"/>
      <sheetName val="[Spt-BH.xls][Spt-BH_xls]B__5869"/>
      <sheetName val="[Spt-BH.xls][Spt-BH_xls]B__5870"/>
      <sheetName val="[Spt-BH.xls][Spt-BH_xls]B__5871"/>
      <sheetName val="[Spt-BH.xls][Spt-BH_xls]B__5872"/>
      <sheetName val="[Spt-BH.xls][Spt-BH_xls]_S_1944"/>
      <sheetName val="[Spt-BH.xls][Spt-BH_xls]B__5873"/>
      <sheetName val="[Spt-BH.xls][Spt-BH_xls]B__5874"/>
      <sheetName val="[Spt-BH.xls][Spt-BH_xls]_S_1945"/>
      <sheetName val="[Spt-BH.xls][Spt-BH_xls]B__5875"/>
      <sheetName val="[Spt-BH.xls][Spt-BH_xls]B__5876"/>
      <sheetName val="[Spt-BH.xls][Spt-BH_xls]_S_1946"/>
      <sheetName val="[Spt-BH.xls]B____x005f_x0004______478"/>
      <sheetName val="[Spt-BH.xls]B___x005f_x0000__x000_470"/>
      <sheetName val="[Spt-BH.xls][Spt-BH_xls]B__5877"/>
      <sheetName val="[Spt-BH.xls][Spt-BH_xls]B__5878"/>
      <sheetName val="[Spt-BH.xls][Spt-BH_xls]B__5879"/>
      <sheetName val="[Spt-BH.xls][Spt-BH_xls]B__5880"/>
      <sheetName val="[Spt-BH.xls][Spt-BH_xls]_S_1947"/>
      <sheetName val="[Spt-BH.xls][Spt-BH_xls]B__5881"/>
      <sheetName val="[Spt-BH.xls][Spt-BH_xls]B__5882"/>
      <sheetName val="[Spt-BH.xls][Spt-BH_xls]B__5883"/>
      <sheetName val="[Spt-BH.xls][Spt-BH_xls]_S_1948"/>
      <sheetName val="[Spt-BH.xls][Spt-BH_xls]B__5884"/>
      <sheetName val="[Spt-BH.xls][Spt-BH_xls]B__5885"/>
      <sheetName val="[Spt-BH.xls][Spt-BH_xls]B__5886"/>
      <sheetName val="[Spt-BH.xls][Spt-BH_xls]B__5887"/>
      <sheetName val="[Spt-BH.xls][Spt-BH_xls]_S_1949"/>
      <sheetName val="[Spt-BH.xls][Spt-BH_xls]B__5888"/>
      <sheetName val="[Spt-BH.xls][Spt-BH_xls]B__5889"/>
      <sheetName val="[Spt-BH.xls][Spt-BH_xls]_S_1950"/>
      <sheetName val="[Spt-BH.xls][Spt-BH_xls]B__5890"/>
      <sheetName val="[Spt-BH.xls][Spt-BH_xls]B__5891"/>
      <sheetName val="[Spt-BH.xls][Spt-BH_xls]_S_1951"/>
      <sheetName val="[Spt-BH.xls]B____x005f_x0004______479"/>
      <sheetName val="[Spt-BH.xls]B___x005f_x0000__x000_471"/>
      <sheetName val="[Spt-BH.xls][Spt-BH_xls]B__5892"/>
      <sheetName val="[Spt-BH.xls][Spt-BH_xls]B__5893"/>
      <sheetName val="[Spt-BH.xls][Spt-BH_xls]B__5894"/>
      <sheetName val="[Spt-BH.xls][Spt-BH_xls]B__5895"/>
      <sheetName val="[Spt-BH.xls][Spt-BH_xls]_S_1952"/>
      <sheetName val="[Spt-BH.xls][Spt-BH_xls]B__5896"/>
      <sheetName val="[Spt-BH.xls][Spt-BH_xls]B__5897"/>
      <sheetName val="[Spt-BH.xls][Spt-BH_xls]B__5898"/>
      <sheetName val="[Spt-BH.xls][Spt-BH_xls]_S_1953"/>
      <sheetName val="[Spt-BH.xls][Spt-BH_xls]B__5899"/>
      <sheetName val="[Spt-BH.xls][Spt-BH_xls]B__5900"/>
      <sheetName val="[Spt-BH.xls][Spt-BH_xls]B__5901"/>
      <sheetName val="[Spt-BH.xls][Spt-BH_xls]B__5902"/>
      <sheetName val="[Spt-BH.xls][Spt-BH_xls]_S_1954"/>
      <sheetName val="[Spt-BH.xls][Spt-BH_xls]B__5903"/>
      <sheetName val="[Spt-BH.xls][Spt-BH_xls]B__5904"/>
      <sheetName val="[Spt-BH.xls][Spt-BH_xls]_S_1955"/>
      <sheetName val="[Spt-BH.xls][Spt-BH_xls]B__5905"/>
      <sheetName val="[Spt-BH.xls][Spt-BH_xls]B__5906"/>
      <sheetName val="[Spt-BH.xls][Spt-BH_xls]_S_1956"/>
      <sheetName val="[Spt-BH.xls][Spt-BH.xls]B__5887"/>
      <sheetName val="[Spt-BH.xls][Spt-BH.xls]B__5888"/>
      <sheetName val="[Spt-BH.xls][Spt-BH.xls]B__5889"/>
      <sheetName val="[Spt-BH.xls][Spt-BH.xls]B__5891"/>
      <sheetName val="[Spt-BH.xls][Spt-BH.xls]B__5892"/>
      <sheetName val="[Spt-BH.xls][Spt-BH.xls]_S_2053"/>
      <sheetName val="[Spt-BH.xls][Spt-BH.xls]B__5893"/>
      <sheetName val="[Spt-BH.xls][Spt-BH.xls]B__5894"/>
      <sheetName val="[Spt-BH.xls]B____x005f_x0004______480"/>
      <sheetName val="[Spt-BH.xls]B___x005f_x0000__x000_472"/>
      <sheetName val="[Spt-BH.xls][Spt-BH.xls]B__5895"/>
      <sheetName val="[Spt-BH.xls][Spt-BH.xls]B__5896"/>
      <sheetName val="[Spt-BH.xls][Spt-BH.xls]B__5890"/>
      <sheetName val="[Spt-BH.xls][Spt-BH.xls]_S_2052"/>
      <sheetName val="[Spt-BH.xls][Spt-BH_xls]B__5907"/>
      <sheetName val="[Spt-BH.xls][Spt-BH_xls]B__5908"/>
      <sheetName val="[Spt-BH.xls][Spt-BH_xls]B__5909"/>
      <sheetName val="[Spt-BH.xls][Spt-BH_xls]B__5910"/>
      <sheetName val="[Spt-BH.xls][Spt-BH_xls]_S_1957"/>
      <sheetName val="[Spt-BH.xls][Spt-BH_xls]B__5911"/>
      <sheetName val="[Spt-BH.xls][Spt-BH_xls]B__5912"/>
      <sheetName val="[Spt-BH.xls][Spt-BH_xls]B__5913"/>
      <sheetName val="[Spt-BH.xls][Spt-BH_xls]_S_1958"/>
      <sheetName val="[Spt-BH.xls][Spt-BH_xls]B__5914"/>
      <sheetName val="[Spt-BH.xls][Spt-BH_xls]B__5915"/>
      <sheetName val="[Spt-BH.xls][Spt-BH_xls]B__5916"/>
      <sheetName val="[Spt-BH.xls][Spt-BH_xls]B__5917"/>
      <sheetName val="[Spt-BH.xls][Spt-BH_xls]_S_1959"/>
      <sheetName val="[Spt-BH.xls][Spt-BH_xls]B__5918"/>
      <sheetName val="[Spt-BH.xls][Spt-BH_xls]B__5919"/>
      <sheetName val="[Spt-BH.xls][Spt-BH_xls]_S_1960"/>
      <sheetName val="[Spt-BH.xls][Spt-BH_xls]B__5920"/>
      <sheetName val="[Spt-BH.xls][Spt-BH_xls]B__5921"/>
      <sheetName val="[Spt-BH.xls][Spt-BH_xls]_S_1961"/>
      <sheetName val="[Spt-BH.xls][Spt-BH.xls]_S_2054"/>
      <sheetName val="[Spt-BH.xls][Spt-BH.xls]B__5897"/>
      <sheetName val="[Spt-BH.xls][Spt-BH.xls]B__5898"/>
      <sheetName val="[Spt-BH.xls][Spt-BH.xls]_S_2056"/>
      <sheetName val="[Spt-BH.xls][Spt-BH.xls]B__5899"/>
      <sheetName val="[Spt-BH.xls][Spt-BH.xls]B__5900"/>
      <sheetName val="[Spt-BH.xls][Spt-BH.xls]B__5901"/>
      <sheetName val="[Spt-BH.xls][Spt-BH.xls]B__5902"/>
      <sheetName val="[Spt-BH.xls][Spt-BH.xls]_S_2055"/>
      <sheetName val="[Spt-BH.xls][Spt-BH.xls]_S_2057"/>
      <sheetName val="[Spt-BH.xls][Spt-BH.xls]B__5903"/>
      <sheetName val="[Spt-BH.xls][Spt-BH.xls]B__5904"/>
      <sheetName val="[Spt-BH.xls][Spt-BH.xls]_S_2059"/>
      <sheetName val="[Spt-BH.xls][Spt-BH.xls]B__5905"/>
      <sheetName val="[Spt-BH.xls][Spt-BH.xls]B__5906"/>
      <sheetName val="[Spt-BH.xls][Spt-BH.xls]B__5907"/>
      <sheetName val="[Spt-BH.xls][Spt-BH.xls]B__5908"/>
      <sheetName val="[Spt-BH.xls][Spt-BH.xls]_S_2058"/>
      <sheetName val="[Spt-BH.xls][Spt-BH.xls]_S_2061"/>
      <sheetName val="[Spt-BH.xls][Spt-BH.xls]_S_2060"/>
      <sheetName val="[Spt-BH.xls][Spt-BH.xls]_S_2062"/>
      <sheetName val="[Spt-BH.xls][Spt-BH.xls]B__5909"/>
      <sheetName val="[Spt-BH.xls][Spt-BH.xls]B__5910"/>
      <sheetName val="[Spt-BH.xls][Spt-BH.xls]_S_2064"/>
      <sheetName val="[Spt-BH.xls][Spt-BH.xls]B__5911"/>
      <sheetName val="[Spt-BH.xls][Spt-BH.xls]B__5912"/>
      <sheetName val="[Spt-BH.xls][Spt-BH.xls]B__5913"/>
      <sheetName val="[Spt-BH.xls][Spt-BH.xls]B__5914"/>
      <sheetName val="[Spt-BH.xls][Spt-BH.xls]_S_2063"/>
      <sheetName val="[Spt-BH.xls][Spt-BH.xls]_S_2067"/>
      <sheetName val="[Spt-BH.xls][Spt-BH.xls]B__5921"/>
      <sheetName val="[Spt-BH.xls][Spt-BH.xls]B__5922"/>
      <sheetName val="[Spt-BH.xls][Spt-BH.xls]_S_2069"/>
      <sheetName val="[Spt-BH.xls][Spt-BH.xls]B__5923"/>
      <sheetName val="[Spt-BH.xls][Spt-BH.xls]B__5924"/>
      <sheetName val="[Spt-BH.xls][Spt-BH.xls]B__5925"/>
      <sheetName val="[Spt-BH.xls][Spt-BH.xls]B__5926"/>
      <sheetName val="[Spt-BH.xls][Spt-BH.xls]_S_2068"/>
      <sheetName val="[Spt-BH.xls][Spt-BH.xls]_S_2065"/>
      <sheetName val="[Spt-BH.xls][Spt-BH.xls]B__5915"/>
      <sheetName val="[Spt-BH.xls][Spt-BH.xls]B__5916"/>
      <sheetName val="[Spt-BH.xls][Spt-BH.xls]B__5917"/>
      <sheetName val="[Spt-BH.xls][Spt-BH.xls]B__5918"/>
      <sheetName val="[Spt-BH.xls][Spt-BH.xls]B__5919"/>
      <sheetName val="[Spt-BH.xls][Spt-BH.xls]B__5920"/>
      <sheetName val="[Spt-BH.xls][Spt-BH.xls]_S_2066"/>
      <sheetName val="[Spt-BH.xls][Spt-BH.xls]_S_2072"/>
      <sheetName val="[Spt-BH.xls][Spt-BH.xls]B__5933"/>
      <sheetName val="[Spt-BH.xls][Spt-BH.xls]B__5934"/>
      <sheetName val="[Spt-BH.xls][Spt-BH.xls]_S_2074"/>
      <sheetName val="[Spt-BH.xls][Spt-BH.xls]B__5935"/>
      <sheetName val="[Spt-BH.xls][Spt-BH.xls]B__5936"/>
      <sheetName val="[Spt-BH.xls][Spt-BH.xls]B__5937"/>
      <sheetName val="[Spt-BH.xls][Spt-BH.xls]B__5938"/>
      <sheetName val="[Spt-BH.xls][Spt-BH.xls]_S_2073"/>
      <sheetName val="[Spt-BH.xls][Spt-BH.xls]_S_2070"/>
      <sheetName val="[Spt-BH.xls][Spt-BH.xls]B__5927"/>
      <sheetName val="[Spt-BH.xls][Spt-BH.xls]B__5928"/>
      <sheetName val="[Spt-BH.xls][Spt-BH.xls]B__5929"/>
      <sheetName val="[Spt-BH.xls][Spt-BH.xls]B__5930"/>
      <sheetName val="[Spt-BH.xls][Spt-BH.xls]B__5931"/>
      <sheetName val="[Spt-BH.xls][Spt-BH.xls]B__5932"/>
      <sheetName val="[Spt-BH.xls][Spt-BH.xls]_S_2071"/>
      <sheetName val="[Spt-BH.xls][Spt-BH.xls]_S_2076"/>
      <sheetName val="[Spt-BH.xls][Spt-BH.xls]_S_2075"/>
      <sheetName val="[Spt-BH.xls][Spt-BH.xls]_S_2078"/>
      <sheetName val="[Spt-BH.xls][Spt-BH.xls]_S_2077"/>
      <sheetName val="[Spt-BH.xls][Spt-BH.xls]_S_2079"/>
      <sheetName val="[Spt-BH.xls][Spt-BH.xls]B__5939"/>
      <sheetName val="[Spt-BH.xls][Spt-BH.xls]B__5940"/>
      <sheetName val="[Spt-BH.xls][Spt-BH.xls]_S_2081"/>
      <sheetName val="[Spt-BH.xls][Spt-BH.xls]B__5941"/>
      <sheetName val="[Spt-BH.xls][Spt-BH.xls]B__5942"/>
      <sheetName val="[Spt-BH.xls][Spt-BH.xls]B__5943"/>
      <sheetName val="[Spt-BH.xls][Spt-BH.xls]B__5944"/>
      <sheetName val="[Spt-BH.xls][Spt-BH.xls]_S_2080"/>
      <sheetName val="[Spt-BH.xls][Spt-BH.xls]B__5945"/>
      <sheetName val="[Spt-BH.xls][Spt-BH.xls]B__5946"/>
      <sheetName val="[Spt-BH.xls][Spt-BH.xls]B__5947"/>
      <sheetName val="[Spt-BH.xls][Spt-BH.xls]B__5948"/>
      <sheetName val="[Spt-BH.xls][Spt-BH.xls]B__5949"/>
      <sheetName val="[Spt-BH.xls][Spt-BH.xls]B__5950"/>
      <sheetName val="[Spt-BH.xls][Spt-BH.xls]_S_2082"/>
      <sheetName val="[Spt-BH.xls][Spt-BH.xls]_S_2085"/>
      <sheetName val="[Spt-BH.xls][Spt-BH.xls]B__5957"/>
      <sheetName val="[Spt-BH.xls][Spt-BH.xls]B__5958"/>
      <sheetName val="[Spt-BH.xls][Spt-BH.xls]_S_2087"/>
      <sheetName val="[Spt-BH.xls][Spt-BH.xls]B__5959"/>
      <sheetName val="[Spt-BH.xls][Spt-BH.xls]B__5960"/>
      <sheetName val="[Spt-BH.xls][Spt-BH.xls]B__5961"/>
      <sheetName val="[Spt-BH.xls][Spt-BH.xls]B__5962"/>
      <sheetName val="[Spt-BH.xls][Spt-BH.xls]_S_2086"/>
      <sheetName val="[Spt-BH.xls][Spt-BH.xls]_S_2083"/>
      <sheetName val="[Spt-BH.xls][Spt-BH.xls]B__5951"/>
      <sheetName val="[Spt-BH.xls][Spt-BH.xls]B__5952"/>
      <sheetName val="[Spt-BH.xls][Spt-BH.xls]B__5953"/>
      <sheetName val="[Spt-BH.xls][Spt-BH.xls]B__5954"/>
      <sheetName val="[Spt-BH.xls][Spt-BH.xls]B__5955"/>
      <sheetName val="[Spt-BH.xls][Spt-BH.xls]B__5956"/>
      <sheetName val="[Spt-BH.xls][Spt-BH.xls]_S_2084"/>
      <sheetName val="[Spt-BH.xls][Spt-BH.xls]_S_2092"/>
      <sheetName val="[Spt-BH.xls][Spt-BH.xls]B__5977"/>
      <sheetName val="[Spt-BH.xls][Spt-BH.xls]B__5978"/>
      <sheetName val="[Spt-BH.xls][Spt-BH.xls]_S_2094"/>
      <sheetName val="[Spt-BH.xls][Spt-BH.xls]B__5979"/>
      <sheetName val="[Spt-BH.xls][Spt-BH.xls]B__5980"/>
      <sheetName val="[Spt-BH.xls]B____x005f_x0004______481"/>
      <sheetName val="[Spt-BH.xls]B___x005f_x0000__x000_473"/>
      <sheetName val="[Spt-BH.xls][Spt-BH.xls]B__5981"/>
      <sheetName val="[Spt-BH.xls][Spt-BH.xls]B__5982"/>
      <sheetName val="[Spt-BH.xls][Spt-BH.xls]B__5969"/>
      <sheetName val="[Spt-BH.xls][Spt-BH.xls]_S_2093"/>
      <sheetName val="[Spt-BH.xls][Spt-BH_xls]B__5922"/>
      <sheetName val="[Spt-BH.xls][Spt-BH_xls]B__5923"/>
      <sheetName val="[Spt-BH.xls][Spt-BH_xls]B__5924"/>
      <sheetName val="[Spt-BH.xls][Spt-BH_xls]B__5925"/>
      <sheetName val="[Spt-BH.xls][Spt-BH_xls]_S_1962"/>
      <sheetName val="[Spt-BH.xls][Spt-BH_xls]B__5926"/>
      <sheetName val="[Spt-BH.xls][Spt-BH_xls]B__5927"/>
      <sheetName val="[Spt-BH.xls][Spt-BH_xls]B__5928"/>
      <sheetName val="[Spt-BH.xls][Spt-BH_xls]_S_1963"/>
      <sheetName val="[Spt-BH.xls][Spt-BH_xls]B__5929"/>
      <sheetName val="[Spt-BH.xls][Spt-BH_xls]B__5930"/>
      <sheetName val="[Spt-BH.xls][Spt-BH_xls]B__5931"/>
      <sheetName val="[Spt-BH.xls][Spt-BH_xls]B__5932"/>
      <sheetName val="[Spt-BH.xls][Spt-BH_xls]_S_1964"/>
      <sheetName val="[Spt-BH.xls][Spt-BH_xls]B__5933"/>
      <sheetName val="[Spt-BH.xls][Spt-BH_xls]B__5934"/>
      <sheetName val="[Spt-BH.xls][Spt-BH_xls]_S_1965"/>
      <sheetName val="[Spt-BH.xls][Spt-BH_xls]B__5935"/>
      <sheetName val="[Spt-BH.xls][Spt-BH_xls]B__5936"/>
      <sheetName val="[Spt-BH.xls][Spt-BH_xls]_S_1966"/>
      <sheetName val="[Spt-BH.xls][Spt-BH.xls]B__5984"/>
      <sheetName val="[Spt-BH.xls][Spt-BH.xls]B__5985"/>
      <sheetName val="[Spt-BH.xls][Spt-BH.xls]_S_2097"/>
      <sheetName val="[Spt-BH.xls][Spt-BH.xls]B__5986"/>
      <sheetName val="[Spt-BH.xls][Spt-BH.xls]B__5987"/>
      <sheetName val="[Spt-BH.xls]B____x005f_x0004______483"/>
      <sheetName val="[Spt-BH.xls]B___x005f_x0000__x000_475"/>
      <sheetName val="[Spt-BH.xls][Spt-BH.xls]B__5988"/>
      <sheetName val="[Spt-BH.xls][Spt-BH.xls]B__5989"/>
      <sheetName val="[Spt-BH.xls][Spt-BH.xls]B__5983"/>
      <sheetName val="[Spt-BH.xls][Spt-BH.xls]_S_2095"/>
      <sheetName val="[Spt-BH.xls][Spt-BH_xls]B__5952"/>
      <sheetName val="[Spt-BH.xls][Spt-BH_xls]B__5953"/>
      <sheetName val="[Spt-BH.xls][Spt-BH_xls]B__5954"/>
      <sheetName val="[Spt-BH.xls][Spt-BH_xls]B__5955"/>
      <sheetName val="[Spt-BH.xls][Spt-BH_xls]_S_1972"/>
      <sheetName val="[Spt-BH.xls][Spt-BH_xls]B__5956"/>
      <sheetName val="[Spt-BH.xls][Spt-BH_xls]B__5957"/>
      <sheetName val="[Spt-BH.xls][Spt-BH_xls]B__5958"/>
      <sheetName val="[Spt-BH.xls][Spt-BH_xls]_S_1973"/>
      <sheetName val="[Spt-BH.xls][Spt-BH_xls]B__5959"/>
      <sheetName val="[Spt-BH.xls][Spt-BH_xls]B__5960"/>
      <sheetName val="[Spt-BH.xls][Spt-BH_xls]B__5961"/>
      <sheetName val="[Spt-BH.xls][Spt-BH_xls]B__5962"/>
      <sheetName val="[Spt-BH.xls][Spt-BH_xls]_S_1974"/>
      <sheetName val="[Spt-BH.xls][Spt-BH_xls]B__5963"/>
      <sheetName val="[Spt-BH.xls][Spt-BH_xls]B__5964"/>
      <sheetName val="[Spt-BH.xls][Spt-BH_xls]_S_1975"/>
      <sheetName val="[Spt-BH.xls][Spt-BH_xls]B__5965"/>
      <sheetName val="[Spt-BH.xls][Spt-BH_xls]B__5966"/>
      <sheetName val="[Spt-BH.xls][Spt-BH_xls]_S_1976"/>
      <sheetName val="[Spt-BH.xls][Spt-BH.xls]B__5970"/>
      <sheetName val="[Spt-BH.xls][Spt-BH.xls]B__5971"/>
      <sheetName val="[Spt-BH.xls][Spt-BH.xls]B__5972"/>
      <sheetName val="[Spt-BH.xls][Spt-BH.xls]B__5973"/>
      <sheetName val="[Spt-BH.xls][Spt-BH.xls]B__5974"/>
      <sheetName val="[Spt-BH.xls][Spt-BH.xls]B__5975"/>
      <sheetName val="[Spt-BH.xls][Spt-BH.xls]_S_2091"/>
      <sheetName val="[Spt-BH.xls]B____x005f_x0004______482"/>
      <sheetName val="[Spt-BH.xls]B___x005f_x0000__x000_474"/>
      <sheetName val="[Spt-BH.xls][Spt-BH.xls]B__5976"/>
      <sheetName val="[Spt-BH.xls][Spt-BH_xls]B__5937"/>
      <sheetName val="[Spt-BH.xls][Spt-BH_xls]B__5938"/>
      <sheetName val="[Spt-BH.xls][Spt-BH_xls]B__5939"/>
      <sheetName val="[Spt-BH.xls][Spt-BH_xls]B__5940"/>
      <sheetName val="[Spt-BH.xls][Spt-BH_xls]_S_1967"/>
      <sheetName val="[Spt-BH.xls][Spt-BH_xls]B__5941"/>
      <sheetName val="[Spt-BH.xls][Spt-BH_xls]B__5942"/>
      <sheetName val="[Spt-BH.xls][Spt-BH_xls]B__5943"/>
      <sheetName val="[Spt-BH.xls][Spt-BH_xls]_S_1968"/>
      <sheetName val="[Spt-BH.xls][Spt-BH_xls]B__5944"/>
      <sheetName val="[Spt-BH.xls][Spt-BH_xls]B__5945"/>
      <sheetName val="[Spt-BH.xls][Spt-BH_xls]B__5946"/>
      <sheetName val="[Spt-BH.xls][Spt-BH_xls]B__5947"/>
      <sheetName val="[Spt-BH.xls][Spt-BH_xls]_S_1969"/>
      <sheetName val="[Spt-BH.xls][Spt-BH_xls]B__5948"/>
      <sheetName val="[Spt-BH.xls][Spt-BH_xls]B__5949"/>
      <sheetName val="[Spt-BH.xls][Spt-BH_xls]_S_1970"/>
      <sheetName val="[Spt-BH.xls][Spt-BH_xls]B__5950"/>
      <sheetName val="[Spt-BH.xls][Spt-BH_xls]B__5951"/>
      <sheetName val="[Spt-BH.xls][Spt-BH_xls]_S_1971"/>
      <sheetName val="[Spt-BH.xls][Spt-BH.xls]_S_2096"/>
      <sheetName val="[Spt-BH.xls][Spt-BH.xls]B__5991"/>
      <sheetName val="[Spt-BH.xls][Spt-BH.xls]B__5992"/>
      <sheetName val="[Spt-BH.xls][Spt-BH.xls]_S_2098"/>
      <sheetName val="[Spt-BH.xls][Spt-BH.xls]B__5993"/>
      <sheetName val="[Spt-BH.xls][Spt-BH.xls]B__5994"/>
      <sheetName val="[Spt-BH.xls]B____x005f_x0004______484"/>
      <sheetName val="[Spt-BH.xls]B___x005f_x0000__x000_476"/>
      <sheetName val="[Spt-BH.xls][Spt-BH.xls]B__5995"/>
      <sheetName val="[Spt-BH.xls][Spt-BH.xls]B__5996"/>
      <sheetName val="[Spt-BH.xls][Spt-BH.xls]B__5990"/>
      <sheetName val="[Spt-BH.xls][Spt-BH_xls]B__5967"/>
      <sheetName val="[Spt-BH.xls][Spt-BH_xls]B__5968"/>
      <sheetName val="[Spt-BH.xls][Spt-BH_xls]B__5969"/>
      <sheetName val="[Spt-BH.xls][Spt-BH_xls]B__5970"/>
      <sheetName val="[Spt-BH.xls][Spt-BH_xls]_S_1977"/>
      <sheetName val="[Spt-BH.xls][Spt-BH_xls]B__5971"/>
      <sheetName val="[Spt-BH.xls][Spt-BH_xls]B__5972"/>
      <sheetName val="[Spt-BH.xls][Spt-BH_xls]B__5973"/>
      <sheetName val="[Spt-BH.xls][Spt-BH_xls]_S_1978"/>
      <sheetName val="[Spt-BH.xls][Spt-BH_xls]B__5974"/>
      <sheetName val="[Spt-BH.xls][Spt-BH_xls]B__5975"/>
      <sheetName val="[Spt-BH.xls][Spt-BH_xls]B__5976"/>
      <sheetName val="[Spt-BH.xls][Spt-BH_xls]B__5977"/>
      <sheetName val="[Spt-BH.xls][Spt-BH_xls]_S_1979"/>
      <sheetName val="[Spt-BH.xls][Spt-BH_xls]B__5978"/>
      <sheetName val="[Spt-BH.xls][Spt-BH_xls]B__5979"/>
      <sheetName val="[Spt-BH.xls][Spt-BH_xls]_S_1980"/>
      <sheetName val="[Spt-BH.xls][Spt-BH_xls]B__5980"/>
      <sheetName val="[Spt-BH.xls][Spt-BH_xls]B__5981"/>
      <sheetName val="[Spt-BH.xls][Spt-BH_xls]_S_1981"/>
      <sheetName val="[Spt-BH.xls][Spt-BH.xls]_S_2100"/>
      <sheetName val="[Spt-BH.xls][Spt-BH.xls]B__5997"/>
      <sheetName val="[Spt-BH.xls][Spt-BH.xls]B__5998"/>
      <sheetName val="[Spt-BH.xls][Spt-BH.xls]_S_2102"/>
      <sheetName val="[Spt-BH.xls][Spt-BH.xls]B__5999"/>
      <sheetName val="[Spt-BH.xls][Spt-BH.xls]B__6000"/>
      <sheetName val="[Spt-BH.xls][Spt-BH.xls]B__6001"/>
      <sheetName val="[Spt-BH.xls][Spt-BH.xls]B__6002"/>
      <sheetName val="[Spt-BH.xls][Spt-BH.xls]_S_2101"/>
      <sheetName val="[Spt-BH.xls][Spt-BH.xls]B__6004"/>
      <sheetName val="[Spt-BH.xls][Spt-BH.xls]B__6005"/>
      <sheetName val="[Spt-BH.xls][Spt-BH.xls]_S_2104"/>
      <sheetName val="[Spt-BH.xls][Spt-BH.xls]B__6006"/>
      <sheetName val="[Spt-BH.xls][Spt-BH.xls]B__6007"/>
      <sheetName val="[Spt-BH.xls]B____x005f_x0004______485"/>
      <sheetName val="[Spt-BH.xls]B___x005f_x0000__x000_477"/>
      <sheetName val="[Spt-BH.xls][Spt-BH.xls]B__6008"/>
      <sheetName val="[Spt-BH.xls][Spt-BH.xls]B__6009"/>
      <sheetName val="[Spt-BH.xls][Spt-BH.xls]B__6003"/>
      <sheetName val="[Spt-BH.xls][Spt-BH.xls]_S_2103"/>
      <sheetName val="[Spt-BH.xls][Spt-BH_xls]B__5982"/>
      <sheetName val="[Spt-BH.xls][Spt-BH_xls]B__5983"/>
      <sheetName val="[Spt-BH.xls][Spt-BH_xls]B__5984"/>
      <sheetName val="[Spt-BH.xls][Spt-BH_xls]B__5985"/>
      <sheetName val="[Spt-BH.xls][Spt-BH_xls]_S_1982"/>
      <sheetName val="[Spt-BH.xls][Spt-BH_xls]B__5986"/>
      <sheetName val="[Spt-BH.xls][Spt-BH_xls]B__5987"/>
      <sheetName val="[Spt-BH.xls][Spt-BH_xls]B__5988"/>
      <sheetName val="[Spt-BH.xls][Spt-BH_xls]_S_1983"/>
      <sheetName val="[Spt-BH.xls][Spt-BH_xls]B__5989"/>
      <sheetName val="[Spt-BH.xls][Spt-BH_xls]B__5990"/>
      <sheetName val="[Spt-BH.xls][Spt-BH_xls]B__5991"/>
      <sheetName val="[Spt-BH.xls][Spt-BH_xls]B__5992"/>
      <sheetName val="[Spt-BH.xls][Spt-BH_xls]_S_1984"/>
      <sheetName val="[Spt-BH.xls][Spt-BH_xls]B__5993"/>
      <sheetName val="[Spt-BH.xls][Spt-BH_xls]B__5994"/>
      <sheetName val="[Spt-BH.xls][Spt-BH_xls]_S_1985"/>
      <sheetName val="[Spt-BH.xls][Spt-BH_xls]B__5995"/>
      <sheetName val="[Spt-BH.xls][Spt-BH_xls]B__5996"/>
      <sheetName val="[Spt-BH.xls][Spt-BH_xls]_S_1986"/>
      <sheetName val="[Spt-BH.xls][Spt-BH.xls]_S_2099"/>
      <sheetName val="[Spt-BH.xls][Spt-BH.xls]_S_2105"/>
      <sheetName val="[Spt-BH.xls][Spt-BH.xls]_S_2106"/>
      <sheetName val="[Spt-BH.xls][Spt-BH.xls]B__6010"/>
      <sheetName val="[Spt-BH.xls][Spt-BH.xls]B__6011"/>
      <sheetName val="[Spt-BH.xls][Spt-BH.xls]_S_2109"/>
      <sheetName val="[Spt-BH.xls][Spt-BH.xls]B__6012"/>
      <sheetName val="[Spt-BH.xls][Spt-BH.xls]B__6013"/>
      <sheetName val="[Spt-BH.xls][Spt-BH.xls]B__6017"/>
      <sheetName val="[Spt-BH.xls][Spt-BH.xls]B__6018"/>
      <sheetName val="[Spt-BH.xls][Spt-BH.xls]_S_2111"/>
      <sheetName val="[Spt-BH.xls][Spt-BH.xls]B__6019"/>
      <sheetName val="[Spt-BH.xls][Spt-BH.xls]B__6020"/>
      <sheetName val="[Spt-BH.xls]B____x005f_x0004______486"/>
      <sheetName val="[Spt-BH.xls]B___x005f_x0000__x000_478"/>
      <sheetName val="[Spt-BH.xls][Spt-BH.xls]B__6021"/>
      <sheetName val="[Spt-BH.xls][Spt-BH.xls]B__6022"/>
      <sheetName val="[Spt-BH.xls][Spt-BH.xls]_S_2107"/>
      <sheetName val="[Spt-BH.xls][Spt-BH.xls]B__6014"/>
      <sheetName val="[Spt-BH.xls][Spt-BH.xls]B__6015"/>
      <sheetName val="[Spt-BH.xls][Spt-BH.xls]B__6016"/>
      <sheetName val="[Spt-BH.xls][Spt-BH.xls]_S_2108"/>
      <sheetName val="[Spt-BH.xls][Spt-BH.xls]_S_2110"/>
      <sheetName val="[Spt-BH.xls][Spt-BH_xls]B__5997"/>
      <sheetName val="[Spt-BH.xls][Spt-BH_xls]B__5998"/>
      <sheetName val="[Spt-BH.xls][Spt-BH_xls]B__5999"/>
      <sheetName val="[Spt-BH.xls][Spt-BH_xls]B__6000"/>
      <sheetName val="[Spt-BH.xls][Spt-BH_xls]_S_1987"/>
      <sheetName val="[Spt-BH.xls][Spt-BH_xls]B__6001"/>
      <sheetName val="[Spt-BH.xls][Spt-BH_xls]B__6002"/>
      <sheetName val="[Spt-BH.xls][Spt-BH_xls]B__6003"/>
      <sheetName val="[Spt-BH.xls][Spt-BH_xls]_S_1988"/>
      <sheetName val="[Spt-BH.xls][Spt-BH_xls]B__6004"/>
      <sheetName val="[Spt-BH.xls][Spt-BH_xls]B__6005"/>
      <sheetName val="[Spt-BH.xls][Spt-BH_xls]B__6006"/>
      <sheetName val="[Spt-BH.xls][Spt-BH_xls]B__6007"/>
      <sheetName val="[Spt-BH.xls][Spt-BH_xls]_S_1989"/>
      <sheetName val="[Spt-BH.xls][Spt-BH_xls]B__6008"/>
      <sheetName val="[Spt-BH.xls][Spt-BH_xls]B__6009"/>
      <sheetName val="[Spt-BH.xls][Spt-BH_xls]_S_1990"/>
      <sheetName val="[Spt-BH.xls][Spt-BH_xls]B__6010"/>
      <sheetName val="[Spt-BH.xls][Spt-BH_xls]B__6011"/>
      <sheetName val="[Spt-BH.xls][Spt-BH_xls]_S_1991"/>
      <sheetName val="[Spt-BH.xls][Spt-BH.xls]_S_2123"/>
      <sheetName val="[Spt-BH.xls][Spt-BH.xls]B__6071"/>
      <sheetName val="[Spt-BH.xls][Spt-BH.xls]B__6072"/>
      <sheetName val="[Spt-BH.xls][Spt-BH.xls]_S_2126"/>
      <sheetName val="[Spt-BH.xls][Spt-BH.xls]B__6073"/>
      <sheetName val="[Spt-BH.xls][Spt-BH.xls]B__6074"/>
      <sheetName val="[Spt-BH.xls]B____x005f_x0004______492"/>
      <sheetName val="[Spt-BH.xls]B___x005f_x0000__x000_484"/>
      <sheetName val="[Spt-BH.xls][Spt-BH.xls]B__6075"/>
      <sheetName val="[Spt-BH.xls][Spt-BH.xls]B__6064"/>
      <sheetName val="[Spt-BH.xls][Spt-BH.xls]B__6065"/>
      <sheetName val="[Spt-BH.xls][Spt-BH.xls]_S_2125"/>
      <sheetName val="[Spt-BH.xls][Spt-BH.xls]B__6066"/>
      <sheetName val="[Spt-BH.xls][Spt-BH.xls]B__6067"/>
      <sheetName val="[Spt-BH.xls][Spt-BH.xls]B__6076"/>
      <sheetName val="[Spt-BH.xls][Spt-BH.xls]B__6068"/>
      <sheetName val="[Spt-BH.xls][Spt-BH.xls]B__6069"/>
      <sheetName val="_Spt-BH.xls__Spt-BH.xls_B___122"/>
      <sheetName val="_Spt-BH.xls__Spt-BH.xls_B___123"/>
      <sheetName val="_Spt-BH.xls__Spt-BH.xls__Spt_44"/>
      <sheetName val="_Spt-BH.xls__Spt-BH.xls_B___124"/>
      <sheetName val="_Spt-BH.xls__Spt-BH.xls_B___125"/>
      <sheetName val="_Spt-BH.xls__Spt-BH.xls_B___126"/>
      <sheetName val="_Spt-BH.xls_B____x005f_x0004_______12"/>
      <sheetName val="_Spt-BH.xls_B___x005f_x0000__x005f_x0004_12"/>
      <sheetName val="_Spt-BH.xls__Spt-BH.xls_B___115"/>
      <sheetName val="_Spt-BH.xls__Spt-BH.xls_B___116"/>
      <sheetName val="_Spt-BH.xls__Spt-BH.xls__Spt_42"/>
      <sheetName val="_Spt-BH.xls__Spt-BH.xls_B___117"/>
      <sheetName val="_Spt-BH.xls__Spt-BH.xls_B___118"/>
      <sheetName val="_Spt-BH.xls__Spt-BH.xls_B___119"/>
      <sheetName val="_Spt-BH.xls__Spt-BH.xls_B___127"/>
      <sheetName val="_Spt-BH.xls__Spt-BH.xls_B___120"/>
      <sheetName val="_Spt-BH.xls__Spt-BH.xls_B___121"/>
      <sheetName val="_Spt-BH.xls__Spt-BH.xls__Spt_43"/>
      <sheetName val="_Spt-BH.xls__Spt-BH_xls_B____22"/>
      <sheetName val="_Spt-BH.xls__Spt-BH_xls_B____23"/>
      <sheetName val="_Spt-BH.xls__Spt-BH.xls__Spt_41"/>
      <sheetName val="_Spt-BH.xls__Spt-BH.xls__Spt_39"/>
      <sheetName val="_Spt-BH.xls__Spt-BH.xls_B___135"/>
      <sheetName val="_Spt-BH.xls__Spt-BH.xls_B___136"/>
      <sheetName val="_Spt-BH.xls__Spt-BH.xls__Spt_49"/>
      <sheetName val="_Spt-BH.xls__Spt-BH.xls_B___137"/>
      <sheetName val="_Spt-BH.xls__Spt-BH.xls_B___138"/>
      <sheetName val="_Spt-BH.xls__Spt-BH.xls_B___139"/>
      <sheetName val="_Spt-BH.xls_B____x005f_x0004_______13"/>
      <sheetName val="_Spt-BH.xls_B___x005f_x0000__x005f_x0004_13"/>
      <sheetName val="_Spt-BH.xls__Spt-BH.xls_B___140"/>
      <sheetName val="_Spt-BH.xls__Spt-BH.xls_B___128"/>
      <sheetName val="_Spt-BH.xls__Spt-BH.xls_B___129"/>
      <sheetName val="_Spt-BH.xls__Spt-BH.xls__Spt_47"/>
      <sheetName val="_Spt-BH.xls__Spt-BH.xls_B___130"/>
      <sheetName val="_Spt-BH.xls__Spt-BH.xls_B___131"/>
      <sheetName val="_Spt-BH.xls__Spt-BH.xls_B___132"/>
      <sheetName val="_Spt-BH.xls__Spt-BH.xls__Spt_45"/>
      <sheetName val="_Spt-BH.xls__Spt-BH.xls_B___133"/>
      <sheetName val="_Spt-BH.xls__Spt-BH.xls_B___134"/>
      <sheetName val="_Spt-BH.xls__Spt-BH.xls__Spt_48"/>
      <sheetName val="_Spt-BH.xls__Spt-BH_xls_B____24"/>
      <sheetName val="_Spt-BH.xls__Spt-BH_xls_B____25"/>
      <sheetName val="_Spt-BH.xls__Spt-BH.xls__Spt_46"/>
      <sheetName val="_Spt-BH.xls__Spt-BH_xls__Spt__2"/>
      <sheetName val="_Spt-BH.xls__Spt-BH_xls_B____26"/>
      <sheetName val="_Spt-BH.xls__Spt-BH_xls_B____27"/>
      <sheetName val="_Spt-BH.xls__Spt-BH_xls_B____28"/>
      <sheetName val="_Spt-BH.xls__Spt-BH_xls__Spt__3"/>
      <sheetName val="_Spt-BH.xls__Spt-BH.xls_B___143"/>
      <sheetName val="_Spt-BH.xls__Spt-BH.xls__Spt_53"/>
      <sheetName val="_Spt-BH.xls__Spt-BH.xls_B___144"/>
      <sheetName val="_Spt-BH.xls__Spt-BH.xls_B___145"/>
      <sheetName val="_Spt-BH.xls_B____x005f_x0004_______15"/>
      <sheetName val="_Spt-BH.xls_B___x005f_x0000__x005f_x0004_15"/>
      <sheetName val="_Spt-BH.xls__Spt-BH.xls__Spt_51"/>
      <sheetName val="_Spt-BH.xls__Spt-BH.xls_B___146"/>
      <sheetName val="_Spt-BH.xls__Spt-BH.xls_B___141"/>
      <sheetName val="_Spt-BH.xls__Spt-BH.xls_B___142"/>
      <sheetName val="_Spt-BH.xls__Spt-BH.xls__Spt_52"/>
      <sheetName val="_Spt-BH.xls__Spt-BH_xls_B____34"/>
      <sheetName val="_Spt-BH.xls__Spt-BH_xls_B____35"/>
      <sheetName val="_Spt-BH.xls__Spt-BH.xls__Spt_50"/>
      <sheetName val="_Spt-BH.xls__Spt-BH_xls__Spt__6"/>
      <sheetName val="_Spt-BH.xls__Spt-BH_xls_B____36"/>
      <sheetName val="_Spt-BH.xls__Spt-BH_xls_B____37"/>
      <sheetName val="_Spt-BH.xls__Spt-BH_xls_B____38"/>
      <sheetName val="_Spt-BH.xls__Spt-BH_xls__Spt__7"/>
      <sheetName val="_Spt-BH.xls_B____x005f_x0004_______14"/>
      <sheetName val="_Spt-BH.xls_B___x005f_x0000__x005f_x0004_14"/>
      <sheetName val="_Spt-BH.xls__Spt-BH_xls_B____29"/>
      <sheetName val="_Spt-BH.xls__Spt-BH_xls_B____30"/>
      <sheetName val="_Spt-BH.xls__Spt-BH_xls__Spt__4"/>
      <sheetName val="_Spt-BH.xls__Spt-BH_xls_B____31"/>
      <sheetName val="_Spt-BH.xls__Spt-BH_xls_B____32"/>
      <sheetName val="_Spt-BH.xls__Spt-BH_xls_B____33"/>
      <sheetName val="_Spt-BH.xls__Spt-BH_xls__Spt__5"/>
      <sheetName val="ABB"/>
      <sheetName val="GE"/>
      <sheetName val="CAUSTIC"/>
      <sheetName val="[Spt-BH.xls][Spt-BH.xls]B__6070"/>
      <sheetName val="[Spt-BH.xls][Spt-BH.xls]_S_2124"/>
      <sheetName val="[Spt-BH.xls][Spt-BH.xls]_S_2112"/>
      <sheetName val="[Spt-BH.xls][Spt-BH.xls]B__6030"/>
      <sheetName val="[Spt-BH.xls][Spt-BH.xls]B__6031"/>
      <sheetName val="[Spt-BH.xls][Spt-BH.xls]B__6032"/>
      <sheetName val="[Spt-BH.xls][Spt-BH.xls]B__6033"/>
      <sheetName val="[Spt-BH.xls]B____x005f_x0004______487"/>
      <sheetName val="[Spt-BH.xls]B___x005f_x0000__x000_479"/>
      <sheetName val="[Spt-BH.xls][Spt-BH.xls]B__6034"/>
      <sheetName val="[Spt-BH.xls][Spt-BH.xls]B__6023"/>
      <sheetName val="[Spt-BH.xls][Spt-BH.xls]B__6024"/>
      <sheetName val="[Spt-BH.xls][Spt-BH.xls]_S_2114"/>
      <sheetName val="[Spt-BH.xls][Spt-BH.xls]B__6025"/>
      <sheetName val="[Spt-BH.xls][Spt-BH.xls]B__6026"/>
      <sheetName val="[Spt-BH.xls][Spt-BH.xls]B__6035"/>
      <sheetName val="[Spt-BH.xls][Spt-BH.xls]B__6027"/>
      <sheetName val="[Spt-BH.xls][Spt-BH.xls]B__6028"/>
      <sheetName val="[Spt-BH.xls][Spt-BH.xls]B__6029"/>
      <sheetName val="[Spt-BH.xls][Spt-BH.xls]_S_2113"/>
      <sheetName val="[Spt-BH.xls][Spt-BH.xls]_S_2115"/>
      <sheetName val="[Spt-BH.xls]B____x005f_x0004______488"/>
      <sheetName val="[Spt-BH.xls]B___x005f_x0000__x000_480"/>
      <sheetName val="[Spt-BH.xls][Spt-BH.xls]B__6036"/>
      <sheetName val="[Spt-BH.xls][Spt-BH.xls]B__6037"/>
      <sheetName val="[Spt-BH.xls][Spt-BH.xls]B__6038"/>
      <sheetName val="[Spt-BH.xls][Spt-BH.xls]B__6039"/>
      <sheetName val="[Spt-BH.xls][Spt-BH.xls]B__6040"/>
      <sheetName val="[Spt-BH.xls][Spt-BH.xls]B__6041"/>
      <sheetName val="[Spt-BH.xls][Spt-BH.xls]B__6042"/>
      <sheetName val="[Spt-BH.xls][Spt-BH.xls]_S_2116"/>
      <sheetName val="[Spt-BH.xls][Spt-BH.xls]_S_2117"/>
      <sheetName val="[Spt-BH.xls]B____x005f_x0004______489"/>
      <sheetName val="[Spt-BH.xls]B___x005f_x0000__x000_481"/>
      <sheetName val="[Spt-BH.xls][Spt-BH.xls]B__6043"/>
      <sheetName val="[Spt-BH.xls][Spt-BH.xls]B__6044"/>
      <sheetName val="[Spt-BH.xls][Spt-BH.xls]B__6045"/>
      <sheetName val="[Spt-BH.xls][Spt-BH.xls]B__6046"/>
      <sheetName val="[Spt-BH.xls][Spt-BH.xls]B__6047"/>
      <sheetName val="[Spt-BH.xls][Spt-BH.xls]B__6048"/>
      <sheetName val="[Spt-BH.xls][Spt-BH.xls]B__6049"/>
      <sheetName val="[Spt-BH.xls][Spt-BH.xls]_S_2118"/>
      <sheetName val="[Spt-BH.xls][Spt-BH.xls]_S_2119"/>
      <sheetName val="[Spt-BH.xls]B____x005f_x0004______490"/>
      <sheetName val="[Spt-BH.xls]B___x005f_x0000__x000_482"/>
      <sheetName val="[Spt-BH.xls][Spt-BH.xls]B__6050"/>
      <sheetName val="[Spt-BH.xls][Spt-BH.xls]B__6051"/>
      <sheetName val="[Spt-BH.xls][Spt-BH.xls]B__6052"/>
      <sheetName val="[Spt-BH.xls][Spt-BH.xls]B__6053"/>
      <sheetName val="[Spt-BH.xls][Spt-BH.xls]B__6054"/>
      <sheetName val="[Spt-BH.xls][Spt-BH.xls]B__6055"/>
      <sheetName val="[Spt-BH.xls][Spt-BH.xls]B__6056"/>
      <sheetName val="[Spt-BH.xls][Spt-BH.xls]_S_2120"/>
      <sheetName val="[Spt-BH.xls][Spt-BH.xls]_S_2121"/>
      <sheetName val="[Spt-BH.xls]B____x005f_x0004______491"/>
      <sheetName val="[Spt-BH.xls]B___x005f_x0000__x000_483"/>
      <sheetName val="[Spt-BH.xls][Spt-BH.xls]B__6057"/>
      <sheetName val="[Spt-BH.xls][Spt-BH.xls]B__6058"/>
      <sheetName val="[Spt-BH.xls][Spt-BH.xls]B__6059"/>
      <sheetName val="[Spt-BH.xls][Spt-BH.xls]B__6060"/>
      <sheetName val="[Spt-BH.xls][Spt-BH.xls]B__6061"/>
      <sheetName val="[Spt-BH.xls][Spt-BH.xls]B__6062"/>
      <sheetName val="[Spt-BH.xls][Spt-BH.xls]B__6063"/>
      <sheetName val="[Spt-BH.xls][Spt-BH.xls]_S_2122"/>
      <sheetName val="[Spt-BH.xls][Spt-BH.xls]_S_2129"/>
      <sheetName val="[Spt-BH.xls][Spt-BH.xls]B__6081"/>
      <sheetName val="[Spt-BH.xls][Spt-BH.xls]_S_2127"/>
      <sheetName val="[Spt-BH.xls][Spt-BH.xls]B__6082"/>
      <sheetName val="[Spt-BH.xls][Spt-BH.xls]_S_2128"/>
      <sheetName val="[Spt-BH.xls][Spt-BH.xls]B__6084"/>
      <sheetName val="[Spt-BH.xls][Spt-BH.xls]B__6085"/>
      <sheetName val="[Spt-BH.xls][Spt-BH.xls]_S_2131"/>
      <sheetName val="[Spt-BH.xls][Spt-BH.xls]B__6086"/>
      <sheetName val="[Spt-BH.xls][Spt-BH.xls]B__6087"/>
      <sheetName val="[Spt-BH.xls]B___x005f_x0000__x000_485"/>
      <sheetName val="[Spt-BH.xls][Spt-BH.xls]B__6088"/>
      <sheetName val="[Spt-BH.xls][Spt-BH.xls]B__6089"/>
      <sheetName val="[Spt-BH.xls][Spt-BH.xls]B__6083"/>
      <sheetName val="[Spt-BH.xls][Spt-BH.xls]_S_2130"/>
      <sheetName val="[Spt-BH.xls][Spt-BH_xls]B__6012"/>
      <sheetName val="[Spt-BH.xls][Spt-BH_xls]B__6013"/>
      <sheetName val="[Spt-BH.xls][Spt-BH_xls]B__6014"/>
      <sheetName val="[Spt-BH.xls][Spt-BH_xls]B__6015"/>
      <sheetName val="[Spt-BH.xls][Spt-BH_xls]_S_1992"/>
      <sheetName val="[Spt-BH.xls][Spt-BH_xls]B__6016"/>
      <sheetName val="[Spt-BH.xls][Spt-BH_xls]B__6017"/>
      <sheetName val="[Spt-BH.xls][Spt-BH_xls]B__6018"/>
      <sheetName val="[Spt-BH.xls][Spt-BH_xls]_S_1993"/>
      <sheetName val="[Spt-BH.xls][Spt-BH_xls]B__6019"/>
      <sheetName val="[Spt-BH.xls][Spt-BH_xls]B__6020"/>
      <sheetName val="[Spt-BH.xls][Spt-BH_xls]B__6021"/>
      <sheetName val="[Spt-BH.xls][Spt-BH_xls]B__6022"/>
      <sheetName val="[Spt-BH.xls][Spt-BH_xls]_S_1994"/>
      <sheetName val="[Spt-BH.xls][Spt-BH_xls]B__6023"/>
      <sheetName val="[Spt-BH.xls][Spt-BH_xls]B__6024"/>
      <sheetName val="[Spt-BH.xls][Spt-BH_xls]_S_1995"/>
      <sheetName val="[Spt-BH.xls][Spt-BH_xls]B__6025"/>
      <sheetName val="[Spt-BH.xls][Spt-BH_xls]B__6026"/>
      <sheetName val="[Spt-BH.xls][Spt-BH_xls]_S_1996"/>
      <sheetName val="[Spt-BH.xls][Spt-BH.xls]_S_2132"/>
      <sheetName val="[Spt-BH.xls][Spt-BH.xls]B__6092"/>
      <sheetName val="Lead statement"/>
      <sheetName val="_Spt-BH.xls__Spt-BH.xls_B___674"/>
      <sheetName val="_Spt-BH.xls__Spt-BH.xls_B___675"/>
      <sheetName val="_Spt-BH.xls__Spt-BH.xls__Sp_157"/>
      <sheetName val="_Spt-BH.xls__Spt-BH.xls_B___676"/>
      <sheetName val="_Spt-BH.xls__Spt-BH.xls_B___677"/>
      <sheetName val="D2_CO"/>
      <sheetName val="rdamdata"/>
      <sheetName val="B@___x005f_x005f_x005f_x005F_x005f_x0004_@_"/>
      <sheetName val="B@__x005f_x005f_x005f_x005F_x005f_x005f_x00"/>
      <sheetName val="B@___x005f_x005f_x005f_x005F_x005f_x005f_x0"/>
      <sheetName val="zone-2"/>
      <sheetName val="Schedules PL"/>
      <sheetName val="Schedules BS"/>
      <sheetName val="Z1_DATA"/>
      <sheetName val="MHNO_LEV"/>
      <sheetName val="[Spt-BH.xls][Spt-BH.xls]B__6093"/>
      <sheetName val="[Spt-BH.xls][Spt-BH.xls]_S_2133"/>
      <sheetName val="[Spt-BH.xls][Spt-BH.xls]B__6090"/>
      <sheetName val="[Spt-BH.xls][Spt-BH.xls]B__6091"/>
      <sheetName val="[Spt-BH.xls][Spt-BH_xls]B__6027"/>
      <sheetName val="[Spt-BH.xls][Spt-BH_xls]B__6028"/>
      <sheetName val="[Spt-BH.xls][Spt-BH_xls]B__6029"/>
      <sheetName val="[Spt-BH.xls][Spt-BH_xls]B__6030"/>
      <sheetName val="[Spt-BH.xls][Spt-BH_xls]_S_1997"/>
      <sheetName val="[Spt-BH.xls][Spt-BH_xls]B__6031"/>
      <sheetName val="[Spt-BH.xls][Spt-BH_xls]B__6032"/>
      <sheetName val="[Spt-BH.xls][Spt-BH_xls]B__6033"/>
      <sheetName val="[Spt-BH.xls][Spt-BH_xls]_S_1998"/>
      <sheetName val="[Spt-BH.xls][Spt-BH_xls]B__6034"/>
      <sheetName val="[Spt-BH.xls][Spt-BH_xls]B__6035"/>
      <sheetName val="[Spt-BH.xls][Spt-BH_xls]B__6036"/>
      <sheetName val="[Spt-BH.xls][Spt-BH_xls]B__6037"/>
      <sheetName val="[Spt-BH.xls][Spt-BH_xls]_S_1999"/>
      <sheetName val="[Spt-BH.xls][Spt-BH_xls]B__6038"/>
      <sheetName val="[Spt-BH.xls][Spt-BH_xls]B__6039"/>
      <sheetName val="[Spt-BH.xls][Spt-BH_xls]_S_2000"/>
      <sheetName val="[Spt-BH.xls][Spt-BH_xls]B__6040"/>
      <sheetName val="[Spt-BH.xls][Spt-BH_xls]B__6041"/>
      <sheetName val="[Spt-BH.xls][Spt-BH_xls]_S_2001"/>
      <sheetName val="[Spt-BH.xls][Spt-BH_xls]B__6042"/>
      <sheetName val="[Spt-BH.xls][Spt-BH_xls]B__6043"/>
      <sheetName val="[Spt-BH.xls][Spt-BH_xls]B__6044"/>
      <sheetName val="[Spt-BH.xls][Spt-BH_xls]B__6045"/>
      <sheetName val="[Spt-BH.xls][Spt-BH_xls]_S_2002"/>
      <sheetName val="[Spt-BH.xls][Spt-BH_xls]B__6046"/>
      <sheetName val="[Spt-BH.xls][Spt-BH_xls]B__6047"/>
      <sheetName val="[Spt-BH.xls][Spt-BH_xls]B__6048"/>
      <sheetName val="[Spt-BH.xls][Spt-BH_xls]_S_2003"/>
      <sheetName val="[Spt-BH.xls][Spt-BH_xls]B__6049"/>
      <sheetName val="[Spt-BH.xls][Spt-BH_xls]B__6050"/>
      <sheetName val="[Spt-BH.xls][Spt-BH_xls]B__6051"/>
      <sheetName val="[Spt-BH.xls][Spt-BH_xls]B__6052"/>
      <sheetName val="[Spt-BH.xls][Spt-BH_xls]_S_2004"/>
      <sheetName val="[Spt-BH.xls][Spt-BH_xls]B__6053"/>
      <sheetName val="[Spt-BH.xls][Spt-BH_xls]B__6054"/>
      <sheetName val="[Spt-BH.xls][Spt-BH_xls]_S_2005"/>
      <sheetName val="[Spt-BH.xls][Spt-BH_xls]B__6055"/>
      <sheetName val="[Spt-BH.xls][Spt-BH_xls]B__6056"/>
      <sheetName val="[Spt-BH.xls][Spt-BH_xls]_S_2006"/>
      <sheetName val="[Spt-BH.xls][Spt-BH.xls]_S_2136"/>
      <sheetName val="[Spt-BH.xls][Spt-BH.xls]B__6096"/>
      <sheetName val="[Spt-BH.xls][Spt-BH.xls]B__6097"/>
      <sheetName val="[Spt-BH.xls][Spt-BH.xls]_S_2139"/>
      <sheetName val="[Spt-BH.xls][Spt-BH.xls]B__6098"/>
      <sheetName val="[Spt-BH.xls][Spt-BH.xls]B__6099"/>
      <sheetName val="[Spt-BH.xls][Spt-BH.xls]B__6100"/>
      <sheetName val="[Spt-BH.xls][Spt-BH.xls]B__6101"/>
      <sheetName val="[Spt-BH.xls][Spt-BH.xls]_S_2137"/>
      <sheetName val="[Spt-BH.xls][Spt-BH_xls]B__6102"/>
      <sheetName val="[Spt-BH.xls][Spt-BH_xls]B__6103"/>
      <sheetName val="[Spt-BH.xls][Spt-BH_xls]B__6104"/>
      <sheetName val="[Spt-BH.xls][Spt-BH_xls]B__6105"/>
      <sheetName val="[Spt-BH.xls][Spt-BH_xls]_S_2022"/>
      <sheetName val="[Spt-BH.xls][Spt-BH_xls]B__6106"/>
      <sheetName val="[Spt-BH.xls][Spt-BH_xls]B__6107"/>
      <sheetName val="[Spt-BH.xls][Spt-BH_xls]B__6108"/>
      <sheetName val="[Spt-BH.xls][Spt-BH_xls]_S_2023"/>
      <sheetName val="[Spt-BH.xls][Spt-BH_xls]B__6109"/>
      <sheetName val="[Spt-BH.xls][Spt-BH_xls]B__6110"/>
      <sheetName val="[Spt-BH.xls][Spt-BH_xls]B__6111"/>
      <sheetName val="[Spt-BH.xls][Spt-BH_xls]B__6112"/>
      <sheetName val="[Spt-BH.xls][Spt-BH_xls]_S_2024"/>
      <sheetName val="[Spt-BH.xls][Spt-BH_xls]B__6113"/>
      <sheetName val="[Spt-BH.xls][Spt-BH_xls]B__6114"/>
      <sheetName val="[Spt-BH.xls][Spt-BH_xls]_S_2025"/>
      <sheetName val="[Spt-BH.xls][Spt-BH_xls]B__6115"/>
      <sheetName val="[Spt-BH.xls][Spt-BH_xls]B__6116"/>
      <sheetName val="[Spt-BH.xls][Spt-BH_xls]_S_2026"/>
      <sheetName val="[Spt-BH.xls][Spt-BH_xls]B__6057"/>
      <sheetName val="[Spt-BH.xls][Spt-BH_xls]B__6058"/>
      <sheetName val="[Spt-BH.xls][Spt-BH_xls]B__6059"/>
      <sheetName val="[Spt-BH.xls][Spt-BH_xls]B__6060"/>
      <sheetName val="[Spt-BH.xls][Spt-BH_xls]_S_2007"/>
      <sheetName val="[Spt-BH.xls][Spt-BH_xls]B__6061"/>
      <sheetName val="[Spt-BH.xls][Spt-BH_xls]B__6062"/>
      <sheetName val="[Spt-BH.xls][Spt-BH_xls]B__6063"/>
      <sheetName val="[Spt-BH.xls][Spt-BH_xls]_S_2008"/>
      <sheetName val="[Spt-BH.xls][Spt-BH_xls]B__6064"/>
      <sheetName val="[Spt-BH.xls][Spt-BH_xls]B__6065"/>
      <sheetName val="[Spt-BH.xls][Spt-BH_xls]B__6066"/>
      <sheetName val="[Spt-BH.xls][Spt-BH_xls]B__6067"/>
      <sheetName val="[Spt-BH.xls][Spt-BH_xls]_S_2009"/>
      <sheetName val="[Spt-BH.xls][Spt-BH_xls]B__6068"/>
      <sheetName val="[Spt-BH.xls][Spt-BH_xls]B__6069"/>
      <sheetName val="[Spt-BH.xls][Spt-BH_xls]_S_2010"/>
      <sheetName val="[Spt-BH.xls][Spt-BH_xls]B__6070"/>
      <sheetName val="[Spt-BH.xls][Spt-BH_xls]B__6071"/>
      <sheetName val="[Spt-BH.xls][Spt-BH_xls]_S_2011"/>
      <sheetName val="[Spt-BH.xls][Spt-BH_xls]B__6072"/>
      <sheetName val="[Spt-BH.xls][Spt-BH_xls]B__6073"/>
      <sheetName val="[Spt-BH.xls][Spt-BH_xls]B__6074"/>
      <sheetName val="[Spt-BH.xls][Spt-BH_xls]B__6075"/>
      <sheetName val="[Spt-BH.xls][Spt-BH_xls]_S_2012"/>
      <sheetName val="[Spt-BH.xls][Spt-BH_xls]B__6076"/>
      <sheetName val="[Spt-BH.xls][Spt-BH_xls]B__6077"/>
      <sheetName val="[Spt-BH.xls][Spt-BH_xls]B__6078"/>
      <sheetName val="[Spt-BH.xls][Spt-BH_xls]_S_2013"/>
      <sheetName val="[Spt-BH.xls][Spt-BH_xls]B__6079"/>
      <sheetName val="[Spt-BH.xls][Spt-BH_xls]B__6080"/>
      <sheetName val="[Spt-BH.xls][Spt-BH_xls]B__6081"/>
      <sheetName val="[Spt-BH.xls][Spt-BH_xls]B__6082"/>
      <sheetName val="[Spt-BH.xls][Spt-BH_xls]_S_2014"/>
      <sheetName val="[Spt-BH.xls][Spt-BH_xls]B__6083"/>
      <sheetName val="[Spt-BH.xls][Spt-BH_xls]B__6084"/>
      <sheetName val="[Spt-BH.xls][Spt-BH_xls]_S_2015"/>
      <sheetName val="[Spt-BH.xls][Spt-BH_xls]B__6085"/>
      <sheetName val="[Spt-BH.xls][Spt-BH_xls]B__6086"/>
      <sheetName val="[Spt-BH.xls][Spt-BH_xls]_S_2016"/>
      <sheetName val="[Spt-BH.xls][Spt-BH_xls]B__6087"/>
      <sheetName val="[Spt-BH.xls][Spt-BH_xls]B__6088"/>
      <sheetName val="[Spt-BH.xls][Spt-BH_xls]B__6089"/>
      <sheetName val="[Spt-BH.xls][Spt-BH_xls]B__6090"/>
      <sheetName val="[Spt-BH.xls][Spt-BH_xls]_S_2017"/>
      <sheetName val="[Spt-BH.xls][Spt-BH_xls]B__6091"/>
      <sheetName val="[Spt-BH.xls][Spt-BH_xls]B__6092"/>
      <sheetName val="[Spt-BH.xls][Spt-BH_xls]B__6093"/>
      <sheetName val="[Spt-BH.xls][Spt-BH_xls]_S_2018"/>
      <sheetName val="[Spt-BH.xls][Spt-BH_xls]B__6094"/>
      <sheetName val="[Spt-BH.xls][Spt-BH_xls]B__6095"/>
      <sheetName val="[Spt-BH.xls][Spt-BH_xls]B__6096"/>
      <sheetName val="[Spt-BH.xls][Spt-BH_xls]B__6097"/>
      <sheetName val="[Spt-BH.xls][Spt-BH_xls]_S_2019"/>
      <sheetName val="[Spt-BH.xls][Spt-BH_xls]B__6098"/>
      <sheetName val="[Spt-BH.xls][Spt-BH_xls]B__6099"/>
      <sheetName val="[Spt-BH.xls][Spt-BH_xls]_S_2020"/>
      <sheetName val="[Spt-BH.xls][Spt-BH_xls]B__6100"/>
      <sheetName val="[Spt-BH.xls][Spt-BH_xls]B__6101"/>
      <sheetName val="[Spt-BH.xls][Spt-BH_xls]_S_2021"/>
      <sheetName val="[Spt-BH.xls][Spt-BH.xls]B__6094"/>
      <sheetName val="[Spt-BH.xls][Spt-BH.xls]B__6095"/>
      <sheetName val="[Spt-BH.xls][Spt-BH.xls]_S_2135"/>
      <sheetName val="[Spt-BH.xls][Spt-BH.xls]_S_2138"/>
      <sheetName val="[Spt-BH.xls][Spt-BH.xls]_S_2140"/>
      <sheetName val="[Spt-BH.xls][Spt-BH.xls]_S_2141"/>
      <sheetName val="[Spt-BH.xls][Spt-BH.xls]_S_2142"/>
      <sheetName val="[Spt-BH.xls][Spt-BH.xls]_S_2143"/>
      <sheetName val="[Spt-BH.xls][Spt-BH.xls]B__6102"/>
      <sheetName val="[Spt-BH.xls][Spt-BH.xls]B__6103"/>
      <sheetName val="[Spt-BH.xls][Spt-BH.xls]_S_2145"/>
      <sheetName val="[Spt-BH.xls][Spt-BH.xls]B__6104"/>
      <sheetName val="[Spt-BH.xls][Spt-BH.xls]B__6105"/>
      <sheetName val="[Spt-BH.xls][Spt-BH.xls]B__6106"/>
      <sheetName val="[Spt-BH.xls][Spt-BH.xls]B__6107"/>
      <sheetName val="[Spt-BH.xls][Spt-BH.xls]_S_2144"/>
      <sheetName val="[Spt-BH.xls][Spt-BH.xls]_S_2146"/>
      <sheetName val="[Spt-BH.xls][Spt-BH.xls]B__6108"/>
      <sheetName val="[Spt-BH.xls][Spt-BH.xls]B__6109"/>
      <sheetName val="[Spt-BH.xls][Spt-BH.xls]_S_2167"/>
      <sheetName val="[Spt-BH.xls][Spt-BH.xls]B__6110"/>
      <sheetName val="[Spt-BH.xls][Spt-BH.xls]B__6111"/>
      <sheetName val="[Spt-BH.xls][Spt-BH.xls]B__6112"/>
      <sheetName val="[Spt-BH.xls][Spt-BH.xls]B__6113"/>
      <sheetName val="[Spt-BH.xls][Spt-BH.xls]_S_2147"/>
      <sheetName val="[Spt-BH.xls][Spt-BH.xls]B__6176"/>
      <sheetName val="[Spt-BH.xls][Spt-BH.xls]B__6177"/>
      <sheetName val="[Spt-BH.xls][Spt-BH.xls]_S_2169"/>
      <sheetName val="[Spt-BH.xls][Spt-BH.xls]B__6178"/>
      <sheetName val="[Spt-BH.xls][Spt-BH.xls]B__6179"/>
      <sheetName val="[Spt-BH.xls]B____x005f_x0004______494"/>
      <sheetName val="[Spt-BH.xls]B___x005f_x0000__x000_486"/>
      <sheetName val="[Spt-BH.xls][Spt-BH.xls]B__6180"/>
      <sheetName val="[Spt-BH.xls][Spt-BH.xls]B__6181"/>
      <sheetName val="[Spt-BH.xls][Spt-BH.xls]B__6114"/>
      <sheetName val="[Spt-BH.xls][Spt-BH.xls]_S_2168"/>
      <sheetName val="[Spt-BH.xls][Spt-BH_xls]B__6117"/>
      <sheetName val="[Spt-BH.xls][Spt-BH_xls]B__6118"/>
      <sheetName val="[Spt-BH.xls][Spt-BH_xls]B__6119"/>
      <sheetName val="[Spt-BH.xls][Spt-BH_xls]B__6120"/>
      <sheetName val="[Spt-BH.xls][Spt-BH_xls]_S_2027"/>
      <sheetName val="[Spt-BH.xls][Spt-BH_xls]B__6121"/>
      <sheetName val="[Spt-BH.xls][Spt-BH_xls]B__6122"/>
      <sheetName val="[Spt-BH.xls][Spt-BH_xls]B__6123"/>
      <sheetName val="[Spt-BH.xls][Spt-BH_xls]_S_2028"/>
      <sheetName val="[Spt-BH.xls][Spt-BH_xls]B__6124"/>
      <sheetName val="[Spt-BH.xls][Spt-BH_xls]B__6125"/>
      <sheetName val="[Spt-BH.xls][Spt-BH_xls]B__6126"/>
      <sheetName val="[Spt-BH.xls][Spt-BH_xls]B__6127"/>
      <sheetName val="[Spt-BH.xls][Spt-BH_xls]_S_2029"/>
      <sheetName val="[Spt-BH.xls][Spt-BH_xls]B__6128"/>
      <sheetName val="[Spt-BH.xls][Spt-BH_xls]B__6129"/>
      <sheetName val="[Spt-BH.xls][Spt-BH_xls]_S_2030"/>
      <sheetName val="[Spt-BH.xls][Spt-BH_xls]B__6130"/>
      <sheetName val="[Spt-BH.xls][Spt-BH_xls]B__6131"/>
      <sheetName val="[Spt-BH.xls][Spt-BH_xls]_S_2031"/>
      <sheetName val="[Spt-BH.xls][Spt-BH.xls]_S_2148"/>
      <sheetName val="[Spt-BH.xls][Spt-BH.xls]B__6115"/>
      <sheetName val="[Spt-BH.xls][Spt-BH.xls]B__6116"/>
      <sheetName val="[Spt-BH.xls][Spt-BH.xls]B__6117"/>
      <sheetName val="[Spt-BH.xls][Spt-BH.xls]B__6118"/>
      <sheetName val="[Spt-BH.xls][Spt-BH.xls]B__6119"/>
      <sheetName val="[Spt-BH.xls][Spt-BH.xls]B__6120"/>
      <sheetName val="[Spt-BH.xls][Spt-BH.xls]_S_2149"/>
      <sheetName val="[Spt-BH.xls]B____x005f_x0004______495"/>
      <sheetName val="[Spt-BH.xls]B___x005f_x0000__x000_487"/>
      <sheetName val="[Spt-BH.xls][Spt-BH.xls]B__6121"/>
      <sheetName val="[Spt-BH.xls][Spt-BH_xls]B__6132"/>
      <sheetName val="[Spt-BH.xls][Spt-BH_xls]B__6133"/>
      <sheetName val="[Spt-BH.xls][Spt-BH_xls]B__6134"/>
      <sheetName val="[Spt-BH.xls][Spt-BH_xls]B__6135"/>
      <sheetName val="[Spt-BH.xls][Spt-BH_xls]_S_2032"/>
      <sheetName val="[Spt-BH.xls][Spt-BH_xls]B__6136"/>
      <sheetName val="[Spt-BH.xls][Spt-BH_xls]B__6137"/>
      <sheetName val="[Spt-BH.xls][Spt-BH_xls]B__6138"/>
      <sheetName val="[Spt-BH.xls][Spt-BH_xls]_S_2033"/>
      <sheetName val="[Spt-BH.xls][Spt-BH_xls]B__6139"/>
      <sheetName val="[Spt-BH.xls][Spt-BH_xls]B__6140"/>
      <sheetName val="[Spt-BH.xls][Spt-BH_xls]B__6141"/>
      <sheetName val="[Spt-BH.xls][Spt-BH_xls]B__6142"/>
      <sheetName val="[Spt-BH.xls][Spt-BH_xls]_S_2034"/>
      <sheetName val="[Spt-BH.xls][Spt-BH_xls]B__6143"/>
      <sheetName val="[Spt-BH.xls][Spt-BH_xls]B__6144"/>
      <sheetName val="[Spt-BH.xls][Spt-BH_xls]_S_2035"/>
      <sheetName val="[Spt-BH.xls][Spt-BH_xls]B__6145"/>
      <sheetName val="[Spt-BH.xls][Spt-BH_xls]B__6146"/>
      <sheetName val="[Spt-BH.xls][Spt-BH_xls]_S_2036"/>
      <sheetName val="[Spt-BH.xls][Spt-BH.xls]B__6123"/>
      <sheetName val="[Spt-BH.xls][Spt-BH.xls]B__6124"/>
      <sheetName val="[Spt-BH.xls][Spt-BH.xls]_S_2154"/>
      <sheetName val="[Spt-BH.xls][Spt-BH.xls]B__6125"/>
      <sheetName val="[Spt-BH.xls][Spt-BH.xls]B__6126"/>
      <sheetName val="[Spt-BH.xls]B____x005f_x0004______496"/>
      <sheetName val="[Spt-BH.xls]B___x005f_x0000__x000_488"/>
      <sheetName val="[Spt-BH.xls][Spt-BH.xls]B__6127"/>
      <sheetName val="[Spt-BH.xls][Spt-BH.xls]B__6128"/>
      <sheetName val="[Spt-BH.xls][Spt-BH.xls]B__6122"/>
      <sheetName val="[Spt-BH.xls][Spt-BH_xls]B__6147"/>
      <sheetName val="[Spt-BH.xls][Spt-BH_xls]B__6148"/>
      <sheetName val="[Spt-BH.xls][Spt-BH_xls]B__6149"/>
      <sheetName val="[Spt-BH.xls][Spt-BH_xls]B__6150"/>
      <sheetName val="[Spt-BH.xls][Spt-BH_xls]_S_2037"/>
      <sheetName val="[Spt-BH.xls][Spt-BH_xls]B__6151"/>
      <sheetName val="[Spt-BH.xls][Spt-BH_xls]B__6152"/>
      <sheetName val="[Spt-BH.xls][Spt-BH_xls]B__6153"/>
      <sheetName val="[Spt-BH.xls][Spt-BH_xls]_S_2038"/>
      <sheetName val="[Spt-BH.xls][Spt-BH_xls]B__6154"/>
      <sheetName val="[Spt-BH.xls][Spt-BH_xls]B__6155"/>
      <sheetName val="[Spt-BH.xls][Spt-BH_xls]B__6156"/>
      <sheetName val="[Spt-BH.xls][Spt-BH_xls]B__6157"/>
      <sheetName val="[Spt-BH.xls][Spt-BH_xls]_S_2039"/>
      <sheetName val="[Spt-BH.xls][Spt-BH_xls]B__6158"/>
      <sheetName val="[Spt-BH.xls][Spt-BH_xls]B__6159"/>
      <sheetName val="[Spt-BH.xls][Spt-BH_xls]_S_2040"/>
      <sheetName val="[Spt-BH.xls][Spt-BH_xls]B__6160"/>
      <sheetName val="[Spt-BH.xls][Spt-BH_xls]B__6161"/>
      <sheetName val="[Spt-BH.xls][Spt-BH_xls]_S_2041"/>
      <sheetName val="[Spt-BH.xls][Spt-BH.xls]B__6150"/>
      <sheetName val="[Spt-BH.xls][Spt-BH.xls]B__6151"/>
      <sheetName val="[Spt-BH.xls][Spt-BH.xls]_S_2159"/>
      <sheetName val="[Spt-BH.xls][Spt-BH.xls]B__6152"/>
      <sheetName val="[Spt-BH.xls][Spt-BH.xls]B__6153"/>
      <sheetName val="[Spt-BH.xls][Spt-BH.xls]B__6143"/>
      <sheetName val="[Spt-BH.xls]B____x005f_x0004______499"/>
      <sheetName val="[Spt-BH.xls][Spt-BH.xls]B__6144"/>
      <sheetName val="[Spt-BH.xls][Spt-BH.xls]_S_2156"/>
      <sheetName val="[Spt-BH.xls][Spt-BH.xls]B__6145"/>
      <sheetName val="[Spt-BH.xls][Spt-BH.xls]B__6146"/>
      <sheetName val="[Spt-BH.xls][Spt-BH.xls]B__6147"/>
      <sheetName val="[Spt-BH.xls]B___x005f_x0000__x000_491"/>
      <sheetName val="[Spt-BH.xls][Spt-BH.xls]B__6154"/>
      <sheetName val="[Spt-BH.xls][Spt-BH.xls]B__6155"/>
      <sheetName val="[Spt-BH.xls][Spt-BH.xls]B__6148"/>
      <sheetName val="[Spt-BH.xls][Spt-BH.xls]B__6149"/>
      <sheetName val="[Spt-BH.xls][Spt-BH.xls]_S_2157"/>
      <sheetName val="[Spt-BH.xls][Spt-BH_xls]B__6192"/>
      <sheetName val="[Spt-BH.xls][Spt-BH_xls]B__6193"/>
      <sheetName val="[Spt-BH.xls][Spt-BH_xls]B__6194"/>
      <sheetName val="[Spt-BH.xls][Spt-BH_xls]B__6195"/>
      <sheetName val="[Spt-BH.xls][Spt-BH_xls]_S_2052"/>
      <sheetName val="[Spt-BH.xls][Spt-BH_xls]B__6196"/>
      <sheetName val="[Spt-BH.xls][Spt-BH_xls]B__6197"/>
      <sheetName val="[Spt-BH.xls][Spt-BH_xls]B__6198"/>
      <sheetName val="[Spt-BH.xls][Spt-BH_xls]_S_2053"/>
      <sheetName val="[Spt-BH.xls][Spt-BH_xls]B__6199"/>
      <sheetName val="[Spt-BH.xls][Spt-BH_xls]B__6200"/>
      <sheetName val="[Spt-BH.xls][Spt-BH_xls]B__6201"/>
      <sheetName val="[Spt-BH.xls][Spt-BH_xls]B__6202"/>
      <sheetName val="[Spt-BH.xls][Spt-BH_xls]_S_2054"/>
      <sheetName val="[Spt-BH.xls][Spt-BH.xls]_S_2155"/>
      <sheetName val="[Spt-BH.xls][Spt-BH_xls]B__6203"/>
      <sheetName val="[Spt-BH.xls][Spt-BH_xls]B__6204"/>
      <sheetName val="[Spt-BH.xls][Spt-BH_xls]_S_2055"/>
      <sheetName val="[Spt-BH.xls][Spt-BH_xls]B__6205"/>
      <sheetName val="[Spt-BH.xls][Spt-BH_xls]B__6206"/>
      <sheetName val="[Spt-BH.xls][Spt-BH_xls]_S_2056"/>
      <sheetName val="[Spt-BH.xls][Spt-BH.xls]_S_2150"/>
      <sheetName val="[Spt-BH.xls][Spt-BH.xls]B__6129"/>
      <sheetName val="[Spt-BH.xls]B____x005f_x0004______497"/>
      <sheetName val="[Spt-BH.xls][Spt-BH.xls]B__6130"/>
      <sheetName val="[Spt-BH.xls][Spt-BH.xls]B__6131"/>
      <sheetName val="[Spt-BH.xls][Spt-BH.xls]B__6132"/>
      <sheetName val="[Spt-BH.xls][Spt-BH.xls]B__6133"/>
      <sheetName val="[Spt-BH.xls]B___x005f_x0000__x000_489"/>
      <sheetName val="[Spt-BH.xls][Spt-BH.xls]B__6134"/>
      <sheetName val="[Spt-BH.xls][Spt-BH.xls]B__6135"/>
      <sheetName val="[Spt-BH.xls][Spt-BH_xls]B__6162"/>
      <sheetName val="[Spt-BH.xls][Spt-BH_xls]B__6163"/>
      <sheetName val="[Spt-BH.xls][Spt-BH_xls]B__6164"/>
      <sheetName val="[Spt-BH.xls][Spt-BH_xls]B__6165"/>
      <sheetName val="[Spt-BH.xls][Spt-BH_xls]_S_2042"/>
      <sheetName val="[Spt-BH.xls][Spt-BH_xls]B__6166"/>
      <sheetName val="[Spt-BH.xls][Spt-BH_xls]B__6167"/>
      <sheetName val="[Spt-BH.xls][Spt-BH_xls]B__6168"/>
      <sheetName val="[Spt-BH.xls][Spt-BH_xls]_S_2043"/>
      <sheetName val="[Spt-BH.xls][Spt-BH_xls]B__6169"/>
      <sheetName val="[Spt-BH.xls][Spt-BH_xls]B__6170"/>
      <sheetName val="[Spt-BH.xls][Spt-BH_xls]B__6171"/>
      <sheetName val="[Spt-BH.xls][Spt-BH_xls]B__6172"/>
      <sheetName val="[Spt-BH.xls][Spt-BH_xls]_S_2044"/>
      <sheetName val="[Spt-BH.xls][Spt-BH.xls]_S_2151"/>
      <sheetName val="[Spt-BH.xls][Spt-BH_xls]B__6173"/>
      <sheetName val="[Spt-BH.xls][Spt-BH_xls]B__6174"/>
      <sheetName val="[Spt-BH.xls][Spt-BH_xls]_S_2045"/>
      <sheetName val="[Spt-BH.xls][Spt-BH_xls]B__6175"/>
      <sheetName val="[Spt-BH.xls][Spt-BH_xls]B__6176"/>
      <sheetName val="[Spt-BH.xls][Spt-BH_xls]_S_2046"/>
      <sheetName val="[Spt-BH.xls][Spt-BH.xls]_S_2152"/>
      <sheetName val="[Spt-BH.xls][Spt-BH.xls]B__6136"/>
      <sheetName val="[Spt-BH.xls]B____x005f_x0004______498"/>
      <sheetName val="[Spt-BH.xls][Spt-BH.xls]B__6137"/>
      <sheetName val="[Spt-BH.xls][Spt-BH.xls]B__6138"/>
      <sheetName val="[Spt-BH.xls][Spt-BH.xls]B__6139"/>
      <sheetName val="[Spt-BH.xls][Spt-BH.xls]B__6140"/>
      <sheetName val="[Spt-BH.xls]B___x005f_x0000__x000_490"/>
      <sheetName val="[Spt-BH.xls][Spt-BH.xls]B__6141"/>
      <sheetName val="[Spt-BH.xls][Spt-BH.xls]B__6142"/>
      <sheetName val="[Spt-BH.xls][Spt-BH_xls]B__6177"/>
      <sheetName val="[Spt-BH.xls][Spt-BH_xls]B__6178"/>
      <sheetName val="[Spt-BH.xls][Spt-BH_xls]B__6179"/>
      <sheetName val="[Spt-BH.xls][Spt-BH_xls]B__6180"/>
      <sheetName val="[Spt-BH.xls][Spt-BH_xls]_S_2047"/>
      <sheetName val="[Spt-BH.xls][Spt-BH_xls]B__6181"/>
      <sheetName val="[Spt-BH.xls][Spt-BH_xls]B__6182"/>
      <sheetName val="[Spt-BH.xls][Spt-BH_xls]B__6183"/>
      <sheetName val="[Spt-BH.xls][Spt-BH_xls]_S_2048"/>
      <sheetName val="[Spt-BH.xls][Spt-BH_xls]B__6184"/>
      <sheetName val="[Spt-BH.xls][Spt-BH_xls]B__6185"/>
      <sheetName val="[Spt-BH.xls][Spt-BH_xls]B__6186"/>
      <sheetName val="[Spt-BH.xls][Spt-BH_xls]B__6187"/>
      <sheetName val="[Spt-BH.xls][Spt-BH_xls]_S_2049"/>
      <sheetName val="[Spt-BH.xls][Spt-BH.xls]_S_2153"/>
      <sheetName val="[Spt-BH.xls][Spt-BH_xls]B__6188"/>
      <sheetName val="[Spt-BH.xls][Spt-BH_xls]B__6189"/>
      <sheetName val="[Spt-BH.xls][Spt-BH_xls]_S_2050"/>
      <sheetName val="[Spt-BH.xls][Spt-BH_xls]B__6190"/>
      <sheetName val="[Spt-BH.xls][Spt-BH_xls]B__6191"/>
      <sheetName val="[Spt-BH.xls][Spt-BH_xls]_S_2051"/>
      <sheetName val="[Spt-BH.xls][Spt-BH.xls]_S_2158"/>
      <sheetName val="[Spt-BH.xls][Spt-BH.xls]B__6156"/>
      <sheetName val="[Spt-BH.xls][Spt-BH.xls]B__6157"/>
      <sheetName val="[Spt-BH.xls][Spt-BH.xls]_S_2161"/>
      <sheetName val="[Spt-BH.xls][Spt-BH.xls]B__6158"/>
      <sheetName val="[Spt-BH.xls][Spt-BH.xls]B__6159"/>
      <sheetName val="[Spt-BH.xls][Spt-BH.xls]B__6160"/>
      <sheetName val="[Spt-BH.xls][Spt-BH.xls]B__6161"/>
      <sheetName val="[Spt-BH.xls][Spt-BH.xls]_S_2160"/>
      <sheetName val="[Spt-BH.xls][Spt-BH.xls]B__6163"/>
      <sheetName val="[Spt-BH.xls][Spt-BH.xls]B__6164"/>
      <sheetName val="[Spt-BH.xls][Spt-BH.xls]_S_2163"/>
      <sheetName val="[Spt-BH.xls][Spt-BH.xls]B__6165"/>
      <sheetName val="[Spt-BH.xls][Spt-BH.xls]B__6166"/>
      <sheetName val="[Spt-BH.xls]B____x005f_x0004______500"/>
      <sheetName val="[Spt-BH.xls]B___x005f_x0000__x000_492"/>
      <sheetName val="[Spt-BH.xls][Spt-BH.xls]B__6167"/>
      <sheetName val="[Spt-BH.xls][Spt-BH.xls]B__6168"/>
      <sheetName val="[Spt-BH.xls][Spt-BH.xls]B__6162"/>
      <sheetName val="[Spt-BH.xls][Spt-BH.xls]_S_2162"/>
      <sheetName val="[Spt-BH.xls][Spt-BH_xls]B__6207"/>
      <sheetName val="[Spt-BH.xls][Spt-BH_xls]B__6208"/>
      <sheetName val="[Spt-BH.xls][Spt-BH_xls]B__6209"/>
      <sheetName val="[Spt-BH.xls][Spt-BH_xls]B__6210"/>
      <sheetName val="[Spt-BH.xls][Spt-BH_xls]_S_2057"/>
      <sheetName val="[Spt-BH.xls][Spt-BH_xls]B__6211"/>
      <sheetName val="[Spt-BH.xls][Spt-BH_xls]B__6212"/>
      <sheetName val="[Spt-BH.xls][Spt-BH_xls]B__6213"/>
      <sheetName val="[Spt-BH.xls][Spt-BH_xls]_S_2058"/>
      <sheetName val="[Spt-BH.xls][Spt-BH_xls]B__6214"/>
      <sheetName val="[Spt-BH.xls][Spt-BH_xls]B__6215"/>
      <sheetName val="[Spt-BH.xls][Spt-BH_xls]B__6216"/>
      <sheetName val="[Spt-BH.xls][Spt-BH_xls]B__6217"/>
      <sheetName val="[Spt-BH.xls][Spt-BH_xls]_S_2059"/>
      <sheetName val="[Spt-BH.xls][Spt-BH_xls]B__6218"/>
      <sheetName val="[Spt-BH.xls][Spt-BH_xls]B__6219"/>
      <sheetName val="[Spt-BH.xls][Spt-BH_xls]_S_2060"/>
      <sheetName val="[Spt-BH.xls][Spt-BH_xls]B__6220"/>
      <sheetName val="[Spt-BH.xls][Spt-BH_xls]B__6221"/>
      <sheetName val="[Spt-BH.xls][Spt-BH_xls]_S_2061"/>
      <sheetName val="[Spt-BH.xls][Spt-BH.xls]B__6170"/>
      <sheetName val="[Spt-BH.xls][Spt-BH.xls]B__6171"/>
      <sheetName val="[Spt-BH.xls][Spt-BH.xls]_S_2165"/>
      <sheetName val="[Spt-BH.xls][Spt-BH.xls]B__6172"/>
      <sheetName val="[Spt-BH.xls][Spt-BH.xls]B__6173"/>
      <sheetName val="[Spt-BH.xls]B____x005f_x0004______501"/>
      <sheetName val="[Spt-BH.xls]B___x005f_x0000__x000_493"/>
      <sheetName val="[Spt-BH.xls][Spt-BH.xls]B__6174"/>
      <sheetName val="[Spt-BH.xls][Spt-BH.xls]B__6175"/>
      <sheetName val="[Spt-BH.xls][Spt-BH.xls]B__6169"/>
      <sheetName val="[Spt-BH.xls][Spt-BH.xls]_S_2164"/>
      <sheetName val="[Spt-BH.xls][Spt-BH_xls]B__6222"/>
      <sheetName val="[Spt-BH.xls][Spt-BH_xls]B__6223"/>
      <sheetName val="[Spt-BH.xls][Spt-BH_xls]B__6224"/>
      <sheetName val="[Spt-BH.xls][Spt-BH_xls]B__6225"/>
      <sheetName val="[Spt-BH.xls][Spt-BH_xls]_S_2062"/>
      <sheetName val="[Spt-BH.xls][Spt-BH_xls]B__6226"/>
      <sheetName val="[Spt-BH.xls][Spt-BH_xls]B__6227"/>
      <sheetName val="[Spt-BH.xls][Spt-BH_xls]B__6228"/>
      <sheetName val="[Spt-BH.xls][Spt-BH_xls]_S_2063"/>
      <sheetName val="[Spt-BH.xls][Spt-BH_xls]B__6229"/>
      <sheetName val="[Spt-BH.xls][Spt-BH_xls]B__6230"/>
      <sheetName val="[Spt-BH.xls][Spt-BH_xls]B__6231"/>
      <sheetName val="[Spt-BH.xls][Spt-BH_xls]B__6232"/>
      <sheetName val="[Spt-BH.xls][Spt-BH_xls]_S_2064"/>
      <sheetName val="[Spt-BH.xls][Spt-BH_xls]B__6233"/>
      <sheetName val="[Spt-BH.xls][Spt-BH_xls]B__6234"/>
      <sheetName val="[Spt-BH.xls][Spt-BH_xls]_S_2065"/>
      <sheetName val="[Spt-BH.xls][Spt-BH_xls]B__6235"/>
      <sheetName val="[Spt-BH.xls][Spt-BH_xls]B__6236"/>
      <sheetName val="[Spt-BH.xls][Spt-BH_xls]_S_2066"/>
      <sheetName val="[Spt-BH.xls][Spt-BH.xls]_S_2166"/>
      <sheetName val="[Spt-BH.xls][Spt-BH.xls]_S_2170"/>
      <sheetName val="[Spt-BH.xls][Spt-BH.xls]_S_2171"/>
      <sheetName val="[Spt-BH.xls][Spt-BH.xls]_S_2172"/>
      <sheetName val="[Spt-BH.xls][Spt-BH.xls]B__6182"/>
      <sheetName val="[Spt-BH.xls][Spt-BH.xls]B__6183"/>
      <sheetName val="[Spt-BH.xls][Spt-BH.xls]_S_2174"/>
      <sheetName val="[Spt-BH.xls][Spt-BH.xls]B__6184"/>
      <sheetName val="[Spt-BH.xls][Spt-BH.xls]B__6185"/>
      <sheetName val="[Spt-BH.xls][Spt-BH.xls]B__6186"/>
      <sheetName val="[Spt-BH.xls][Spt-BH.xls]B__6187"/>
      <sheetName val="[Spt-BH.xls][Spt-BH.xls]_S_2173"/>
      <sheetName val="[Spt-BH.xls][Spt-BH.xls]B__6188"/>
      <sheetName val="[Spt-BH.xls][Spt-BH.xls]B__6189"/>
      <sheetName val="[Spt-BH.xls][Spt-BH.xls]_S_2176"/>
      <sheetName val="[Spt-BH.xls][Spt-BH.xls]B__6190"/>
      <sheetName val="[Spt-BH.xls][Spt-BH.xls]B__6191"/>
      <sheetName val="[Spt-BH.xls]B____x005f_x0004______502"/>
      <sheetName val="[Spt-BH.xls]B___x005f_x0000__x000_494"/>
      <sheetName val="[Spt-BH.xls][Spt-BH.xls]B__6192"/>
      <sheetName val="[Spt-BH.xls][Spt-BH.xls]B__6193"/>
      <sheetName val="[Spt-BH.xls][Spt-BH.xls]_S_2175"/>
      <sheetName val="[Spt-BH.xls][Spt-BH_xls]B__6237"/>
      <sheetName val="[Spt-BH.xls][Spt-BH_xls]B__6238"/>
      <sheetName val="[Spt-BH.xls][Spt-BH_xls]B__6239"/>
      <sheetName val="[Spt-BH.xls][Spt-BH_xls]B__6240"/>
      <sheetName val="[Spt-BH.xls][Spt-BH_xls]_S_2067"/>
      <sheetName val="[Spt-BH.xls][Spt-BH_xls]B__6241"/>
      <sheetName val="[Spt-BH.xls][Spt-BH_xls]B__6242"/>
      <sheetName val="[Spt-BH.xls][Spt-BH_xls]B__6243"/>
      <sheetName val="[Spt-BH.xls][Spt-BH_xls]_S_2068"/>
      <sheetName val="[Spt-BH.xls][Spt-BH_xls]B__6244"/>
      <sheetName val="[Spt-BH.xls][Spt-BH_xls]B__6245"/>
      <sheetName val="[Spt-BH.xls][Spt-BH_xls]B__6246"/>
      <sheetName val="[Spt-BH.xls][Spt-BH_xls]B__6247"/>
      <sheetName val="[Spt-BH.xls][Spt-BH_xls]_S_2069"/>
      <sheetName val="[Spt-BH.xls][Spt-BH_xls]B__6248"/>
      <sheetName val="[Spt-BH.xls][Spt-BH_xls]B__6249"/>
      <sheetName val="[Spt-BH.xls][Spt-BH_xls]_S_2070"/>
      <sheetName val="[Spt-BH.xls][Spt-BH_xls]B__6250"/>
      <sheetName val="[Spt-BH.xls][Spt-BH_xls]B__6251"/>
      <sheetName val="[Spt-BH.xls][Spt-BH_xls]_S_2071"/>
      <sheetName val="[Spt-BH.xls][Spt-BH.xls]B__6194"/>
      <sheetName val="[Spt-BH.xls][Spt-BH.xls]B__6195"/>
      <sheetName val="[Spt-BH.xls][Spt-BH.xls]_S_2187"/>
      <sheetName val="[Spt-BH.xls][Spt-BH.xls]B__6196"/>
      <sheetName val="[Spt-BH.xls][Spt-BH.xls]B__6197"/>
      <sheetName val="[Spt-BH.xls][Spt-BH.xls]B__6198"/>
      <sheetName val="[Spt-BH.xls][Spt-BH.xls]B__6199"/>
      <sheetName val="[Spt-BH.xls][Spt-BH.xls]_S_2177"/>
      <sheetName val="[Spt-BH.xls][Spt-BH.xls]_S_2184"/>
      <sheetName val="[Spt-BH.xls][Spt-BH.xls]B__6245"/>
      <sheetName val="[Spt-BH.xls][Spt-BH.xls]B__6246"/>
      <sheetName val="[Spt-BH.xls][Spt-BH.xls]_S_2186"/>
      <sheetName val="[Spt-BH.xls][Spt-BH.xls]B__6247"/>
      <sheetName val="[Spt-BH.xls][Spt-BH.xls]B__6248"/>
      <sheetName val="[Spt-BH.xls][Spt-BH.xls]B__6249"/>
      <sheetName val="[Spt-BH.xls][Spt-BH.xls]B__6250"/>
      <sheetName val="[Spt-BH.xls][Spt-BH.xls]_S_2185"/>
      <sheetName val="[Spt-BH.xls][Spt-BH.xls]B__6211"/>
      <sheetName val="[Spt-BH.xls][Spt-BH.xls]B__6212"/>
      <sheetName val="[Spt-BH.xls][Spt-BH.xls]_S_2182"/>
      <sheetName val="[Spt-BH.xls][Spt-BH.xls]B__6213"/>
      <sheetName val="[Spt-BH.xls][Spt-BH.xls]B__6214"/>
      <sheetName val="[Spt-BH.xls][Spt-BH.xls]B__6215"/>
      <sheetName val="[Spt-BH.xls][Spt-BH.xls]B__6216"/>
      <sheetName val="[Spt-BH.xls][Spt-BH.xls]B__6238"/>
      <sheetName val="[Spt-BH.xls][Spt-BH.xls]B__6239"/>
      <sheetName val="[Spt-BH.xls][Spt-BH.xls]B__6240"/>
      <sheetName val="[Spt-BH.xls][Spt-BH.xls]B__6241"/>
      <sheetName val="[Spt-BH.xls]B____x005f_x0004______507"/>
      <sheetName val="[Spt-BH.xls]B___x005f_x0000__x000_499"/>
      <sheetName val="[Spt-BH.xls][Spt-BH.xls]B__6242"/>
      <sheetName val="[Spt-BH.xls][Spt-BH.xls]B__6243"/>
      <sheetName val="[Spt-BH.xls][Spt-BH.xls]B__6217"/>
      <sheetName val="[Spt-BH.xls][Spt-BH.xls]_S_2183"/>
      <sheetName val="[Spt-BH.xls][Spt-BH_xls]B__6312"/>
      <sheetName val="[Spt-BH.xls][Spt-BH_xls]B__6313"/>
      <sheetName val="[Spt-BH.xls][Spt-BH_xls]B__6314"/>
      <sheetName val="[Spt-BH.xls][Spt-BH_xls]B__6315"/>
      <sheetName val="[Spt-BH.xls][Spt-BH_xls]_S_2092"/>
      <sheetName val="[Spt-BH.xls][Spt-BH_xls]B__6316"/>
      <sheetName val="[Spt-BH.xls][Spt-BH_xls]B__6317"/>
      <sheetName val="[Spt-BH.xls][Spt-BH_xls]B__6318"/>
      <sheetName val="[Spt-BH.xls][Spt-BH_xls]_S_2093"/>
      <sheetName val="[Spt-BH.xls][Spt-BH_xls]B__6319"/>
      <sheetName val="[Spt-BH.xls][Spt-BH_xls]B__6320"/>
      <sheetName val="[Spt-BH.xls][Spt-BH_xls]B__6321"/>
      <sheetName val="[Spt-BH.xls][Spt-BH_xls]B__6322"/>
      <sheetName val="[Spt-BH.xls][Spt-BH_xls]_S_2094"/>
      <sheetName val="[Spt-BH.xls][Spt-BH_xls]B__6323"/>
      <sheetName val="[Spt-BH.xls][Spt-BH_xls]B__6324"/>
      <sheetName val="[Spt-BH.xls][Spt-BH_xls]_S_2095"/>
      <sheetName val="[Spt-BH.xls][Spt-BH_xls]B__6325"/>
      <sheetName val="[Spt-BH.xls][Spt-BH_xls]B__6326"/>
      <sheetName val="[Spt-BH.xls][Spt-BH_xls]_S_2096"/>
      <sheetName val="[Spt-BH.xls][Spt-BH.xls]B__6200"/>
      <sheetName val="[Spt-BH.xls][Spt-BH.xls]B__6201"/>
      <sheetName val="[Spt-BH.xls][Spt-BH.xls]B__6202"/>
      <sheetName val="[Spt-BH.xls][Spt-BH.xls]B__6203"/>
      <sheetName val="[Spt-BH.xls][Spt-BH.xls]B__6205"/>
      <sheetName val="[Spt-BH.xls][Spt-BH.xls]B__6206"/>
      <sheetName val="[Spt-BH.xls][Spt-BH.xls]B__6207"/>
      <sheetName val="[Spt-BH.xls][Spt-BH.xls]B__6208"/>
      <sheetName val="[Spt-BH.xls]B____x005f_x0004______506"/>
      <sheetName val="[Spt-BH.xls]B___x005f_x0000__x000_498"/>
      <sheetName val="[Spt-BH.xls][Spt-BH.xls]B__6209"/>
      <sheetName val="[Spt-BH.xls][Spt-BH.xls]B__6210"/>
      <sheetName val="[Spt-BH.xls][Spt-BH.xls]B__6204"/>
      <sheetName val="[Spt-BH.xls][Spt-BH_xls]B__6297"/>
      <sheetName val="[Spt-BH.xls][Spt-BH_xls]B__6298"/>
      <sheetName val="[Spt-BH.xls][Spt-BH_xls]B__6299"/>
      <sheetName val="[Spt-BH.xls][Spt-BH_xls]B__6300"/>
      <sheetName val="[Spt-BH.xls][Spt-BH_xls]_S_2087"/>
      <sheetName val="[Spt-BH.xls][Spt-BH_xls]B__6301"/>
      <sheetName val="[Spt-BH.xls][Spt-BH_xls]B__6302"/>
      <sheetName val="[Spt-BH.xls][Spt-BH_xls]B__6303"/>
      <sheetName val="[Spt-BH.xls][Spt-BH_xls]_S_2088"/>
      <sheetName val="[Spt-BH.xls][Spt-BH_xls]B__6304"/>
      <sheetName val="[Spt-BH.xls][Spt-BH_xls]B__6305"/>
      <sheetName val="[Spt-BH.xls][Spt-BH_xls]B__6306"/>
      <sheetName val="[Spt-BH.xls][Spt-BH_xls]B__6307"/>
      <sheetName val="[Spt-BH.xls][Spt-BH_xls]_S_2089"/>
      <sheetName val="[Spt-BH.xls][Spt-BH_xls]B__6308"/>
      <sheetName val="[Spt-BH.xls][Spt-BH_xls]B__6309"/>
      <sheetName val="[Spt-BH.xls][Spt-BH_xls]_S_2090"/>
      <sheetName val="[Spt-BH.xls][Spt-BH_xls]B__6310"/>
      <sheetName val="[Spt-BH.xls][Spt-BH_xls]B__6311"/>
      <sheetName val="[Spt-BH.xls][Spt-BH_xls]_S_2091"/>
      <sheetName val="[Spt-BH.xls]B____x005f_x0004______503"/>
      <sheetName val="[Spt-BH.xls]B___x005f_x0000__x000_495"/>
      <sheetName val="[Spt-BH.xls][Spt-BH_xls]B__6252"/>
      <sheetName val="[Spt-BH.xls][Spt-BH_xls]B__6253"/>
      <sheetName val="[Spt-BH.xls][Spt-BH_xls]B__6254"/>
      <sheetName val="[Spt-BH.xls][Spt-BH_xls]B__6255"/>
      <sheetName val="[Spt-BH.xls][Spt-BH_xls]_S_2072"/>
      <sheetName val="[Spt-BH.xls][Spt-BH_xls]B__6256"/>
      <sheetName val="[Spt-BH.xls][Spt-BH_xls]B__6257"/>
      <sheetName val="[Spt-BH.xls][Spt-BH_xls]B__6258"/>
      <sheetName val="[Spt-BH.xls][Spt-BH_xls]_S_2073"/>
      <sheetName val="[Spt-BH.xls][Spt-BH_xls]B__6259"/>
      <sheetName val="[Spt-BH.xls][Spt-BH_xls]B__6260"/>
      <sheetName val="[Spt-BH.xls][Spt-BH_xls]B__6261"/>
      <sheetName val="[Spt-BH.xls][Spt-BH_xls]B__6262"/>
      <sheetName val="[Spt-BH.xls][Spt-BH_xls]_S_2074"/>
      <sheetName val="[Spt-BH.xls][Spt-BH_xls]B__6263"/>
      <sheetName val="[Spt-BH.xls][Spt-BH_xls]B__6264"/>
      <sheetName val="[Spt-BH.xls][Spt-BH_xls]_S_2075"/>
      <sheetName val="[Spt-BH.xls][Spt-BH_xls]B__6265"/>
      <sheetName val="[Spt-BH.xls][Spt-BH_xls]B__6266"/>
      <sheetName val="[Spt-BH.xls][Spt-BH_xls]_S_2076"/>
      <sheetName val="[Spt-BH.xls]B____x005f_x0004______504"/>
      <sheetName val="[Spt-BH.xls]B___x005f_x0000__x000_496"/>
      <sheetName val="[Spt-BH.xls][Spt-BH_xls]B__6267"/>
      <sheetName val="[Spt-BH.xls][Spt-BH_xls]B__6268"/>
      <sheetName val="[Spt-BH.xls][Spt-BH_xls]B__6269"/>
      <sheetName val="[Spt-BH.xls][Spt-BH_xls]B__6270"/>
      <sheetName val="[Spt-BH.xls][Spt-BH_xls]_S_2077"/>
      <sheetName val="[Spt-BH.xls][Spt-BH_xls]B__6271"/>
      <sheetName val="[Spt-BH.xls][Spt-BH_xls]B__6272"/>
      <sheetName val="[Spt-BH.xls][Spt-BH_xls]B__6273"/>
      <sheetName val="[Spt-BH.xls][Spt-BH_xls]_S_2078"/>
      <sheetName val="[Spt-BH.xls][Spt-BH_xls]B__6274"/>
      <sheetName val="[Spt-BH.xls][Spt-BH_xls]B__6275"/>
      <sheetName val="[Spt-BH.xls][Spt-BH_xls]B__6276"/>
      <sheetName val="[Spt-BH.xls][Spt-BH_xls]B__6277"/>
      <sheetName val="[Spt-BH.xls][Spt-BH_xls]_S_2079"/>
      <sheetName val="[Spt-BH.xls][Spt-BH_xls]B__6278"/>
      <sheetName val="[Spt-BH.xls][Spt-BH_xls]B__6279"/>
      <sheetName val="[Spt-BH.xls][Spt-BH_xls]_S_2080"/>
      <sheetName val="[Spt-BH.xls][Spt-BH_xls]B__6280"/>
      <sheetName val="[Spt-BH.xls][Spt-BH_xls]B__6281"/>
      <sheetName val="[Spt-BH.xls][Spt-BH_xls]_S_2081"/>
      <sheetName val="[Spt-BH.xls]B____x005f_x0004______505"/>
      <sheetName val="[Spt-BH.xls]B___x005f_x0000__x000_497"/>
      <sheetName val="[Spt-BH.xls][Spt-BH_xls]B__6282"/>
      <sheetName val="[Spt-BH.xls][Spt-BH_xls]B__6283"/>
      <sheetName val="[Spt-BH.xls][Spt-BH_xls]B__6284"/>
      <sheetName val="[Spt-BH.xls][Spt-BH_xls]B__6285"/>
      <sheetName val="[Spt-BH.xls][Spt-BH_xls]_S_2082"/>
      <sheetName val="[Spt-BH.xls][Spt-BH_xls]B__6286"/>
      <sheetName val="[Spt-BH.xls][Spt-BH_xls]B__6287"/>
      <sheetName val="[Spt-BH.xls][Spt-BH_xls]B__6288"/>
      <sheetName val="[Spt-BH.xls][Spt-BH_xls]_S_2083"/>
      <sheetName val="[Spt-BH.xls][Spt-BH_xls]B__6289"/>
      <sheetName val="[Spt-BH.xls][Spt-BH_xls]B__6290"/>
      <sheetName val="[Spt-BH.xls][Spt-BH_xls]B__6291"/>
      <sheetName val="[Spt-BH.xls][Spt-BH_xls]B__6292"/>
      <sheetName val="[Spt-BH.xls][Spt-BH_xls]_S_2084"/>
      <sheetName val="[Spt-BH.xls][Spt-BH_xls]B__6293"/>
      <sheetName val="[Spt-BH.xls][Spt-BH_xls]B__6294"/>
      <sheetName val="[Spt-BH.xls][Spt-BH_xls]_S_2085"/>
      <sheetName val="[Spt-BH.xls][Spt-BH_xls]B__6295"/>
      <sheetName val="[Spt-BH.xls][Spt-BH_xls]B__6296"/>
      <sheetName val="[Spt-BH.xls][Spt-BH_xls]_S_2086"/>
      <sheetName val="[Spt-BH.xls]B____x005f_x0004______510"/>
      <sheetName val="[Spt-BH.xls]B___x005f_x0000__x000_502"/>
      <sheetName val="[Spt-BH.xls][Spt-BH.xls]B__6244"/>
      <sheetName val="[Spt-BH.xls][Spt-BH_xls]B__6357"/>
      <sheetName val="[Spt-BH.xls][Spt-BH_xls]B__6358"/>
      <sheetName val="[Spt-BH.xls][Spt-BH_xls]B__6359"/>
      <sheetName val="[Spt-BH.xls][Spt-BH_xls]B__6360"/>
      <sheetName val="[Spt-BH.xls][Spt-BH_xls]_S_2107"/>
      <sheetName val="[Spt-BH.xls][Spt-BH_xls]B__6361"/>
      <sheetName val="[Spt-BH.xls][Spt-BH_xls]B__6362"/>
      <sheetName val="[Spt-BH.xls][Spt-BH_xls]B__6363"/>
      <sheetName val="[Spt-BH.xls][Spt-BH_xls]_S_2108"/>
      <sheetName val="[Spt-BH.xls][Spt-BH_xls]B__6364"/>
      <sheetName val="[Spt-BH.xls][Spt-BH_xls]B__6365"/>
      <sheetName val="[Spt-BH.xls][Spt-BH_xls]B__6366"/>
      <sheetName val="[Spt-BH.xls][Spt-BH_xls]B__6367"/>
      <sheetName val="[Spt-BH.xls][Spt-BH_xls]_S_2109"/>
      <sheetName val="[Spt-BH.xls][Spt-BH_xls]B__6368"/>
      <sheetName val="[Spt-BH.xls][Spt-BH_xls]B__6369"/>
      <sheetName val="[Spt-BH.xls][Spt-BH_xls]_S_2110"/>
      <sheetName val="[Spt-BH.xls][Spt-BH_xls]B__6370"/>
      <sheetName val="[Spt-BH.xls][Spt-BH_xls]B__6371"/>
      <sheetName val="[Spt-BH.xls][Spt-BH_xls]_S_2111"/>
      <sheetName val="[Spt-BH.xls][Spt-BH.xls]_S_2178"/>
      <sheetName val="[Spt-BH.xls][Spt-BH.xls]B__6225"/>
      <sheetName val="[Spt-BH.xls][Spt-BH.xls]B__6226"/>
      <sheetName val="[Spt-BH.xls][Spt-BH.xls]_S_2180"/>
      <sheetName val="[Spt-BH.xls][Spt-BH.xls]B__6227"/>
      <sheetName val="[Spt-BH.xls][Spt-BH.xls]B__6228"/>
      <sheetName val="[Spt-BH.xls][Spt-BH.xls]B__6229"/>
      <sheetName val="[Spt-BH.xls][Spt-BH.xls]B__6230"/>
      <sheetName val="[Spt-BH.xls][Spt-BH.xls]_S_2179"/>
      <sheetName val="[Spt-BH.xls][Spt-BH.xls]B__6232"/>
      <sheetName val="[Spt-BH.xls][Spt-BH.xls]B__6233"/>
      <sheetName val="[Spt-BH.xls][Spt-BH.xls]B__6234"/>
      <sheetName val="[Spt-BH.xls][Spt-BH.xls]B__6235"/>
      <sheetName val="[Spt-BH.xls]B____x005f_x0004______509"/>
      <sheetName val="[Spt-BH.xls]B___x005f_x0000__x000_501"/>
      <sheetName val="[Spt-BH.xls][Spt-BH.xls]B__6236"/>
      <sheetName val="[Spt-BH.xls][Spt-BH.xls]B__6237"/>
      <sheetName val="[Spt-BH.xls][Spt-BH.xls]B__6231"/>
      <sheetName val="[Spt-BH.xls][Spt-BH.xls]_S_2181"/>
      <sheetName val="[Spt-BH.xls][Spt-BH_xls]B__6342"/>
      <sheetName val="[Spt-BH.xls][Spt-BH_xls]B__6343"/>
      <sheetName val="[Spt-BH.xls][Spt-BH_xls]B__6344"/>
      <sheetName val="[Spt-BH.xls][Spt-BH_xls]B__6345"/>
      <sheetName val="[Spt-BH.xls][Spt-BH_xls]_S_2102"/>
      <sheetName val="[Spt-BH.xls][Spt-BH_xls]B__6346"/>
      <sheetName val="[Spt-BH.xls][Spt-BH_xls]B__6347"/>
      <sheetName val="[Spt-BH.xls][Spt-BH_xls]B__6348"/>
      <sheetName val="[Spt-BH.xls][Spt-BH_xls]_S_2103"/>
      <sheetName val="[Spt-BH.xls][Spt-BH_xls]B__6349"/>
      <sheetName val="[Spt-BH.xls][Spt-BH_xls]B__6350"/>
      <sheetName val="[Spt-BH.xls][Spt-BH_xls]B__6351"/>
      <sheetName val="[Spt-BH.xls][Spt-BH_xls]B__6352"/>
      <sheetName val="[Spt-BH.xls][Spt-BH_xls]_S_2104"/>
      <sheetName val="[Spt-BH.xls][Spt-BH_xls]B__6353"/>
      <sheetName val="[Spt-BH.xls][Spt-BH_xls]B__6354"/>
      <sheetName val="[Spt-BH.xls][Spt-BH_xls]_S_2105"/>
      <sheetName val="[Spt-BH.xls][Spt-BH_xls]B__6355"/>
      <sheetName val="[Spt-BH.xls][Spt-BH_xls]B__6356"/>
      <sheetName val="[Spt-BH.xls][Spt-BH_xls]_S_2106"/>
      <sheetName val="[Spt-BH.xls][Spt-BH.xls]B__6218"/>
      <sheetName val="[Spt-BH.xls][Spt-BH.xls]B__6219"/>
      <sheetName val="[Spt-BH.xls][Spt-BH.xls]B__6220"/>
      <sheetName val="[Spt-BH.xls][Spt-BH.xls]B__6221"/>
      <sheetName val="[Spt-BH.xls][Spt-BH.xls]B__6222"/>
      <sheetName val="[Spt-BH.xls][Spt-BH.xls]B__6223"/>
      <sheetName val="[Spt-BH.xls]B____x005f_x0004______508"/>
      <sheetName val="[Spt-BH.xls]B___x005f_x0000__x000_500"/>
      <sheetName val="[Spt-BH.xls][Spt-BH.xls]B__6224"/>
      <sheetName val="[Spt-BH.xls][Spt-BH_xls]B__6327"/>
      <sheetName val="[Spt-BH.xls][Spt-BH_xls]B__6328"/>
      <sheetName val="[Spt-BH.xls][Spt-BH_xls]B__6329"/>
      <sheetName val="[Spt-BH.xls][Spt-BH_xls]B__6330"/>
      <sheetName val="[Spt-BH.xls][Spt-BH_xls]_S_2097"/>
      <sheetName val="[Spt-BH.xls][Spt-BH_xls]B__6331"/>
      <sheetName val="[Spt-BH.xls][Spt-BH_xls]B__6332"/>
      <sheetName val="[Spt-BH.xls][Spt-BH_xls]B__6333"/>
      <sheetName val="[Spt-BH.xls][Spt-BH_xls]_S_2098"/>
      <sheetName val="[Spt-BH.xls][Spt-BH_xls]B__6334"/>
      <sheetName val="[Spt-BH.xls][Spt-BH_xls]B__6335"/>
      <sheetName val="[Spt-BH.xls][Spt-BH_xls]B__6336"/>
      <sheetName val="[Spt-BH.xls][Spt-BH_xls]B__6337"/>
      <sheetName val="[Spt-BH.xls][Spt-BH_xls]_S_2099"/>
      <sheetName val="[Spt-BH.xls][Spt-BH_xls]B__6338"/>
      <sheetName val="[Spt-BH.xls][Spt-BH_xls]B__6339"/>
      <sheetName val="[Spt-BH.xls][Spt-BH_xls]_S_2100"/>
      <sheetName val="[Spt-BH.xls][Spt-BH_xls]B__6340"/>
      <sheetName val="[Spt-BH.xls][Spt-BH_xls]B__6341"/>
      <sheetName val="[Spt-BH.xls][Spt-BH_xls]_S_2101"/>
      <sheetName val="[Spt-BH.xls][Spt-BH.xls]B__6252"/>
      <sheetName val="[Spt-BH.xls][Spt-BH.xls]B__6253"/>
      <sheetName val="[Spt-BH.xls][Spt-BH.xls]_S_2188"/>
      <sheetName val="[Spt-BH.xls][Spt-BH.xls]B__6254"/>
      <sheetName val="[Spt-BH.xls][Spt-BH.xls]B__6255"/>
      <sheetName val="[Spt-BH.xls]B____x005f_x0004______511"/>
      <sheetName val="[Spt-BH.xls]B___x005f_x0000__x000_503"/>
      <sheetName val="[Spt-BH.xls][Spt-BH.xls]B__6256"/>
      <sheetName val="[Spt-BH.xls][Spt-BH.xls]B__6257"/>
      <sheetName val="[Spt-BH.xls][Spt-BH.xls]B__6251"/>
      <sheetName val="[Spt-BH.xls][Spt-BH_xls]B__6372"/>
      <sheetName val="[Spt-BH.xls][Spt-BH_xls]B__6373"/>
      <sheetName val="[Spt-BH.xls][Spt-BH_xls]B__6374"/>
      <sheetName val="[Spt-BH.xls][Spt-BH_xls]B__6375"/>
      <sheetName val="[Spt-BH.xls][Spt-BH_xls]_S_2112"/>
      <sheetName val="[Spt-BH.xls][Spt-BH_xls]B__6376"/>
      <sheetName val="[Spt-BH.xls][Spt-BH_xls]B__6377"/>
      <sheetName val="[Spt-BH.xls][Spt-BH_xls]B__6378"/>
      <sheetName val="[Spt-BH.xls][Spt-BH_xls]_S_2113"/>
      <sheetName val="[Spt-BH.xls][Spt-BH_xls]B__6379"/>
      <sheetName val="[Spt-BH.xls][Spt-BH_xls]B__6380"/>
      <sheetName val="[Spt-BH.xls][Spt-BH_xls]B__6381"/>
      <sheetName val="[Spt-BH.xls][Spt-BH_xls]B__6382"/>
      <sheetName val="[Spt-BH.xls][Spt-BH_xls]_S_2114"/>
      <sheetName val="[Spt-BH.xls][Spt-BH_xls]B__6383"/>
      <sheetName val="[Spt-BH.xls][Spt-BH_xls]B__6384"/>
      <sheetName val="[Spt-BH.xls][Spt-BH_xls]_S_2115"/>
      <sheetName val="[Spt-BH.xls][Spt-BH_xls]B__6385"/>
      <sheetName val="[Spt-BH.xls][Spt-BH_xls]B__6386"/>
      <sheetName val="[Spt-BH.xls][Spt-BH_xls]_S_2116"/>
      <sheetName val="[Spt-BH.xls][Spt-BH.xls]_S_2189"/>
      <sheetName val="[Spt-BH.xls][Spt-BH.xls]B__6258"/>
      <sheetName val="[Spt-BH.xls][Spt-BH.xls]B__6259"/>
      <sheetName val="[Spt-BH.xls][Spt-BH.xls]_S_2197"/>
      <sheetName val="[Spt-BH.xls][Spt-BH.xls]B__6260"/>
      <sheetName val="[Spt-BH.xls][Spt-BH.xls]B__6261"/>
      <sheetName val="[Spt-BH.xls][Spt-BH.xls]B__6262"/>
      <sheetName val="[Spt-BH.xls][Spt-BH.xls]B__6263"/>
      <sheetName val="[Spt-BH.xls][Spt-BH.xls]_S_2190"/>
      <sheetName val="[Spt-BH.xls][Spt-BH.xls]B__6286"/>
      <sheetName val="[Spt-BH.xls][Spt-BH.xls]B__6287"/>
      <sheetName val="[Spt-BH.xls][Spt-BH.xls]_S_2199"/>
      <sheetName val="[Spt-BH.xls][Spt-BH.xls]B__6288"/>
      <sheetName val="[Spt-BH.xls][Spt-BH.xls]B__6289"/>
      <sheetName val="[Spt-BH.xls]B____x005f_x0004______512"/>
      <sheetName val="[Spt-BH.xls]B___x005f_x0000__x000_504"/>
      <sheetName val="[Spt-BH.xls][Spt-BH.xls]B__6290"/>
      <sheetName val="[Spt-BH.xls][Spt-BH.xls]B__6291"/>
      <sheetName val="[Spt-BH.xls][Spt-BH.xls]B__6264"/>
      <sheetName val="[Spt-BH.xls][Spt-BH.xls]_S_2198"/>
      <sheetName val="[Spt-BH.xls][Spt-BH_xls]B__6387"/>
      <sheetName val="[Spt-BH.xls][Spt-BH_xls]B__6388"/>
      <sheetName val="[Spt-BH.xls][Spt-BH_xls]B__6389"/>
      <sheetName val="[Spt-BH.xls][Spt-BH_xls]B__6390"/>
      <sheetName val="[Spt-BH.xls][Spt-BH_xls]_S_2117"/>
      <sheetName val="[Spt-BH.xls][Spt-BH_xls]B__6391"/>
      <sheetName val="[Spt-BH.xls][Spt-BH_xls]B__6392"/>
      <sheetName val="[Spt-BH.xls][Spt-BH_xls]B__6393"/>
      <sheetName val="[Spt-BH.xls][Spt-BH_xls]_S_2118"/>
      <sheetName val="[Spt-BH.xls][Spt-BH_xls]B__6394"/>
      <sheetName val="[Spt-BH.xls][Spt-BH_xls]B__6395"/>
      <sheetName val="[Spt-BH.xls][Spt-BH_xls]B__6396"/>
      <sheetName val="[Spt-BH.xls][Spt-BH_xls]B__6397"/>
      <sheetName val="[Spt-BH.xls][Spt-BH_xls]_S_2119"/>
      <sheetName val="[Spt-BH.xls][Spt-BH_xls]B__6398"/>
      <sheetName val="[Spt-BH.xls][Spt-BH_xls]B__6399"/>
      <sheetName val="[Spt-BH.xls][Spt-BH_xls]_S_2120"/>
      <sheetName val="[Spt-BH.xls][Spt-BH_xls]B__6400"/>
      <sheetName val="[Spt-BH.xls][Spt-BH_xls]B__6401"/>
      <sheetName val="[Spt-BH.xls][Spt-BH_xls]_S_2121"/>
      <sheetName val="[Spt-BH.xls][Spt-BH.xls]B__6293"/>
      <sheetName val="[Spt-BH.xls][Spt-BH.xls]B__6294"/>
      <sheetName val="[Spt-BH.xls][Spt-BH.xls]_S_2201"/>
      <sheetName val="[Spt-BH.xls][Spt-BH.xls]B__6295"/>
      <sheetName val="[Spt-BH.xls][Spt-BH.xls]B__6296"/>
      <sheetName val="[Spt-BH.xls]B____x005f_x0004______516"/>
      <sheetName val="[Spt-BH.xls]B___x005f_x0000__x000_508"/>
      <sheetName val="[Spt-BH.xls][Spt-BH.xls]B__6297"/>
      <sheetName val="[Spt-BH.xls][Spt-BH.xls]B__6298"/>
      <sheetName val="[Spt-BH.xls][Spt-BH.xls]B__6292"/>
      <sheetName val="[Spt-BH.xls][Spt-BH.xls]_S_2200"/>
      <sheetName val="[Spt-BH.xls][Spt-BH_xls]B__6447"/>
      <sheetName val="[Spt-BH.xls][Spt-BH_xls]B__6448"/>
      <sheetName val="[Spt-BH.xls][Spt-BH_xls]B__6449"/>
      <sheetName val="[Spt-BH.xls][Spt-BH_xls]B__6450"/>
      <sheetName val="[Spt-BH.xls][Spt-BH_xls]_S_2137"/>
      <sheetName val="[Spt-BH.xls][Spt-BH_xls]B__6451"/>
      <sheetName val="[Spt-BH.xls][Spt-BH_xls]B__6452"/>
      <sheetName val="[Spt-BH.xls][Spt-BH_xls]B__6453"/>
      <sheetName val="[Spt-BH.xls][Spt-BH_xls]_S_2138"/>
      <sheetName val="[Spt-BH.xls][Spt-BH_xls]B__6454"/>
      <sheetName val="[Spt-BH.xls][Spt-BH_xls]B__6455"/>
      <sheetName val="[Spt-BH.xls][Spt-BH_xls]B__6456"/>
      <sheetName val="[Spt-BH.xls][Spt-BH_xls]B__6457"/>
      <sheetName val="[Spt-BH.xls][Spt-BH_xls]_S_2139"/>
      <sheetName val="[Spt-BH.xls][Spt-BH_xls]B__6458"/>
      <sheetName val="[Spt-BH.xls][Spt-BH_xls]B__6459"/>
      <sheetName val="[Spt-BH.xls][Spt-BH_xls]_S_2140"/>
      <sheetName val="[Spt-BH.xls][Spt-BH_xls]B__6460"/>
      <sheetName val="[Spt-BH.xls][Spt-BH_xls]B__6461"/>
      <sheetName val="[Spt-BH.xls][Spt-BH_xls]_S_2141"/>
      <sheetName val="[Spt-BH.xls][Spt-BH.xls]_S_2191"/>
      <sheetName val="[Spt-BH.xls][Spt-BH.xls]B__6265"/>
      <sheetName val="[Spt-BH.xls][Spt-BH.xls]B__6266"/>
      <sheetName val="[Spt-BH.xls][Spt-BH.xls]B__6267"/>
      <sheetName val="[Spt-BH.xls][Spt-BH.xls]B__6268"/>
      <sheetName val="[Spt-BH.xls][Spt-BH.xls]B__6269"/>
      <sheetName val="[Spt-BH.xls][Spt-BH.xls]B__6270"/>
      <sheetName val="[Spt-BH.xls][Spt-BH.xls]_S_2192"/>
      <sheetName val="[Spt-BH.xls]B____x005f_x0004______513"/>
      <sheetName val="[Spt-BH.xls]B___x005f_x0000__x000_505"/>
      <sheetName val="[Spt-BH.xls][Spt-BH.xls]B__6271"/>
      <sheetName val="[Spt-BH.xls][Spt-BH_xls]B__6402"/>
      <sheetName val="[Spt-BH.xls][Spt-BH_xls]B__6403"/>
      <sheetName val="[Spt-BH.xls][Spt-BH_xls]B__6404"/>
      <sheetName val="[Spt-BH.xls][Spt-BH_xls]B__6405"/>
      <sheetName val="[Spt-BH.xls][Spt-BH_xls]_S_2122"/>
      <sheetName val="[Spt-BH.xls][Spt-BH_xls]B__6406"/>
      <sheetName val="[Spt-BH.xls][Spt-BH_xls]B__6407"/>
      <sheetName val="[Spt-BH.xls][Spt-BH_xls]B__6408"/>
      <sheetName val="[Spt-BH.xls][Spt-BH_xls]_S_2123"/>
      <sheetName val="[Spt-BH.xls][Spt-BH_xls]B__6409"/>
      <sheetName val="[Spt-BH.xls][Spt-BH_xls]B__6410"/>
      <sheetName val="[Spt-BH.xls][Spt-BH_xls]B__6411"/>
      <sheetName val="[Spt-BH.xls][Spt-BH_xls]B__6412"/>
      <sheetName val="[Spt-BH.xls][Spt-BH_xls]_S_2124"/>
      <sheetName val="[Spt-BH.xls][Spt-BH_xls]B__6413"/>
      <sheetName val="[Spt-BH.xls][Spt-BH_xls]B__6414"/>
      <sheetName val="[Spt-BH.xls][Spt-BH_xls]_S_2125"/>
      <sheetName val="[Spt-BH.xls][Spt-BH_xls]B__6415"/>
      <sheetName val="[Spt-BH.xls][Spt-BH_xls]B__6416"/>
      <sheetName val="[Spt-BH.xls][Spt-BH_xls]_S_2126"/>
      <sheetName val="[Spt-BH.xls][Spt-BH.xls]_S_2193"/>
      <sheetName val="[Spt-BH.xls][Spt-BH.xls]B__6272"/>
      <sheetName val="[Spt-BH.xls][Spt-BH.xls]B__6273"/>
      <sheetName val="[Spt-BH.xls][Spt-BH.xls]B__6274"/>
      <sheetName val="[Spt-BH.xls][Spt-BH.xls]B__6275"/>
      <sheetName val="[Spt-BH.xls][Spt-BH.xls]B__6276"/>
      <sheetName val="[Spt-BH.xls][Spt-BH.xls]B__6277"/>
      <sheetName val="[Spt-BH.xls][Spt-BH.xls]_S_2194"/>
      <sheetName val="[Spt-BH.xls]B____x005f_x0004______514"/>
      <sheetName val="[Spt-BH.xls]B___x005f_x0000__x000_506"/>
      <sheetName val="[Spt-BH.xls][Spt-BH.xls]B__6278"/>
      <sheetName val="[Spt-BH.xls][Spt-BH_xls]B__6417"/>
      <sheetName val="[Spt-BH.xls][Spt-BH_xls]B__6418"/>
      <sheetName val="[Spt-BH.xls][Spt-BH_xls]B__6419"/>
      <sheetName val="[Spt-BH.xls][Spt-BH_xls]B__6420"/>
      <sheetName val="[Spt-BH.xls][Spt-BH_xls]_S_2127"/>
      <sheetName val="[Spt-BH.xls][Spt-BH_xls]B__6421"/>
      <sheetName val="[Spt-BH.xls][Spt-BH_xls]B__6422"/>
      <sheetName val="[Spt-BH.xls][Spt-BH_xls]B__6423"/>
      <sheetName val="[Spt-BH.xls][Spt-BH_xls]_S_2128"/>
      <sheetName val="[Spt-BH.xls][Spt-BH_xls]B__6424"/>
      <sheetName val="[Spt-BH.xls][Spt-BH_xls]B__6425"/>
      <sheetName val="[Spt-BH.xls][Spt-BH_xls]B__6426"/>
      <sheetName val="[Spt-BH.xls][Spt-BH_xls]B__6427"/>
      <sheetName val="[Spt-BH.xls][Spt-BH_xls]_S_2129"/>
      <sheetName val="[Spt-BH.xls][Spt-BH_xls]B__6428"/>
      <sheetName val="[Spt-BH.xls][Spt-BH_xls]B__6429"/>
      <sheetName val="[Spt-BH.xls][Spt-BH_xls]_S_2130"/>
      <sheetName val="[Spt-BH.xls][Spt-BH_xls]B__6430"/>
      <sheetName val="[Spt-BH.xls][Spt-BH_xls]B__6431"/>
      <sheetName val="[Spt-BH.xls][Spt-BH_xls]_S_2131"/>
      <sheetName val="[Spt-BH.xls][Spt-BH.xls]_S_2195"/>
      <sheetName val="[Spt-BH.xls][Spt-BH.xls]B__6279"/>
      <sheetName val="[Spt-BH.xls][Spt-BH.xls]B__6280"/>
      <sheetName val="[Spt-BH.xls][Spt-BH.xls]B__6281"/>
      <sheetName val="[Spt-BH.xls][Spt-BH.xls]B__6282"/>
      <sheetName val="[Spt-BH.xls][Spt-BH.xls]B__6283"/>
      <sheetName val="[Spt-BH.xls][Spt-BH.xls]B__6284"/>
      <sheetName val="[Spt-BH.xls][Spt-BH.xls]_S_2196"/>
      <sheetName val="[Spt-BH.xls]B____x005f_x0004______515"/>
      <sheetName val="[Spt-BH.xls]B___x005f_x0000__x000_507"/>
      <sheetName val="[Spt-BH.xls][Spt-BH.xls]B__6285"/>
      <sheetName val="[Spt-BH.xls][Spt-BH_xls]B__6432"/>
      <sheetName val="[Spt-BH.xls][Spt-BH_xls]B__6433"/>
      <sheetName val="[Spt-BH.xls][Spt-BH_xls]B__6434"/>
      <sheetName val="[Spt-BH.xls][Spt-BH_xls]B__6435"/>
      <sheetName val="[Spt-BH.xls][Spt-BH_xls]_S_2132"/>
      <sheetName val="[Spt-BH.xls][Spt-BH_xls]B__6436"/>
      <sheetName val="[Spt-BH.xls][Spt-BH_xls]B__6437"/>
      <sheetName val="[Spt-BH.xls][Spt-BH_xls]B__6438"/>
      <sheetName val="[Spt-BH.xls][Spt-BH_xls]_S_2133"/>
      <sheetName val="[Spt-BH.xls][Spt-BH_xls]B__6439"/>
      <sheetName val="[Spt-BH.xls][Spt-BH_xls]B__6440"/>
      <sheetName val="[Spt-BH.xls][Spt-BH_xls]B__6441"/>
      <sheetName val="[Spt-BH.xls][Spt-BH_xls]B__6442"/>
      <sheetName val="[Spt-BH.xls][Spt-BH_xls]_S_2134"/>
      <sheetName val="[Spt-BH.xls][Spt-BH_xls]B__6443"/>
      <sheetName val="[Spt-BH.xls][Spt-BH_xls]B__6444"/>
      <sheetName val="[Spt-BH.xls][Spt-BH_xls]_S_2135"/>
      <sheetName val="[Spt-BH.xls][Spt-BH_xls]B__6445"/>
      <sheetName val="[Spt-BH.xls][Spt-BH_xls]B__6446"/>
      <sheetName val="[Spt-BH.xls][Spt-BH_xls]_S_2136"/>
      <sheetName val="[Spt-BH.xls][Spt-BH.xls]B__6299"/>
      <sheetName val="[Spt-BH.xls][Spt-BH.xls]B__6300"/>
      <sheetName val="[Spt-BH.xls][Spt-BH.xls]_S_2203"/>
      <sheetName val="[Spt-BH.xls][Spt-BH.xls]B__6301"/>
      <sheetName val="[Spt-BH.xls][Spt-BH.xls]B__6302"/>
      <sheetName val="[Spt-BH.xls][Spt-BH.xls]B__6303"/>
      <sheetName val="[Spt-BH.xls][Spt-BH.xls]B__6304"/>
      <sheetName val="[Spt-BH.xls][Spt-BH.xls]_S_2202"/>
      <sheetName val="[Spt-BH.xls][Spt-BH.xls]B__6306"/>
      <sheetName val="[Spt-BH.xls][Spt-BH.xls]B__6307"/>
      <sheetName val="[Spt-BH.xls][Spt-BH.xls]_S_2205"/>
      <sheetName val="[Spt-BH.xls][Spt-BH.xls]B__6308"/>
      <sheetName val="[Spt-BH.xls][Spt-BH.xls]B__6309"/>
      <sheetName val="[Spt-BH.xls]B____x005f_x0004______517"/>
      <sheetName val="[Spt-BH.xls]B___x005f_x0000__x000_509"/>
      <sheetName val="[Spt-BH.xls][Spt-BH.xls]B__6310"/>
      <sheetName val="[Spt-BH.xls][Spt-BH.xls]B__6311"/>
      <sheetName val="[Spt-BH.xls][Spt-BH.xls]B__6305"/>
      <sheetName val="[Spt-BH.xls][Spt-BH.xls]_S_2204"/>
      <sheetName val="[Spt-BH.xls][Spt-BH_xls]B__6462"/>
      <sheetName val="[Spt-BH.xls][Spt-BH_xls]B__6463"/>
      <sheetName val="[Spt-BH.xls][Spt-BH_xls]B__6464"/>
      <sheetName val="[Spt-BH.xls][Spt-BH_xls]B__6465"/>
      <sheetName val="[Spt-BH.xls][Spt-BH_xls]_S_2142"/>
      <sheetName val="[Spt-BH.xls][Spt-BH_xls]B__6466"/>
      <sheetName val="[Spt-BH.xls][Spt-BH_xls]B__6467"/>
      <sheetName val="[Spt-BH.xls][Spt-BH_xls]B__6468"/>
      <sheetName val="[Spt-BH.xls][Spt-BH_xls]_S_2143"/>
      <sheetName val="[Spt-BH.xls][Spt-BH_xls]B__6469"/>
      <sheetName val="[Spt-BH.xls][Spt-BH_xls]B__6470"/>
      <sheetName val="[Spt-BH.xls][Spt-BH_xls]B__6471"/>
      <sheetName val="[Spt-BH.xls][Spt-BH_xls]B__6472"/>
      <sheetName val="[Spt-BH.xls][Spt-BH_xls]_S_2144"/>
      <sheetName val="[Spt-BH.xls][Spt-BH_xls]B__6473"/>
      <sheetName val="[Spt-BH.xls][Spt-BH_xls]B__6474"/>
      <sheetName val="[Spt-BH.xls][Spt-BH_xls]_S_2145"/>
      <sheetName val="[Spt-BH.xls][Spt-BH_xls]B__6475"/>
      <sheetName val="[Spt-BH.xls][Spt-BH_xls]B__6476"/>
      <sheetName val="[Spt-BH.xls][Spt-BH_xls]_S_2146"/>
      <sheetName val="[Spt-BH.xls][Spt-BH.xls]_S_2206"/>
      <sheetName val="[Spt-BH.xls][Spt-BH.xls]B__6312"/>
      <sheetName val="[Spt-BH.xls][Spt-BH.xls]B__6313"/>
      <sheetName val="[Spt-BH.xls][Spt-BH.xls]_S_2208"/>
      <sheetName val="[Spt-BH.xls][Spt-BH.xls]B__6314"/>
      <sheetName val="[Spt-BH.xls][Spt-BH.xls]B__6315"/>
      <sheetName val="[Spt-BH.xls][Spt-BH.xls]B__6316"/>
      <sheetName val="[Spt-BH.xls][Spt-BH.xls]B__6317"/>
      <sheetName val="[Spt-BH.xls][Spt-BH.xls]_S_2207"/>
      <sheetName val="[Spt-BH.xls][Spt-BH.xls]_S_2209"/>
      <sheetName val="[Spt-BH.xls][Spt-BH.xls]B__6318"/>
      <sheetName val="[Spt-BH.xls][Spt-BH.xls]B__6319"/>
      <sheetName val="[Spt-BH.xls][Spt-BH.xls]_S_2211"/>
      <sheetName val="[Spt-BH.xls][Spt-BH.xls]B__6320"/>
      <sheetName val="[Spt-BH.xls][Spt-BH.xls]B__6321"/>
      <sheetName val="[Spt-BH.xls][Spt-BH.xls]B__6325"/>
      <sheetName val="[Spt-BH.xls][Spt-BH.xls]B__6326"/>
      <sheetName val="[Spt-BH.xls][Spt-BH.xls]_S_2221"/>
      <sheetName val="[Spt-BH.xls][Spt-BH.xls]B__6327"/>
      <sheetName val="[Spt-BH.xls][Spt-BH.xls]B__6328"/>
      <sheetName val="[Spt-BH.xls]B____x005f_x0004______518"/>
      <sheetName val="[Spt-BH.xls][Spt-BH.xls]B__6322"/>
      <sheetName val="[Spt-BH.xls][Spt-BH.xls]B__6323"/>
      <sheetName val="[Spt-BH.xls]B___x005f_x0000__x000_510"/>
      <sheetName val="[Spt-BH.xls][Spt-BH.xls]B__6329"/>
      <sheetName val="[Spt-BH.xls][Spt-BH.xls]B__6330"/>
      <sheetName val="[Spt-BH.xls][Spt-BH.xls]B__6324"/>
      <sheetName val="[Spt-BH.xls][Spt-BH.xls]_S_2212"/>
      <sheetName val="[Spt-BH.xls][Spt-BH_xls]B__6477"/>
      <sheetName val="[Spt-BH.xls][Spt-BH_xls]B__6478"/>
      <sheetName val="[Spt-BH.xls][Spt-BH_xls]B__6479"/>
      <sheetName val="[Spt-BH.xls][Spt-BH_xls]B__6480"/>
      <sheetName val="[Spt-BH.xls][Spt-BH_xls]_S_2147"/>
      <sheetName val="[Spt-BH.xls][Spt-BH_xls]B__6481"/>
      <sheetName val="[Spt-BH.xls][Spt-BH_xls]B__6482"/>
      <sheetName val="[Spt-BH.xls][Spt-BH_xls]B__6483"/>
      <sheetName val="[Spt-BH.xls][Spt-BH_xls]_S_2148"/>
      <sheetName val="[Spt-BH.xls][Spt-BH_xls]B__6484"/>
      <sheetName val="[Spt-BH.xls][Spt-BH_xls]B__6485"/>
      <sheetName val="[Spt-BH.xls][Spt-BH_xls]B__6486"/>
      <sheetName val="[Spt-BH.xls][Spt-BH_xls]B__6487"/>
      <sheetName val="[Spt-BH.xls][Spt-BH_xls]_S_2149"/>
      <sheetName val="[Spt-BH.xls][Spt-BH.xls]_S_2210"/>
      <sheetName val="[Spt-BH.xls][Spt-BH_xls]B__6488"/>
      <sheetName val="[Spt-BH.xls][Spt-BH_xls]B__6489"/>
      <sheetName val="[Spt-BH.xls][Spt-BH_xls]_S_2150"/>
      <sheetName val="[Spt-BH.xls][Spt-BH_xls]B__6490"/>
      <sheetName val="[Spt-BH.xls][Spt-BH_xls]B__6491"/>
      <sheetName val="[Spt-BH.xls][Spt-BH_xls]_S_2151"/>
      <sheetName val="[Spt-BH.xls][Spt-BH.xls]_S_2217"/>
      <sheetName val="[Spt-BH.xls][Spt-BH.xls]B__6343"/>
      <sheetName val="[Spt-BH.xls][Spt-BH.xls]B__6344"/>
      <sheetName val="[Spt-BH.xls][Spt-BH.xls]_S_2219"/>
      <sheetName val="[Spt-BH.xls][Spt-BH.xls]B__6345"/>
      <sheetName val="[Spt-BH.xls][Spt-BH.xls]B__6346"/>
      <sheetName val="[Spt-BH.xls][Spt-BH.xls]B__6347"/>
      <sheetName val="[Spt-BH.xls][Spt-BH.xls]B__6348"/>
      <sheetName val="[Spt-BH.xls][Spt-BH.xls]_S_2218"/>
      <sheetName val="[Spt-BH.xls][Spt-BH.xls]_S_2215"/>
      <sheetName val="[Spt-BH.xls][Spt-BH.xls]B__6337"/>
      <sheetName val="[Spt-BH.xls][Spt-BH.xls]B__6338"/>
      <sheetName val="[Spt-BH.xls][Spt-BH.xls]B__6339"/>
      <sheetName val="[Spt-BH.xls][Spt-BH.xls]B__6340"/>
      <sheetName val="[Spt-BH.xls][Spt-BH.xls]B__6341"/>
      <sheetName val="[Spt-BH.xls][Spt-BH.xls]B__6342"/>
      <sheetName val="[Spt-BH.xls][Spt-BH.xls]_S_2216"/>
      <sheetName val="[Spt-BH.xls][Spt-BH.xls]_S_2213"/>
      <sheetName val="[Spt-BH.xls][Spt-BH.xls]B__6331"/>
      <sheetName val="[Spt-BH.xls][Spt-BH.xls]B__6332"/>
      <sheetName val="[Spt-BH.xls][Spt-BH.xls]B__6333"/>
      <sheetName val="[Spt-BH.xls][Spt-BH.xls]B__6334"/>
      <sheetName val="[Spt-BH.xls][Spt-BH.xls]B__6335"/>
      <sheetName val="[Spt-BH.xls][Spt-BH.xls]B__6336"/>
      <sheetName val="[Spt-BH.xls][Spt-BH.xls]_S_2214"/>
      <sheetName val="[Spt-BH.xls][Spt-BH.xls]_S_2220"/>
      <sheetName val="[Spt-BH.xls][Spt-BH.xls]B__6349"/>
      <sheetName val="[Spt-BH.xls][Spt-BH.xls]B__6350"/>
      <sheetName val="[Spt-BH.xls][Spt-BH.xls]_S_2223"/>
      <sheetName val="[Spt-BH.xls][Spt-BH.xls]B__6351"/>
      <sheetName val="[Spt-BH.xls][Spt-BH.xls]B__6352"/>
      <sheetName val="[Spt-BH.xls][Spt-BH.xls]B__6353"/>
      <sheetName val="[Spt-BH.xls][Spt-BH.xls]B__6354"/>
      <sheetName val="[Spt-BH.xls][Spt-BH.xls]_S_2222"/>
      <sheetName val="[Spt-BH.xls][Spt-BH.xls]B__6356"/>
      <sheetName val="[Spt-BH.xls][Spt-BH.xls]B__6357"/>
      <sheetName val="[Spt-BH.xls][Spt-BH.xls]_S_2225"/>
      <sheetName val="[Spt-BH.xls][Spt-BH.xls]B__6358"/>
      <sheetName val="[Spt-BH.xls][Spt-BH.xls]B__6359"/>
      <sheetName val="[Spt-BH.xls]B____x005f_x0004______519"/>
      <sheetName val="[Spt-BH.xls]B___x005f_x0000__x000_511"/>
      <sheetName val="[Spt-BH.xls][Spt-BH.xls]B__6360"/>
      <sheetName val="[Spt-BH.xls][Spt-BH.xls]B__6361"/>
      <sheetName val="[Spt-BH.xls][Spt-BH.xls]B__6355"/>
      <sheetName val="[Spt-BH.xls][Spt-BH.xls]_S_2224"/>
      <sheetName val="[Spt-BH.xls][Spt-BH_xls]B__6492"/>
      <sheetName val="[Spt-BH.xls][Spt-BH_xls]B__6493"/>
      <sheetName val="[Spt-BH.xls][Spt-BH_xls]B__6494"/>
      <sheetName val="[Spt-BH.xls][Spt-BH_xls]B__6495"/>
      <sheetName val="[Spt-BH.xls][Spt-BH_xls]_S_2152"/>
      <sheetName val="[Spt-BH.xls][Spt-BH_xls]B__6496"/>
      <sheetName val="[Spt-BH.xls][Spt-BH_xls]B__6497"/>
      <sheetName val="[Spt-BH.xls][Spt-BH_xls]B__6498"/>
      <sheetName val="[Spt-BH.xls][Spt-BH_xls]_S_2153"/>
      <sheetName val="[Spt-BH.xls][Spt-BH_xls]B__6499"/>
      <sheetName val="[Spt-BH.xls][Spt-BH_xls]B__6500"/>
      <sheetName val="[Spt-BH.xls][Spt-BH_xls]B__6501"/>
      <sheetName val="[Spt-BH.xls][Spt-BH_xls]B__6502"/>
      <sheetName val="[Spt-BH.xls][Spt-BH_xls]_S_2154"/>
      <sheetName val="[Spt-BH.xls][Spt-BH_xls]B__6503"/>
      <sheetName val="[Spt-BH.xls][Spt-BH_xls]B__6504"/>
      <sheetName val="[Spt-BH.xls][Spt-BH_xls]_S_2155"/>
      <sheetName val="[Spt-BH.xls][Spt-BH_xls]B__6505"/>
      <sheetName val="[Spt-BH.xls][Spt-BH_xls]B__6506"/>
      <sheetName val="[Spt-BH.xls][Spt-BH_xls]_S_2156"/>
      <sheetName val="[Spt-BH.xls][Spt-BH.xls]_S_2226"/>
      <sheetName val="[Spt-BH.xls][Spt-BH.xls]B__6362"/>
      <sheetName val="[Spt-BH.xls][Spt-BH.xls]B__6363"/>
      <sheetName val="[Spt-BH.xls][Spt-BH.xls]_S_2229"/>
      <sheetName val="[Spt-BH.xls][Spt-BH.xls]B__6364"/>
      <sheetName val="[Spt-BH.xls][Spt-BH.xls]B__6365"/>
      <sheetName val="[Spt-BH.xls][Spt-BH.xls]B__6366"/>
      <sheetName val="[Spt-BH.xls][Spt-BH.xls]B__6367"/>
      <sheetName val="[Spt-BH.xls][Spt-BH.xls]_S_2227"/>
      <sheetName val="[Spt-BH.xls][Spt-BH.xls]_S_2228"/>
      <sheetName val="[Spt-BH.xls][Spt-BH.xls]B__6368"/>
      <sheetName val="[Spt-BH.xls][Spt-BH.xls]B__6369"/>
      <sheetName val="[Spt-BH.xls][Spt-BH.xls]B__6370"/>
      <sheetName val="[Spt-BH.xls][Spt-BH.xls]B__6377"/>
      <sheetName val="[Spt-BH.xls][Spt-BH.xls]B__6378"/>
      <sheetName val="[Spt-BH.xls][Spt-BH.xls]_S_2231"/>
      <sheetName val="[Spt-BH.xls][Spt-BH.xls]B__6379"/>
      <sheetName val="[Spt-BH.xls][Spt-BH.xls]B__6380"/>
      <sheetName val="[Spt-BH.xls]B____x005f_x0004______520"/>
      <sheetName val="[Spt-BH.xls][Spt-BH.xls]B__6371"/>
      <sheetName val="[Spt-BH.xls][Spt-BH.xls]B__6372"/>
      <sheetName val="[Spt-BH.xls][Spt-BH.xls]B__6373"/>
      <sheetName val="[Spt-BH.xls][Spt-BH.xls]B__6374"/>
      <sheetName val="[Spt-BH.xls]B___x005f_x0000__x000_512"/>
      <sheetName val="[Spt-BH.xls][Spt-BH.xls]B__6381"/>
      <sheetName val="[Spt-BH.xls][Spt-BH.xls]B__6382"/>
      <sheetName val="[Spt-BH.xls][Spt-BH.xls]B__6375"/>
      <sheetName val="[Spt-BH.xls][Spt-BH.xls]B__6376"/>
      <sheetName val="[Spt-BH.xls][Spt-BH.xls]_S_2230"/>
      <sheetName val="[Spt-BH.xls][Spt-BH_xls]B__6507"/>
      <sheetName val="[Spt-BH.xls][Spt-BH_xls]B__6508"/>
      <sheetName val="[Spt-BH.xls][Spt-BH_xls]B__6509"/>
      <sheetName val="[Spt-BH.xls][Spt-BH_xls]B__6510"/>
      <sheetName val="[Spt-BH.xls][Spt-BH_xls]_S_2157"/>
      <sheetName val="[Spt-BH.xls][Spt-BH_xls]B__6511"/>
      <sheetName val="[Spt-BH.xls][Spt-BH_xls]B__6512"/>
      <sheetName val="[Spt-BH.xls][Spt-BH_xls]B__6513"/>
      <sheetName val="[Spt-BH.xls][Spt-BH_xls]_S_2158"/>
      <sheetName val="[Spt-BH.xls][Spt-BH_xls]B__6514"/>
      <sheetName val="[Spt-BH.xls][Spt-BH_xls]B__6515"/>
      <sheetName val="[Spt-BH.xls][Spt-BH_xls]B__6516"/>
      <sheetName val="[Spt-BH.xls][Spt-BH_xls]B__6517"/>
      <sheetName val="[Spt-BH.xls][Spt-BH_xls]_S_2159"/>
      <sheetName val="[Spt-BH.xls][Spt-BH_xls]B__6518"/>
      <sheetName val="[Spt-BH.xls][Spt-BH_xls]B__6519"/>
      <sheetName val="[Spt-BH.xls][Spt-BH_xls]_S_2160"/>
      <sheetName val="[Spt-BH.xls][Spt-BH_xls]B__6520"/>
      <sheetName val="[Spt-BH.xls][Spt-BH_xls]B__6521"/>
      <sheetName val="[Spt-BH.xls][Spt-BH_xls]_S_2161"/>
      <sheetName val="[Spt-BH.xls][Spt-BH.xls]_S_2232"/>
      <sheetName val="[Spt-BH.xls][Spt-BH.xls]_S_2235"/>
      <sheetName val="[Spt-BH.xls][Spt-BH.xls]B__6390"/>
      <sheetName val="[Spt-BH.xls][Spt-BH.xls]B__6391"/>
      <sheetName val="[Spt-BH.xls][Spt-BH.xls]_S_2239"/>
      <sheetName val="[Spt-BH.xls][Spt-BH.xls]B__6392"/>
      <sheetName val="[Spt-BH.xls][Spt-BH.xls]B__6393"/>
      <sheetName val="[Spt-BH.xls][Spt-BH.xls]B__6394"/>
      <sheetName val="[Spt-BH.xls][Spt-BH.xls]B__6395"/>
      <sheetName val="[Spt-BH.xls][Spt-BH.xls]_S_2236"/>
      <sheetName val="[Spt-BH.xls][Spt-BH.xls]B__6403"/>
      <sheetName val="[Spt-BH.xls][Spt-BH.xls]B__6404"/>
      <sheetName val="[Spt-BH.xls][Spt-BH.xls]_S_2241"/>
      <sheetName val="[Spt-BH.xls][Spt-BH.xls]B__6405"/>
      <sheetName val="[Spt-BH.xls][Spt-BH.xls]B__6406"/>
      <sheetName val="[Spt-BH.xls]B____x005f_x0004______522"/>
      <sheetName val="[Spt-BH.xls]B___x005f_x0000__x000_514"/>
      <sheetName val="[Spt-BH.xls][Spt-BH.xls]B__6407"/>
      <sheetName val="[Spt-BH.xls][Spt-BH.xls]B__6408"/>
      <sheetName val="[Spt-BH.xls][Spt-BH.xls]B__6396"/>
      <sheetName val="[Spt-BH.xls][Spt-BH.xls]_S_2240"/>
      <sheetName val="[Spt-BH.xls][Spt-BH_xls]B__6537"/>
      <sheetName val="[Spt-BH.xls][Spt-BH_xls]B__6538"/>
      <sheetName val="[Spt-BH.xls][Spt-BH_xls]B__6539"/>
      <sheetName val="[Spt-BH.xls][Spt-BH_xls]B__6540"/>
      <sheetName val="[Spt-BH.xls][Spt-BH_xls]_S_2167"/>
      <sheetName val="[Spt-BH.xls][Spt-BH_xls]B__6541"/>
      <sheetName val="[Spt-BH.xls][Spt-BH_xls]B__6542"/>
      <sheetName val="[Spt-BH.xls][Spt-BH_xls]B__6543"/>
      <sheetName val="[Spt-BH.xls][Spt-BH_xls]_S_2168"/>
      <sheetName val="[Spt-BH.xls][Spt-BH_xls]B__6544"/>
      <sheetName val="[Spt-BH.xls][Spt-BH_xls]B__6545"/>
      <sheetName val="[Spt-BH.xls][Spt-BH_xls]B__6546"/>
      <sheetName val="[Spt-BH.xls][Spt-BH_xls]B__6547"/>
      <sheetName val="[Spt-BH.xls][Spt-BH_xls]_S_2169"/>
      <sheetName val="[Spt-BH.xls][Spt-BH_xls]B__6548"/>
      <sheetName val="[Spt-BH.xls][Spt-BH_xls]B__6549"/>
      <sheetName val="[Spt-BH.xls][Spt-BH_xls]_S_2170"/>
      <sheetName val="[Spt-BH.xls][Spt-BH_xls]B__6550"/>
      <sheetName val="[Spt-BH.xls][Spt-BH_xls]B__6551"/>
      <sheetName val="[Spt-BH.xls][Spt-BH_xls]_S_2171"/>
      <sheetName val="[Spt-BH.xls][Spt-BH.xls]_S_2233"/>
      <sheetName val="[Spt-BH.xls][Spt-BH.xls]B__6383"/>
      <sheetName val="[Spt-BH.xls][Spt-BH.xls]B__6384"/>
      <sheetName val="[Spt-BH.xls][Spt-BH.xls]B__6385"/>
      <sheetName val="[Spt-BH.xls][Spt-BH.xls]B__6386"/>
      <sheetName val="[Spt-BH.xls][Spt-BH.xls]B__6387"/>
      <sheetName val="[Spt-BH.xls][Spt-BH.xls]B__6388"/>
      <sheetName val="[Spt-BH.xls][Spt-BH.xls]_S_2234"/>
      <sheetName val="[Spt-BH.xls]B____x005f_x0004______521"/>
      <sheetName val="[Spt-BH.xls]B___x005f_x0000__x000_513"/>
      <sheetName val="[Spt-BH.xls][Spt-BH.xls]B__6389"/>
      <sheetName val="[Spt-BH.xls][Spt-BH_xls]B__6522"/>
      <sheetName val="[Spt-BH.xls][Spt-BH_xls]B__6523"/>
      <sheetName val="[Spt-BH.xls][Spt-BH_xls]B__6524"/>
      <sheetName val="[Spt-BH.xls][Spt-BH_xls]B__6525"/>
      <sheetName val="[Spt-BH.xls][Spt-BH_xls]_S_2162"/>
      <sheetName val="[Spt-BH.xls][Spt-BH_xls]B__6526"/>
      <sheetName val="[Spt-BH.xls][Spt-BH_xls]B__6527"/>
      <sheetName val="[Spt-BH.xls][Spt-BH_xls]B__6528"/>
      <sheetName val="[Spt-BH.xls][Spt-BH_xls]_S_2163"/>
      <sheetName val="[Spt-BH.xls][Spt-BH_xls]B__6529"/>
      <sheetName val="[Spt-BH.xls][Spt-BH_xls]B__6530"/>
      <sheetName val="[Spt-BH.xls][Spt-BH_xls]B__6531"/>
      <sheetName val="[Spt-BH.xls][Spt-BH_xls]B__6532"/>
      <sheetName val="[Spt-BH.xls][Spt-BH_xls]_S_2164"/>
      <sheetName val="[Spt-BH.xls][Spt-BH_xls]B__6533"/>
      <sheetName val="[Spt-BH.xls][Spt-BH_xls]B__6534"/>
      <sheetName val="[Spt-BH.xls][Spt-BH_xls]_S_2165"/>
      <sheetName val="[Spt-BH.xls][Spt-BH_xls]B__6535"/>
      <sheetName val="[Spt-BH.xls][Spt-BH_xls]B__6536"/>
      <sheetName val="[Spt-BH.xls][Spt-BH_xls]_S_2166"/>
      <sheetName val="[Spt-BH.xls][Spt-BH.xls]_S_2237"/>
      <sheetName val="[Spt-BH.xls][Spt-BH.xls]B__6397"/>
      <sheetName val="[Spt-BH.xls][Spt-BH.xls]B__6398"/>
      <sheetName val="[Spt-BH.xls][Spt-BH.xls]B__6399"/>
      <sheetName val="[Spt-BH.xls][Spt-BH.xls]B__6400"/>
      <sheetName val="[Spt-BH.xls][Spt-BH.xls]B__6401"/>
      <sheetName val="[Spt-BH.xls][Spt-BH.xls]B__6402"/>
      <sheetName val="[Spt-BH.xls][Spt-BH.xls]_S_2238"/>
      <sheetName val="[Spt-BH.xls][Spt-BH.xls]_S_2242"/>
      <sheetName val="[Spt-BH.xls][Spt-BH.xls]_S_2245"/>
      <sheetName val="[Spt-BH.xls][Spt-BH.xls]_S_2243"/>
      <sheetName val="[Spt-BH.xls][Spt-BH.xls]_S_2244"/>
      <sheetName val="[Spt-BH.xls][Spt-BH.xls]_S_2246"/>
      <sheetName val="[Spt-BH.xls][Spt-BH.xls]B__6409"/>
      <sheetName val="[Spt-BH.xls][Spt-BH.xls]B__6410"/>
      <sheetName val="[Spt-BH.xls][Spt-BH.xls]B__6411"/>
      <sheetName val="[Spt-BH.xls][Spt-BH.xls]B__6412"/>
      <sheetName val="[Spt-BH.xls][Spt-BH.xls]B__6413"/>
      <sheetName val="[Spt-BH.xls][Spt-BH.xls]B__6414"/>
      <sheetName val="[Spt-BH.xls][Spt-BH.xls]_S_2248"/>
      <sheetName val="[Spt-BH.xls][Spt-BH.xls]_S_2247"/>
      <sheetName val="[Spt-BH.xls][Spt-BH.xls]B__6416"/>
      <sheetName val="[Spt-BH.xls][Spt-BH.xls]B__6417"/>
      <sheetName val="[Spt-BH.xls][Spt-BH.xls]_S_2250"/>
      <sheetName val="[Spt-BH.xls][Spt-BH.xls]B__6418"/>
      <sheetName val="[Spt-BH.xls][Spt-BH.xls]B__6419"/>
      <sheetName val="[Spt-BH.xls]B____x005f_x0004______523"/>
      <sheetName val="[Spt-BH.xls]B___x005f_x0000__x000_515"/>
      <sheetName val="[Spt-BH.xls][Spt-BH.xls]B__6420"/>
      <sheetName val="[Spt-BH.xls][Spt-BH.xls]B__6421"/>
      <sheetName val="[Spt-BH.xls][Spt-BH.xls]B__6415"/>
      <sheetName val="[Spt-BH.xls][Spt-BH.xls]_S_2249"/>
      <sheetName val="[Spt-BH.xls][Spt-BH_xls]B__6552"/>
      <sheetName val="[Spt-BH.xls][Spt-BH_xls]B__6553"/>
      <sheetName val="[Spt-BH.xls][Spt-BH_xls]B__6554"/>
      <sheetName val="[Spt-BH.xls][Spt-BH_xls]B__6555"/>
      <sheetName val="[Spt-BH.xls][Spt-BH_xls]_S_2172"/>
      <sheetName val="[Spt-BH.xls][Spt-BH_xls]B__6556"/>
      <sheetName val="[Spt-BH.xls][Spt-BH_xls]B__6557"/>
      <sheetName val="[Spt-BH.xls][Spt-BH_xls]B__6558"/>
      <sheetName val="[Spt-BH.xls][Spt-BH_xls]_S_2173"/>
      <sheetName val="[Spt-BH.xls][Spt-BH_xls]B__6559"/>
      <sheetName val="[Spt-BH.xls][Spt-BH_xls]B__6560"/>
      <sheetName val="[Spt-BH.xls][Spt-BH_xls]B__6561"/>
      <sheetName val="[Spt-BH.xls][Spt-BH_xls]B__6562"/>
      <sheetName val="[Spt-BH.xls][Spt-BH_xls]_S_2174"/>
      <sheetName val="[Spt-BH.xls][Spt-BH_xls]B__6563"/>
      <sheetName val="[Spt-BH.xls][Spt-BH_xls]B__6564"/>
      <sheetName val="[Spt-BH.xls][Spt-BH_xls]_S_2175"/>
      <sheetName val="[Spt-BH.xls][Spt-BH_xls]B__6565"/>
      <sheetName val="[Spt-BH.xls][Spt-BH_xls]B__6566"/>
      <sheetName val="[Spt-BH.xls][Spt-BH_xls]_S_2176"/>
      <sheetName val="[Spt-BH.xls][Spt-BH.xls]_S_2251"/>
      <sheetName val="[Spt-BH.xls][Spt-BH.xls]B__6422"/>
      <sheetName val="[Spt-BH.xls][Spt-BH.xls]B__6423"/>
      <sheetName val="[Spt-BH.xls][Spt-BH.xls]_S_2254"/>
      <sheetName val="[Spt-BH.xls][Spt-BH.xls]B__6424"/>
      <sheetName val="[Spt-BH.xls][Spt-BH.xls]B__6425"/>
      <sheetName val="[Spt-BH.xls][Spt-BH.xls]_S_2252"/>
      <sheetName val="[Spt-BH.xls][Spt-BH.xls]B__6426"/>
      <sheetName val="[Spt-BH.xls][Spt-BH.xls]B__6427"/>
      <sheetName val="[Spt-BH.xls][Spt-BH.xls]_S_2253"/>
      <sheetName val="[Spt-BH.xls][Spt-BH.xls]_S_2255"/>
      <sheetName val="[Spt-BH.xls][Spt-BH.xls]_S_2256"/>
      <sheetName val="[Spt-BH.xls][Spt-BH.xls]B__6428"/>
      <sheetName val="[Spt-BH.xls][Spt-BH.xls]B__6429"/>
      <sheetName val="[Spt-BH.xls][Spt-BH.xls]_S_2258"/>
      <sheetName val="[Spt-BH.xls][Spt-BH.xls]B__6430"/>
      <sheetName val="[Spt-BH.xls][Spt-BH.xls]B__6431"/>
      <sheetName val="[Spt-BH.xls][Spt-BH.xls]B__6435"/>
      <sheetName val="[Spt-BH.xls][Spt-BH.xls]B__6436"/>
      <sheetName val="[Spt-BH.xls][Spt-BH.xls]_S_2260"/>
      <sheetName val="[Spt-BH.xls][Spt-BH.xls]B__6437"/>
      <sheetName val="[Spt-BH.xls][Spt-BH.xls]B__6438"/>
      <sheetName val="[Spt-BH.xls]B____x005f_x0004______524"/>
      <sheetName val="[Spt-BH.xls][Spt-BH.xls]B__6432"/>
      <sheetName val="[Spt-BH.xls][Spt-BH.xls]B__6433"/>
      <sheetName val="[Spt-BH.xls]B___x005f_x0000__x000_516"/>
      <sheetName val="[Spt-BH.xls][Spt-BH.xls]B__6439"/>
      <sheetName val="[Spt-BH.xls][Spt-BH.xls]B__6440"/>
      <sheetName val="[Spt-BH.xls][Spt-BH.xls]B__6434"/>
      <sheetName val="[Spt-BH.xls][Spt-BH.xls]_S_2259"/>
      <sheetName val="[Spt-BH.xls][Spt-BH_xls]B__6567"/>
      <sheetName val="[Spt-BH.xls][Spt-BH_xls]B__6568"/>
      <sheetName val="[Spt-BH.xls][Spt-BH_xls]B__6569"/>
      <sheetName val="[Spt-BH.xls][Spt-BH_xls]B__6570"/>
      <sheetName val="[Spt-BH.xls][Spt-BH_xls]_S_2177"/>
      <sheetName val="[Spt-BH.xls][Spt-BH_xls]B__6571"/>
      <sheetName val="[Spt-BH.xls][Spt-BH_xls]B__6572"/>
      <sheetName val="[Spt-BH.xls][Spt-BH_xls]B__6573"/>
      <sheetName val="[Spt-BH.xls][Spt-BH_xls]_S_2178"/>
      <sheetName val="[Spt-BH.xls][Spt-BH_xls]B__6574"/>
      <sheetName val="[Spt-BH.xls][Spt-BH_xls]B__6575"/>
      <sheetName val="[Spt-BH.xls][Spt-BH_xls]B__6576"/>
      <sheetName val="[Spt-BH.xls][Spt-BH_xls]B__6577"/>
      <sheetName val="[Spt-BH.xls][Spt-BH_xls]_S_2179"/>
      <sheetName val="[Spt-BH.xls][Spt-BH.xls]_S_2257"/>
      <sheetName val="[Spt-BH.xls][Spt-BH_xls]B__6578"/>
      <sheetName val="[Spt-BH.xls][Spt-BH_xls]B__6579"/>
      <sheetName val="[Spt-BH.xls][Spt-BH_xls]_S_2180"/>
      <sheetName val="[Spt-BH.xls][Spt-BH_xls]B__6580"/>
      <sheetName val="[Spt-BH.xls][Spt-BH_xls]B__6581"/>
      <sheetName val="[Spt-BH.xls][Spt-BH_xls]_S_2181"/>
      <sheetName val="[Spt-BH.xls][Spt-BH.xls]B__6441"/>
      <sheetName val="[Spt-BH.xls][Spt-BH.xls]B__6442"/>
      <sheetName val="[Spt-BH.xls][Spt-BH.xls]_S_2262"/>
      <sheetName val="[Spt-BH.xls][Spt-BH.xls]B__6443"/>
      <sheetName val="[Spt-BH.xls][Spt-BH.xls]B__6444"/>
      <sheetName val="[Spt-BH.xls][Spt-BH.xls]B__6445"/>
      <sheetName val="[Spt-BH.xls][Spt-BH.xls]B__6446"/>
      <sheetName val="[Spt-BH.xls][Spt-BH.xls]_S_2261"/>
      <sheetName val="[Spt-BH.xls][Spt-BH.xls]_S_2263"/>
      <sheetName val="[Spt-BH.xls][Spt-BH.xls]B__6447"/>
      <sheetName val="[Spt-BH.xls][Spt-BH.xls]B__6448"/>
      <sheetName val="[Spt-BH.xls][Spt-BH.xls]_S_2265"/>
      <sheetName val="[Spt-BH.xls][Spt-BH.xls]B__6449"/>
      <sheetName val="[Spt-BH.xls][Spt-BH.xls]B__6450"/>
      <sheetName val="[Spt-BH.xls][Spt-BH.xls]B__6454"/>
      <sheetName val="[Spt-BH.xls][Spt-BH.xls]B__6455"/>
      <sheetName val="[Spt-BH.xls][Spt-BH.xls]_S_2268"/>
      <sheetName val="[Spt-BH.xls][Spt-BH.xls]B__6456"/>
      <sheetName val="[Spt-BH.xls][Spt-BH.xls]B__6457"/>
      <sheetName val="[Spt-BH.xls]B____x005f_x0004______525"/>
      <sheetName val="[Spt-BH.xls][Spt-BH.xls]B__6451"/>
      <sheetName val="[Spt-BH.xls][Spt-BH.xls]B__6452"/>
      <sheetName val="[Spt-BH.xls]B___x005f_x0000__x000_517"/>
      <sheetName val="[Spt-BH.xls][Spt-BH.xls]B__6458"/>
      <sheetName val="[Spt-BH.xls][Spt-BH.xls]B__6459"/>
      <sheetName val="[Spt-BH.xls][Spt-BH.xls]B__6453"/>
      <sheetName val="[Spt-BH.xls][Spt-BH.xls]_S_2266"/>
      <sheetName val="[Spt-BH.xls][Spt-BH_xls]B__6582"/>
      <sheetName val="[Spt-BH.xls][Spt-BH_xls]B__6583"/>
      <sheetName val="[Spt-BH.xls][Spt-BH_xls]B__6584"/>
      <sheetName val="[Spt-BH.xls][Spt-BH_xls]B__6585"/>
      <sheetName val="[Spt-BH.xls][Spt-BH_xls]_S_2182"/>
      <sheetName val="[Spt-BH.xls][Spt-BH_xls]B__6586"/>
      <sheetName val="[Spt-BH.xls][Spt-BH_xls]B__6587"/>
      <sheetName val="[Spt-BH.xls][Spt-BH_xls]B__6588"/>
      <sheetName val="[Spt-BH.xls][Spt-BH_xls]_S_2183"/>
      <sheetName val="[Spt-BH.xls][Spt-BH_xls]B__6589"/>
      <sheetName val="[Spt-BH.xls][Spt-BH_xls]B__6590"/>
      <sheetName val="[Spt-BH.xls][Spt-BH_xls]B__6591"/>
      <sheetName val="[Spt-BH.xls][Spt-BH_xls]B__6592"/>
      <sheetName val="[Spt-BH.xls][Spt-BH_xls]_S_2184"/>
      <sheetName val="[Spt-BH.xls][Spt-BH.xls]_S_2264"/>
      <sheetName val="[Spt-BH.xls][Spt-BH_xls]B__6593"/>
      <sheetName val="[Spt-BH.xls][Spt-BH_xls]B__6594"/>
      <sheetName val="[Spt-BH.xls][Spt-BH_xls]_S_2185"/>
      <sheetName val="[Spt-BH.xls][Spt-BH_xls]B__6595"/>
      <sheetName val="[Spt-BH.xls][Spt-BH_xls]B__6596"/>
      <sheetName val="[Spt-BH.xls][Spt-BH_xls]_S_2186"/>
      <sheetName val="[Spt-BH.xls][Spt-BH.xls]_S_2267"/>
      <sheetName val="[Spt-BH.xls][Spt-BH.xls]B__6460"/>
      <sheetName val="[Spt-BH.xls][Spt-BH.xls]B__6461"/>
      <sheetName val="[Spt-BH.xls][Spt-BH.xls]_S_2270"/>
      <sheetName val="[Spt-BH.xls][Spt-BH.xls]B__6462"/>
      <sheetName val="[Spt-BH.xls][Spt-BH.xls]B__6463"/>
      <sheetName val="[Spt-BH.xls][Spt-BH.xls]B__6464"/>
      <sheetName val="[Spt-BH.xls][Spt-BH.xls]B__6465"/>
      <sheetName val="[Spt-BH.xls][Spt-BH.xls]_S_2269"/>
      <sheetName val="[Spt-BH.xls][Spt-BH.xls]B__6467"/>
      <sheetName val="[Spt-BH.xls][Spt-BH.xls]B__6468"/>
      <sheetName val="[Spt-BH.xls][Spt-BH.xls]_S_2274"/>
      <sheetName val="[Spt-BH.xls][Spt-BH.xls]B__6469"/>
      <sheetName val="[Spt-BH.xls][Spt-BH.xls]B__6470"/>
      <sheetName val="[Spt-BH.xls]B____x005f_x0004______526"/>
      <sheetName val="[Spt-BH.xls]B___x005f_x0000__x000_518"/>
      <sheetName val="[Spt-BH.xls][Spt-BH.xls]B__6471"/>
      <sheetName val="[Spt-BH.xls][Spt-BH.xls]B__6472"/>
      <sheetName val="[Spt-BH.xls][Spt-BH.xls]B__6466"/>
      <sheetName val="[Spt-BH.xls][Spt-BH.xls]_S_2271"/>
      <sheetName val="[Spt-BH.xls][Spt-BH_xls]B__6597"/>
      <sheetName val="[Spt-BH.xls][Spt-BH_xls]B__6598"/>
      <sheetName val="[Spt-BH.xls][Spt-BH_xls]B__6599"/>
      <sheetName val="[Spt-BH.xls][Spt-BH_xls]B__6600"/>
      <sheetName val="[Spt-BH.xls][Spt-BH_xls]_S_2187"/>
      <sheetName val="[Spt-BH.xls][Spt-BH_xls]B__6601"/>
      <sheetName val="[Spt-BH.xls][Spt-BH_xls]B__6602"/>
      <sheetName val="[Spt-BH.xls][Spt-BH_xls]B__6603"/>
      <sheetName val="[Spt-BH.xls][Spt-BH_xls]_S_2188"/>
      <sheetName val="[Spt-BH.xls][Spt-BH_xls]B__6604"/>
      <sheetName val="[Spt-BH.xls][Spt-BH_xls]B__6605"/>
      <sheetName val="[Spt-BH.xls][Spt-BH_xls]B__6606"/>
      <sheetName val="[Spt-BH.xls][Spt-BH_xls]B__6607"/>
      <sheetName val="[Spt-BH.xls][Spt-BH_xls]_S_2189"/>
      <sheetName val="[Spt-BH.xls][Spt-BH_xls]B__6608"/>
      <sheetName val="[Spt-BH.xls][Spt-BH_xls]B__6609"/>
      <sheetName val="[Spt-BH.xls][Spt-BH_xls]_S_2190"/>
      <sheetName val="[Spt-BH.xls][Spt-BH_xls]B__6610"/>
      <sheetName val="[Spt-BH.xls][Spt-BH_xls]B__6611"/>
      <sheetName val="[Spt-BH.xls][Spt-BH_xls]_S_2191"/>
      <sheetName val="[Spt-BH.xls][Spt-BH.xls]B__6481"/>
      <sheetName val="[Spt-BH.xls][Spt-BH.xls]B__6482"/>
      <sheetName val="[Spt-BH.xls][Spt-BH.xls]_S_2276"/>
      <sheetName val="[Spt-BH.xls][Spt-BH.xls]B__6483"/>
      <sheetName val="[Spt-BH.xls][Spt-BH.xls]B__6484"/>
      <sheetName val="[Spt-BH.xls]B____x005f_x0004______527"/>
      <sheetName val="[Spt-BH.xls]B___x005f_x0000__x000_519"/>
      <sheetName val="[Spt-BH.xls][Spt-BH.xls]B__6485"/>
      <sheetName val="[Spt-BH.xls][Spt-BH.xls]B__6486"/>
      <sheetName val="[Spt-BH.xls][Spt-BH.xls]B__6473"/>
      <sheetName val="[Spt-BH.xls][Spt-BH.xls]_S_2275"/>
      <sheetName val="[Spt-BH.xls][Spt-BH_xls]B__6612"/>
      <sheetName val="[Spt-BH.xls][Spt-BH_xls]B__6613"/>
      <sheetName val="[Spt-BH.xls][Spt-BH_xls]B__6614"/>
      <sheetName val="[Spt-BH.xls][Spt-BH_xls]B__6615"/>
      <sheetName val="[Spt-BH.xls][Spt-BH_xls]_S_2192"/>
      <sheetName val="[Spt-BH.xls][Spt-BH_xls]B__6616"/>
      <sheetName val="[Spt-BH.xls][Spt-BH_xls]B__6617"/>
      <sheetName val="[Spt-BH.xls][Spt-BH_xls]B__6618"/>
      <sheetName val="[Spt-BH.xls][Spt-BH_xls]_S_2193"/>
      <sheetName val="[Spt-BH.xls][Spt-BH_xls]B__6619"/>
      <sheetName val="[Spt-BH.xls][Spt-BH_xls]B__6620"/>
      <sheetName val="[Spt-BH.xls][Spt-BH_xls]B__6621"/>
      <sheetName val="[Spt-BH.xls][Spt-BH_xls]B__6622"/>
      <sheetName val="[Spt-BH.xls][Spt-BH_xls]_S_2194"/>
      <sheetName val="[Spt-BH.xls][Spt-BH_xls]B__6623"/>
      <sheetName val="[Spt-BH.xls][Spt-BH_xls]B__6624"/>
      <sheetName val="[Spt-BH.xls][Spt-BH_xls]_S_2195"/>
      <sheetName val="[Spt-BH.xls][Spt-BH_xls]B__6625"/>
      <sheetName val="[Spt-BH.xls][Spt-BH_xls]B__6626"/>
      <sheetName val="[Spt-BH.xls][Spt-BH_xls]_S_2196"/>
      <sheetName val="[Spt-BH.xls][Spt-BH.xls]B__6488"/>
      <sheetName val="[Spt-BH.xls][Spt-BH.xls]B__6489"/>
      <sheetName val="[Spt-BH.xls][Spt-BH.xls]_S_2278"/>
      <sheetName val="[Spt-BH.xls][Spt-BH.xls]B__6490"/>
      <sheetName val="[Spt-BH.xls][Spt-BH.xls]B__6491"/>
      <sheetName val="[Spt-BH.xls]B____x005f_x0004______529"/>
      <sheetName val="[Spt-BH.xls]B___x005f_x0000__x000_521"/>
      <sheetName val="[Spt-BH.xls][Spt-BH.xls]B__6492"/>
      <sheetName val="[Spt-BH.xls][Spt-BH.xls]B__6493"/>
      <sheetName val="[Spt-BH.xls][Spt-BH.xls]B__6487"/>
      <sheetName val="[Spt-BH.xls][Spt-BH.xls]_S_2277"/>
      <sheetName val="[Spt-BH.xls][Spt-BH_xls]B__6642"/>
      <sheetName val="[Spt-BH.xls][Spt-BH_xls]B__6643"/>
      <sheetName val="[Spt-BH.xls][Spt-BH_xls]B__6644"/>
      <sheetName val="[Spt-BH.xls][Spt-BH_xls]B__6645"/>
      <sheetName val="[Spt-BH.xls][Spt-BH_xls]_S_2202"/>
      <sheetName val="[Spt-BH.xls][Spt-BH_xls]B__6646"/>
      <sheetName val="[Spt-BH.xls][Spt-BH_xls]B__6647"/>
      <sheetName val="[Spt-BH.xls][Spt-BH_xls]B__6648"/>
      <sheetName val="[Spt-BH.xls][Spt-BH_xls]_S_2203"/>
      <sheetName val="[Spt-BH.xls][Spt-BH_xls]B__6649"/>
      <sheetName val="[Spt-BH.xls][Spt-BH_xls]B__6650"/>
      <sheetName val="[Spt-BH.xls][Spt-BH_xls]B__6651"/>
      <sheetName val="[Spt-BH.xls][Spt-BH_xls]B__6652"/>
      <sheetName val="[Spt-BH.xls][Spt-BH_xls]_S_2204"/>
      <sheetName val="[Spt-BH.xls][Spt-BH_xls]B__6653"/>
      <sheetName val="[Spt-BH.xls][Spt-BH_xls]B__6654"/>
      <sheetName val="[Spt-BH.xls][Spt-BH_xls]_S_2205"/>
      <sheetName val="[Spt-BH.xls][Spt-BH_xls]B__6655"/>
      <sheetName val="[Spt-BH.xls][Spt-BH_xls]B__6656"/>
      <sheetName val="[Spt-BH.xls][Spt-BH_xls]_S_2206"/>
      <sheetName val="[Spt-BH.xls][Spt-BH.xls]_S_2272"/>
      <sheetName val="[Spt-BH.xls][Spt-BH.xls]B__6474"/>
      <sheetName val="[Spt-BH.xls][Spt-BH.xls]B__6475"/>
      <sheetName val="[Spt-BH.xls][Spt-BH.xls]B__6476"/>
      <sheetName val="[Spt-BH.xls][Spt-BH.xls]B__6477"/>
      <sheetName val="[Spt-BH.xls][Spt-BH.xls]B__6478"/>
      <sheetName val="[Spt-BH.xls][Spt-BH.xls]B__6479"/>
      <sheetName val="[Spt-BH.xls][Spt-BH.xls]_S_2273"/>
      <sheetName val="[Spt-BH.xls]B____x005f_x0004______528"/>
      <sheetName val="[Spt-BH.xls]B___x005f_x0000__x000_520"/>
      <sheetName val="[Spt-BH.xls][Spt-BH.xls]B__6480"/>
      <sheetName val="[Spt-BH.xls][Spt-BH_xls]B__6627"/>
      <sheetName val="[Spt-BH.xls][Spt-BH_xls]B__6628"/>
      <sheetName val="[Spt-BH.xls][Spt-BH_xls]B__6629"/>
      <sheetName val="[Spt-BH.xls][Spt-BH_xls]B__6630"/>
      <sheetName val="[Spt-BH.xls][Spt-BH_xls]_S_2197"/>
      <sheetName val="[Spt-BH.xls][Spt-BH_xls]B__6631"/>
      <sheetName val="[Spt-BH.xls][Spt-BH_xls]B__6632"/>
      <sheetName val="[Spt-BH.xls][Spt-BH_xls]B__6633"/>
      <sheetName val="[Spt-BH.xls][Spt-BH_xls]_S_2198"/>
      <sheetName val="[Spt-BH.xls][Spt-BH_xls]B__6634"/>
      <sheetName val="[Spt-BH.xls][Spt-BH_xls]B__6635"/>
      <sheetName val="[Spt-BH.xls][Spt-BH_xls]B__6636"/>
      <sheetName val="[Spt-BH.xls][Spt-BH_xls]B__6637"/>
      <sheetName val="[Spt-BH.xls][Spt-BH_xls]_S_2199"/>
      <sheetName val="[Spt-BH.xls][Spt-BH_xls]B__6638"/>
      <sheetName val="[Spt-BH.xls][Spt-BH_xls]B__6639"/>
      <sheetName val="[Spt-BH.xls][Spt-BH_xls]_S_2200"/>
      <sheetName val="[Spt-BH.xls][Spt-BH_xls]B__6640"/>
      <sheetName val="[Spt-BH.xls][Spt-BH_xls]B__6641"/>
      <sheetName val="[Spt-BH.xls][Spt-BH_xls]_S_2201"/>
      <sheetName val="[Spt-BH.xls][Spt-BH.xls]_S_2279"/>
      <sheetName val="[Spt-BH.xls][Spt-BH.xls]B__6494"/>
      <sheetName val="[Spt-BH.xls][Spt-BH.xls]B__6495"/>
      <sheetName val="[Spt-BH.xls][Spt-BH.xls]_S_2281"/>
      <sheetName val="[Spt-BH.xls][Spt-BH.xls]B__6496"/>
      <sheetName val="[Spt-BH.xls][Spt-BH.xls]B__6497"/>
      <sheetName val="[Spt-BH.xls][Spt-BH.xls]B__6501"/>
      <sheetName val="[Spt-BH.xls][Spt-BH.xls]B__6502"/>
      <sheetName val="[Spt-BH.xls][Spt-BH.xls]_S_2283"/>
      <sheetName val="[Spt-BH.xls][Spt-BH.xls]B__6503"/>
      <sheetName val="[Spt-BH.xls][Spt-BH.xls]B__6504"/>
      <sheetName val="[Spt-BH.xls]B____x005f_x0004______530"/>
      <sheetName val="[Spt-BH.xls][Spt-BH.xls]B__6498"/>
      <sheetName val="[Spt-BH.xls][Spt-BH.xls]B__6499"/>
      <sheetName val="[Spt-BH.xls]B___x005f_x0000__x000_522"/>
      <sheetName val="[Spt-BH.xls][Spt-BH.xls]B__6505"/>
      <sheetName val="[Spt-BH.xls][Spt-BH.xls]B__6506"/>
      <sheetName val="[Spt-BH.xls][Spt-BH.xls]B__6500"/>
      <sheetName val="[Spt-BH.xls][Spt-BH.xls]_S_2282"/>
      <sheetName val="[Spt-BH.xls][Spt-BH_xls]B__6657"/>
      <sheetName val="[Spt-BH.xls][Spt-BH_xls]B__6658"/>
      <sheetName val="[Spt-BH.xls][Spt-BH_xls]B__6659"/>
      <sheetName val="[Spt-BH.xls][Spt-BH_xls]B__6660"/>
      <sheetName val="[Spt-BH.xls][Spt-BH_xls]_S_2207"/>
      <sheetName val="[Spt-BH.xls][Spt-BH_xls]B__6661"/>
      <sheetName val="[Spt-BH.xls][Spt-BH_xls]B__6662"/>
      <sheetName val="[Spt-BH.xls][Spt-BH_xls]B__6663"/>
      <sheetName val="[Spt-BH.xls][Spt-BH_xls]_S_2208"/>
      <sheetName val="[Spt-BH.xls][Spt-BH_xls]B__6664"/>
      <sheetName val="[Spt-BH.xls][Spt-BH_xls]B__6665"/>
      <sheetName val="[Spt-BH.xls][Spt-BH_xls]B__6666"/>
      <sheetName val="[Spt-BH.xls][Spt-BH_xls]B__6667"/>
      <sheetName val="[Spt-BH.xls][Spt-BH_xls]_S_2209"/>
      <sheetName val="[Spt-BH.xls][Spt-BH.xls]_S_2280"/>
      <sheetName val="[Spt-BH.xls][Spt-BH_xls]B__6668"/>
      <sheetName val="[Spt-BH.xls][Spt-BH_xls]B__6669"/>
      <sheetName val="[Spt-BH.xls][Spt-BH_xls]_S_2210"/>
      <sheetName val="[Spt-BH.xls][Spt-BH_xls]B__6670"/>
      <sheetName val="[Spt-BH.xls][Spt-BH_xls]B__6671"/>
      <sheetName val="[Spt-BH.xls][Spt-BH_xls]_S_2211"/>
      <sheetName val="[Spt-BH.xls][Spt-BH.xls]B__6507"/>
      <sheetName val="[Spt-BH.xls][Spt-BH.xls]B__6508"/>
      <sheetName val="[Spt-BH.xls][Spt-BH.xls]_S_2285"/>
      <sheetName val="[Spt-BH.xls][Spt-BH.xls]B__6509"/>
      <sheetName val="[Spt-BH.xls][Spt-BH.xls]B__6510"/>
      <sheetName val="[Spt-BH.xls][Spt-BH.xls]B__6511"/>
      <sheetName val="[Spt-BH.xls][Spt-BH.xls]B__6512"/>
      <sheetName val="[Spt-BH.xls][Spt-BH.xls]_S_2284"/>
      <sheetName val="[Spt-BH.xls][Spt-BH.xls]B__6513"/>
      <sheetName val="[Spt-BH.xls][Spt-BH.xls]B__6514"/>
      <sheetName val="[Spt-BH.xls][Spt-BH.xls]_S_2287"/>
      <sheetName val="[Spt-BH.xls][Spt-BH.xls]B__6515"/>
      <sheetName val="[Spt-BH.xls][Spt-BH.xls]B__6516"/>
      <sheetName val="[Spt-BH.xls][Spt-BH.xls]B__6520"/>
      <sheetName val="[Spt-BH.xls][Spt-BH.xls]B__6521"/>
      <sheetName val="[Spt-BH.xls][Spt-BH.xls]_S_2289"/>
      <sheetName val="[Spt-BH.xls][Spt-BH.xls]B__6522"/>
      <sheetName val="[Spt-BH.xls][Spt-BH.xls]B__6523"/>
      <sheetName val="[Spt-BH.xls]B____x005f_x0004______531"/>
      <sheetName val="[Spt-BH.xls][Spt-BH.xls]B__6517"/>
      <sheetName val="[Spt-BH.xls][Spt-BH.xls]B__6518"/>
      <sheetName val="[Spt-BH.xls]B___x005f_x0000__x000_523"/>
      <sheetName val="[Spt-BH.xls][Spt-BH.xls]B__6524"/>
      <sheetName val="[Spt-BH.xls][Spt-BH.xls]B__6525"/>
      <sheetName val="[Spt-BH.xls][Spt-BH.xls]B__6519"/>
      <sheetName val="[Spt-BH.xls][Spt-BH.xls]_S_2288"/>
      <sheetName val="[Spt-BH.xls][Spt-BH_xls]B__6672"/>
      <sheetName val="[Spt-BH.xls][Spt-BH_xls]B__6673"/>
      <sheetName val="[Spt-BH.xls][Spt-BH_xls]B__6674"/>
      <sheetName val="[Spt-BH.xls][Spt-BH_xls]B__6675"/>
      <sheetName val="[Spt-BH.xls][Spt-BH_xls]_S_2212"/>
      <sheetName val="[Spt-BH.xls][Spt-BH_xls]B__6676"/>
      <sheetName val="[Spt-BH.xls][Spt-BH_xls]B__6677"/>
      <sheetName val="[Spt-BH.xls][Spt-BH_xls]B__6678"/>
      <sheetName val="[Spt-BH.xls][Spt-BH_xls]_S_2213"/>
      <sheetName val="[Spt-BH.xls][Spt-BH_xls]B__6679"/>
      <sheetName val="[Spt-BH.xls][Spt-BH_xls]B__6680"/>
      <sheetName val="[Spt-BH.xls][Spt-BH_xls]B__6681"/>
      <sheetName val="[Spt-BH.xls][Spt-BH_xls]B__6682"/>
      <sheetName val="[Spt-BH.xls][Spt-BH_xls]_S_2214"/>
      <sheetName val="[Spt-BH.xls][Spt-BH.xls]_S_2286"/>
      <sheetName val="[Spt-BH.xls][Spt-BH_xls]B__6683"/>
      <sheetName val="[Spt-BH.xls][Spt-BH_xls]B__6684"/>
      <sheetName val="[Spt-BH.xls][Spt-BH_xls]_S_2215"/>
      <sheetName val="[Spt-BH.xls][Spt-BH_xls]B__6685"/>
      <sheetName val="[Spt-BH.xls][Spt-BH_xls]B__6686"/>
      <sheetName val="[Spt-BH.xls][Spt-BH_xls]_S_2216"/>
      <sheetName val="[Spt-BH.xls][Spt-BH.xls]B__6527"/>
      <sheetName val="[Spt-BH.xls][Spt-BH.xls]B__6528"/>
      <sheetName val="[Spt-BH.xls][Spt-BH.xls]_S_2291"/>
      <sheetName val="[Spt-BH.xls][Spt-BH.xls]B__6529"/>
      <sheetName val="[Spt-BH.xls][Spt-BH.xls]B__6530"/>
      <sheetName val="[Spt-BH.xls]B____x005f_x0004______532"/>
      <sheetName val="[Spt-BH.xls]B___x005f_x0000__x000_524"/>
      <sheetName val="[Spt-BH.xls][Spt-BH.xls]B__6531"/>
      <sheetName val="[Spt-BH.xls][Spt-BH.xls]B__6532"/>
      <sheetName val="[Spt-BH.xls][Spt-BH.xls]B__6526"/>
      <sheetName val="[Spt-BH.xls][Spt-BH.xls]_S_2290"/>
      <sheetName val="[Spt-BH.xls][Spt-BH_xls]B__6687"/>
      <sheetName val="[Spt-BH.xls][Spt-BH_xls]B__6688"/>
      <sheetName val="[Spt-BH.xls][Spt-BH_xls]B__6689"/>
      <sheetName val="[Spt-BH.xls][Spt-BH_xls]B__6690"/>
      <sheetName val="[Spt-BH.xls][Spt-BH_xls]_S_2217"/>
      <sheetName val="[Spt-BH.xls][Spt-BH_xls]B__6691"/>
      <sheetName val="[Spt-BH.xls][Spt-BH_xls]B__6692"/>
      <sheetName val="[Spt-BH.xls][Spt-BH_xls]B__6693"/>
      <sheetName val="[Spt-BH.xls][Spt-BH_xls]_S_2218"/>
      <sheetName val="[Spt-BH.xls][Spt-BH_xls]B__6694"/>
      <sheetName val="[Spt-BH.xls][Spt-BH_xls]B__6695"/>
      <sheetName val="[Spt-BH.xls][Spt-BH_xls]B__6696"/>
      <sheetName val="[Spt-BH.xls][Spt-BH_xls]B__6697"/>
      <sheetName val="[Spt-BH.xls][Spt-BH_xls]_S_2219"/>
      <sheetName val="[Spt-BH.xls][Spt-BH_xls]B__6698"/>
      <sheetName val="[Spt-BH.xls][Spt-BH_xls]B__6699"/>
      <sheetName val="[Spt-BH.xls][Spt-BH_xls]_S_2220"/>
      <sheetName val="[Spt-BH.xls][Spt-BH_xls]B__6700"/>
      <sheetName val="[Spt-BH.xls][Spt-BH_xls]B__6701"/>
      <sheetName val="[Spt-BH.xls][Spt-BH_xls]_S_2221"/>
      <sheetName val="[Spt-BH.xls][Spt-BH.xls]B__6533"/>
      <sheetName val="[Spt-BH.xls][Spt-BH.xls]B__6540"/>
      <sheetName val="[Spt-BH.xls][Spt-BH.xls]B__6541"/>
      <sheetName val="[Spt-BH.xls][Spt-BH.xls]_S_2295"/>
      <sheetName val="[Spt-BH.xls][Spt-BH.xls]B__6542"/>
      <sheetName val="[Spt-BH.xls][Spt-BH.xls]B__6543"/>
      <sheetName val="[Spt-BH.xls]B____x005f_x0004______533"/>
      <sheetName val="[Spt-BH.xls][Spt-BH.xls]B__6534"/>
      <sheetName val="[Spt-BH.xls][Spt-BH.xls]_S_2293"/>
      <sheetName val="[Spt-BH.xls][Spt-BH.xls]B__6535"/>
      <sheetName val="[Spt-BH.xls][Spt-BH.xls]B__6536"/>
      <sheetName val="[Spt-BH.xls][Spt-BH.xls]B__6537"/>
      <sheetName val="[Spt-BH.xls]B___x005f_x0000__x000_525"/>
      <sheetName val="[Spt-BH.xls][Spt-BH.xls]B__6544"/>
      <sheetName val="[Spt-BH.xls][Spt-BH.xls]B__6545"/>
      <sheetName val="[Spt-BH.xls][Spt-BH.xls]B__6538"/>
      <sheetName val="[Spt-BH.xls][Spt-BH.xls]B__6539"/>
      <sheetName val="[Spt-BH.xls][Spt-BH.xls]_S_2294"/>
      <sheetName val="[Spt-BH.xls][Spt-BH_xls]B__6702"/>
      <sheetName val="[Spt-BH.xls][Spt-BH_xls]B__6703"/>
      <sheetName val="[Spt-BH.xls][Spt-BH_xls]B__6704"/>
      <sheetName val="[Spt-BH.xls][Spt-BH_xls]B__6705"/>
      <sheetName val="[Spt-BH.xls][Spt-BH_xls]_S_2222"/>
      <sheetName val="[Spt-BH.xls][Spt-BH_xls]B__6706"/>
      <sheetName val="[Spt-BH.xls][Spt-BH_xls]B__6707"/>
      <sheetName val="[Spt-BH.xls][Spt-BH_xls]B__6708"/>
      <sheetName val="[Spt-BH.xls][Spt-BH_xls]_S_2223"/>
      <sheetName val="[Spt-BH.xls][Spt-BH_xls]B__6709"/>
      <sheetName val="[Spt-BH.xls][Spt-BH_xls]B__6710"/>
      <sheetName val="[Spt-BH.xls][Spt-BH_xls]B__6711"/>
      <sheetName val="[Spt-BH.xls][Spt-BH_xls]B__6712"/>
      <sheetName val="[Spt-BH.xls][Spt-BH_xls]_S_2224"/>
      <sheetName val="[Spt-BH.xls][Spt-BH.xls]_S_2292"/>
      <sheetName val="[Spt-BH.xls][Spt-BH_xls]B__6713"/>
      <sheetName val="[Spt-BH.xls][Spt-BH_xls]B__6714"/>
      <sheetName val="[Spt-BH.xls][Spt-BH_xls]_S_2225"/>
      <sheetName val="[Spt-BH.xls][Spt-BH_xls]B__6715"/>
      <sheetName val="[Spt-BH.xls][Spt-BH_xls]B__6716"/>
      <sheetName val="[Spt-BH.xls][Spt-BH_xls]_S_2226"/>
      <sheetName val="[Spt-BH.xls][Spt-BH.xls]B__6546"/>
      <sheetName val="[Spt-BH.xls][Spt-BH.xls]B__6547"/>
      <sheetName val="[Spt-BH.xls][Spt-BH.xls]_S_2298"/>
      <sheetName val="[Spt-BH.xls][Spt-BH.xls]B__6548"/>
      <sheetName val="[Spt-BH.xls][Spt-BH.xls]B__6549"/>
      <sheetName val="[Spt-BH.xls][Spt-BH.xls]B__6550"/>
      <sheetName val="[Spt-BH.xls][Spt-BH.xls]B__6551"/>
      <sheetName val="[Spt-BH.xls][Spt-BH.xls]_S_2296"/>
      <sheetName val="[Spt-BH.xls][Spt-BH.xls]_S_2297"/>
      <sheetName val="[Spt-BH.xls][Spt-BH.xls]_S_2299"/>
      <sheetName val="[Spt-BH.xls][Spt-BH.xls]B__6552"/>
      <sheetName val="[Spt-BH.xls][Spt-BH.xls]B__6553"/>
      <sheetName val="[Spt-BH.xls][Spt-BH.xls]_S_2302"/>
      <sheetName val="[Spt-BH.xls][Spt-BH.xls]B__6554"/>
      <sheetName val="[Spt-BH.xls][Spt-BH.xls]B__6555"/>
      <sheetName val="[Spt-BH.xls][Spt-BH.xls]B__6556"/>
      <sheetName val="[Spt-BH.xls][Spt-BH.xls]B__6557"/>
      <sheetName val="[Spt-BH.xls][Spt-BH.xls]_S_2300"/>
      <sheetName val="[Spt-BH.xls][Spt-BH.xls]_S_2301"/>
      <sheetName val="[Spt-BH.xls][Spt-BH.xls]_S_2305"/>
      <sheetName val="[Spt-BH.xls][Spt-BH.xls]_S_2303"/>
      <sheetName val="[Spt-BH.xls][Spt-BH.xls]_S_2304"/>
      <sheetName val="[Spt-BH.xls][Spt-BH.xls]B__6558"/>
      <sheetName val="[Spt-BH.xls][Spt-BH.xls]B__6559"/>
      <sheetName val="[Spt-BH.xls][Spt-BH.xls]_S_2308"/>
      <sheetName val="[Spt-BH.xls][Spt-BH.xls]B__6560"/>
      <sheetName val="[Spt-BH.xls][Spt-BH.xls]B__6561"/>
      <sheetName val="[Spt-BH.xls][Spt-BH.xls]_S_2306"/>
      <sheetName val="[Spt-BH.xls][Spt-BH.xls]B__6562"/>
      <sheetName val="[Spt-BH.xls][Spt-BH.xls]B__6563"/>
      <sheetName val="[Spt-BH.xls][Spt-BH.xls]_S_2307"/>
      <sheetName val="[Spt-BH.xls][Spt-BH.xls]B__6564"/>
      <sheetName val="[Spt-BH.xls][Spt-BH.xls]B__6565"/>
      <sheetName val="[Spt-BH.xls][Spt-BH.xls]_S_2310"/>
      <sheetName val="[Spt-BH.xls][Spt-BH.xls]B__6566"/>
      <sheetName val="[Spt-BH.xls][Spt-BH.xls]B__6567"/>
      <sheetName val="[Spt-BH.xls][Spt-BH.xls]B__6571"/>
      <sheetName val="[Spt-BH.xls][Spt-BH.xls]B__6572"/>
      <sheetName val="[Spt-BH.xls][Spt-BH.xls]_S_2312"/>
      <sheetName val="[Spt-BH.xls][Spt-BH.xls]B__6573"/>
      <sheetName val="[Spt-BH.xls][Spt-BH.xls]B__6574"/>
      <sheetName val="[Spt-BH.xls]B____x005f_x0004______534"/>
      <sheetName val="[Spt-BH.xls][Spt-BH.xls]B__6568"/>
      <sheetName val="[Spt-BH.xls][Spt-BH.xls]B__6569"/>
      <sheetName val="[Spt-BH.xls]B___x005f_x0000__x000_526"/>
      <sheetName val="[Spt-BH.xls][Spt-BH.xls]B__6575"/>
      <sheetName val="[Spt-BH.xls][Spt-BH.xls]B__6576"/>
      <sheetName val="[Spt-BH.xls][Spt-BH.xls]B__6570"/>
      <sheetName val="[Spt-BH.xls][Spt-BH.xls]_S_2311"/>
      <sheetName val="[Spt-BH.xls][Spt-BH_xls]B__6717"/>
      <sheetName val="[Spt-BH.xls][Spt-BH_xls]B__6718"/>
      <sheetName val="[Spt-BH.xls][Spt-BH_xls]B__6719"/>
      <sheetName val="[Spt-BH.xls][Spt-BH_xls]B__6720"/>
      <sheetName val="[Spt-BH.xls][Spt-BH_xls]_S_2227"/>
      <sheetName val="[Spt-BH.xls][Spt-BH_xls]B__6721"/>
      <sheetName val="[Spt-BH.xls][Spt-BH_xls]B__6722"/>
      <sheetName val="[Spt-BH.xls][Spt-BH_xls]B__6723"/>
      <sheetName val="[Spt-BH.xls][Spt-BH_xls]_S_2228"/>
      <sheetName val="[Spt-BH.xls][Spt-BH_xls]B__6724"/>
      <sheetName val="[Spt-BH.xls][Spt-BH_xls]B__6725"/>
      <sheetName val="[Spt-BH.xls][Spt-BH_xls]B__6726"/>
      <sheetName val="[Spt-BH.xls][Spt-BH_xls]B__6727"/>
      <sheetName val="[Spt-BH.xls][Spt-BH_xls]_S_2229"/>
      <sheetName val="[Spt-BH.xls][Spt-BH.xls]_S_2309"/>
      <sheetName val="[Spt-BH.xls][Spt-BH_xls]B__6728"/>
      <sheetName val="[Spt-BH.xls][Spt-BH_xls]B__6729"/>
      <sheetName val="[Spt-BH.xls][Spt-BH_xls]_S_2230"/>
      <sheetName val="[Spt-BH.xls][Spt-BH_xls]B__6730"/>
      <sheetName val="[Spt-BH.xls][Spt-BH_xls]B__6731"/>
      <sheetName val="[Spt-BH.xls][Spt-BH_xls]_S_2231"/>
      <sheetName val="[Spt-BH.xls][Spt-BH.xls]_S_2313"/>
      <sheetName val="[Spt-BH.xls][Spt-BH.xls]B__6577"/>
      <sheetName val="[Spt-BH.xls][Spt-BH.xls]B__6578"/>
      <sheetName val="[Spt-BH.xls][Spt-BH.xls]_S_2317"/>
      <sheetName val="[Spt-BH.xls][Spt-BH.xls]B__6579"/>
      <sheetName val="[Spt-BH.xls][Spt-BH.xls]B__6580"/>
      <sheetName val="[Spt-BH.xls][Spt-BH.xls]B__6590"/>
      <sheetName val="[Spt-BH.xls][Spt-BH.xls]B__6591"/>
      <sheetName val="[Spt-BH.xls][Spt-BH.xls]_S_2319"/>
      <sheetName val="[Spt-BH.xls][Spt-BH.xls]B__6592"/>
      <sheetName val="[Spt-BH.xls][Spt-BH.xls]B__6593"/>
      <sheetName val="[Spt-BH.xls]B____x005f_x0004______535"/>
      <sheetName val="[Spt-BH.xls][Spt-BH.xls]B__6581"/>
      <sheetName val="[Spt-BH.xls][Spt-BH.xls]B__6582"/>
      <sheetName val="[Spt-BH.xls]B___x005f_x0000__x000_527"/>
      <sheetName val="[Spt-BH.xls][Spt-BH.xls]B__6594"/>
      <sheetName val="[Spt-BH.xls][Spt-BH.xls]B__6595"/>
      <sheetName val="[Spt-BH.xls][Spt-BH.xls]B__6583"/>
      <sheetName val="[Spt-BH.xls][Spt-BH.xls]_S_2318"/>
      <sheetName val="[Spt-BH.xls][Spt-BH_xls]B__6732"/>
      <sheetName val="[Spt-BH.xls][Spt-BH_xls]B__6733"/>
      <sheetName val="[Spt-BH.xls][Spt-BH_xls]B__6734"/>
      <sheetName val="[Spt-BH.xls][Spt-BH_xls]B__6735"/>
      <sheetName val="[Spt-BH.xls][Spt-BH_xls]_S_2232"/>
      <sheetName val="[Spt-BH.xls][Spt-BH_xls]B__6736"/>
      <sheetName val="[Spt-BH.xls][Spt-BH_xls]B__6737"/>
      <sheetName val="[Spt-BH.xls][Spt-BH_xls]B__6738"/>
      <sheetName val="[Spt-BH.xls][Spt-BH_xls]_S_2233"/>
      <sheetName val="[Spt-BH.xls][Spt-BH_xls]B__6739"/>
      <sheetName val="[Spt-BH.xls][Spt-BH_xls]B__6740"/>
      <sheetName val="[Spt-BH.xls][Spt-BH_xls]B__6741"/>
      <sheetName val="[Spt-BH.xls][Spt-BH_xls]B__6742"/>
      <sheetName val="[Spt-BH.xls][Spt-BH_xls]_S_2234"/>
      <sheetName val="[Spt-BH.xls][Spt-BH.xls]_S_2314"/>
      <sheetName val="[Spt-BH.xls][Spt-BH_xls]B__6743"/>
      <sheetName val="[Spt-BH.xls][Spt-BH_xls]B__6744"/>
      <sheetName val="[Spt-BH.xls][Spt-BH_xls]_S_2235"/>
      <sheetName val="[Spt-BH.xls][Spt-BH_xls]B__6745"/>
      <sheetName val="[Spt-BH.xls][Spt-BH_xls]B__6746"/>
      <sheetName val="[Spt-BH.xls][Spt-BH_xls]_S_2236"/>
      <sheetName val="[Spt-BH.xls][Spt-BH.xls]_S_2315"/>
      <sheetName val="[Spt-BH.xls][Spt-BH.xls]B__6584"/>
      <sheetName val="[Spt-BH.xls][Spt-BH.xls]B__6585"/>
      <sheetName val="[Spt-BH.xls][Spt-BH.xls]B__6586"/>
      <sheetName val="[Spt-BH.xls][Spt-BH.xls]B__6587"/>
      <sheetName val="[Spt-BH.xls][Spt-BH.xls]B__6588"/>
      <sheetName val="[Spt-BH.xls][Spt-BH.xls]B__6589"/>
      <sheetName val="[Spt-BH.xls][Spt-BH.xls]_S_2316"/>
      <sheetName val="[Spt-BH.xls][Spt-BH.xls]_S_2322"/>
      <sheetName val="[Spt-BH.xls][Spt-BH.xls]_S_2320"/>
      <sheetName val="[Spt-BH.xls][Spt-BH.xls]_S_2321"/>
      <sheetName val="[Spt-BH.xls][Spt-BH.xls]B__6596"/>
      <sheetName val="[Spt-BH.xls][Spt-BH.xls]B__6597"/>
      <sheetName val="[Spt-BH.xls][Spt-BH.xls]B__6598"/>
      <sheetName val="[Spt-BH.xls][Spt-BH.xls]B__6599"/>
      <sheetName val="[Spt-BH.xls][Spt-BH.xls]B__6603"/>
      <sheetName val="[Spt-BH.xls][Spt-BH.xls]B__6604"/>
      <sheetName val="[Spt-BH.xls][Spt-BH.xls]_S_2323"/>
      <sheetName val="[Spt-BH.xls][Spt-BH.xls]B__6605"/>
      <sheetName val="[Spt-BH.xls][Spt-BH.xls]B__6606"/>
      <sheetName val="[Spt-BH.xls]B____x005f_x0004______536"/>
      <sheetName val="[Spt-BH.xls][Spt-BH.xls]B__6600"/>
      <sheetName val="[Spt-BH.xls][Spt-BH.xls]B__6601"/>
      <sheetName val="[Spt-BH.xls]B___x005f_x0000__x000_528"/>
      <sheetName val="[Spt-BH.xls][Spt-BH.xls]B__6607"/>
      <sheetName val="[Spt-BH.xls][Spt-BH.xls]B__6608"/>
      <sheetName val="[Spt-BH.xls][Spt-BH.xls]B__6602"/>
      <sheetName val="[Spt-BH.xls][Spt-BH_xls]B__6747"/>
      <sheetName val="[Spt-BH.xls][Spt-BH_xls]B__6748"/>
      <sheetName val="[Spt-BH.xls][Spt-BH_xls]B__6749"/>
      <sheetName val="[Spt-BH.xls][Spt-BH_xls]B__6750"/>
      <sheetName val="[Spt-BH.xls][Spt-BH_xls]_S_2237"/>
      <sheetName val="[Spt-BH.xls][Spt-BH_xls]B__6751"/>
      <sheetName val="[Spt-BH.xls][Spt-BH_xls]B__6752"/>
      <sheetName val="[Spt-BH.xls][Spt-BH_xls]B__6753"/>
      <sheetName val="[Spt-BH.xls][Spt-BH_xls]_S_2238"/>
      <sheetName val="[Spt-BH.xls][Spt-BH_xls]B__6754"/>
      <sheetName val="[Spt-BH.xls][Spt-BH_xls]B__6755"/>
      <sheetName val="[Spt-BH.xls][Spt-BH_xls]B__6756"/>
      <sheetName val="[Spt-BH.xls][Spt-BH_xls]B__6757"/>
      <sheetName val="[Spt-BH.xls][Spt-BH_xls]_S_2239"/>
      <sheetName val="[Spt-BH.xls][Spt-BH_xls]B__6758"/>
      <sheetName val="[Spt-BH.xls][Spt-BH_xls]B__6759"/>
      <sheetName val="[Spt-BH.xls][Spt-BH_xls]_S_2240"/>
      <sheetName val="[Spt-BH.xls][Spt-BH_xls]B__6760"/>
      <sheetName val="[Spt-BH.xls][Spt-BH_xls]B__6761"/>
      <sheetName val="[Spt-BH.xls][Spt-BH_xls]_S_2241"/>
      <sheetName val="[Spt-BH.xls][Spt-BH.xls]_S_2324"/>
      <sheetName val="[Spt-BH.xls][Spt-BH.xls]_S_2325"/>
      <sheetName val="[Spt-BH.xls][Spt-BH.xls]B__6609"/>
      <sheetName val="[Spt-BH.xls][Spt-BH.xls]B__6610"/>
      <sheetName val="[Spt-BH.xls][Spt-BH.xls]_S_2327"/>
      <sheetName val="[Spt-BH.xls][Spt-BH.xls]B__6611"/>
      <sheetName val="[Spt-BH.xls][Spt-BH.xls]B__6612"/>
      <sheetName val="[Spt-BH.xls][Spt-BH.xls]B__6616"/>
      <sheetName val="[Spt-BH.xls][Spt-BH.xls]B__6617"/>
      <sheetName val="[Spt-BH.xls][Spt-BH.xls]_S_2331"/>
      <sheetName val="[Spt-BH.xls][Spt-BH.xls]B__6618"/>
      <sheetName val="[Spt-BH.xls][Spt-BH.xls]B__6619"/>
      <sheetName val="[Spt-BH.xls]B____x005f_x0004______537"/>
      <sheetName val="[Spt-BH.xls][Spt-BH.xls]B__6613"/>
      <sheetName val="[Spt-BH.xls][Spt-BH.xls]B__6614"/>
      <sheetName val="[Spt-BH.xls]B___x005f_x0000__x000_529"/>
      <sheetName val="[Spt-BH.xls][Spt-BH.xls]B__6620"/>
      <sheetName val="[Spt-BH.xls][Spt-BH.xls]B__6621"/>
      <sheetName val="[Spt-BH.xls][Spt-BH.xls]B__6615"/>
      <sheetName val="[Spt-BH.xls][Spt-BH.xls]_S_2328"/>
      <sheetName val="[Spt-BH.xls][Spt-BH_xls]B__6762"/>
      <sheetName val="[Spt-BH.xls][Spt-BH_xls]B__6763"/>
      <sheetName val="[Spt-BH.xls][Spt-BH_xls]B__6764"/>
      <sheetName val="[Spt-BH.xls][Spt-BH_xls]B__6765"/>
      <sheetName val="[Spt-BH.xls][Spt-BH_xls]_S_2242"/>
      <sheetName val="[Spt-BH.xls][Spt-BH_xls]B__6766"/>
      <sheetName val="[Spt-BH.xls][Spt-BH_xls]B__6767"/>
      <sheetName val="[Spt-BH.xls][Spt-BH_xls]B__6768"/>
      <sheetName val="[Spt-BH.xls][Spt-BH_xls]_S_2243"/>
      <sheetName val="[Spt-BH.xls][Spt-BH_xls]B__6769"/>
      <sheetName val="[Spt-BH.xls][Spt-BH_xls]B__6770"/>
      <sheetName val="[Spt-BH.xls][Spt-BH_xls]B__6771"/>
      <sheetName val="[Spt-BH.xls][Spt-BH_xls]B__6772"/>
      <sheetName val="[Spt-BH.xls][Spt-BH_xls]_S_2244"/>
      <sheetName val="[Spt-BH.xls][Spt-BH.xls]_S_2326"/>
      <sheetName val="[Spt-BH.xls][Spt-BH_xls]B__6773"/>
      <sheetName val="[Spt-BH.xls][Spt-BH_xls]B__6774"/>
      <sheetName val="[Spt-BH.xls][Spt-BH_xls]_S_2245"/>
      <sheetName val="[Spt-BH.xls][Spt-BH_xls]B__6775"/>
      <sheetName val="[Spt-BH.xls][Spt-BH_xls]B__6776"/>
      <sheetName val="[Spt-BH.xls][Spt-BH_xls]_S_2246"/>
      <sheetName val="[Spt-BH.xls][Spt-BH.xls]B__6628"/>
      <sheetName val="[Spt-BH.xls][Spt-BH.xls]B__6629"/>
      <sheetName val="[Spt-BH.xls][Spt-BH.xls]_S_2339"/>
      <sheetName val="[Spt-BH.xls][Spt-BH.xls]B__6630"/>
      <sheetName val="[Spt-BH.xls][Spt-BH.xls]B__6631"/>
      <sheetName val="[Spt-BH.xls][Spt-BH.xls]B__6632"/>
      <sheetName val="[Spt-BH.xls][Spt-BH.xls]B__6633"/>
      <sheetName val="[Spt-BH.xls][Spt-BH.xls]_S_2332"/>
      <sheetName val="[Spt-BH.xls][Spt-BH.xls]_S_2329"/>
      <sheetName val="[Spt-BH.xls][Spt-BH.xls]B__6622"/>
      <sheetName val="[Spt-BH.xls][Spt-BH.xls]B__6623"/>
      <sheetName val="[Spt-BH.xls][Spt-BH.xls]B__6624"/>
      <sheetName val="[Spt-BH.xls][Spt-BH.xls]B__6625"/>
      <sheetName val="[Spt-BH.xls][Spt-BH.xls]B__6626"/>
      <sheetName val="[Spt-BH.xls][Spt-BH.xls]B__6627"/>
      <sheetName val="[Spt-BH.xls][Spt-BH.xls]_S_2330"/>
      <sheetName val="[Spt-BH.xls][Spt-BH.xls]_S_2335"/>
      <sheetName val="[Spt-BH.xls][Spt-BH.xls]_S_2333"/>
      <sheetName val="[Spt-BH.xls][Spt-BH.xls]B__6635"/>
      <sheetName val="[Spt-BH.xls][Spt-BH.xls]B__6636"/>
      <sheetName val="[Spt-BH.xls][Spt-BH.xls]B__6637"/>
      <sheetName val="[Spt-BH.xls][Spt-BH.xls]B__6638"/>
      <sheetName val="[Spt-BH.xls][Spt-BH.xls]B__6639"/>
      <sheetName val="[Spt-BH.xls][Spt-BH.xls]B__6640"/>
      <sheetName val="[Spt-BH.xls][Spt-BH.xls]_S_2334"/>
      <sheetName val="[Spt-BH.xls][Spt-BH.xls]B__6642"/>
      <sheetName val="[Spt-BH.xls][Spt-BH.xls]B__6643"/>
      <sheetName val="[Spt-BH.xls][Spt-BH.xls]_S_2337"/>
      <sheetName val="[Spt-BH.xls][Spt-BH.xls]B__6644"/>
      <sheetName val="[Spt-BH.xls][Spt-BH.xls]B__6645"/>
      <sheetName val="[Spt-BH.xls]B____x005f_x0004______539"/>
      <sheetName val="[Spt-BH.xls]B___x005f_x0000__x000_531"/>
      <sheetName val="[Spt-BH.xls][Spt-BH.xls]B__6646"/>
      <sheetName val="[Spt-BH.xls][Spt-BH.xls]B__6647"/>
      <sheetName val="[Spt-BH.xls][Spt-BH.xls]B__6641"/>
      <sheetName val="[Spt-BH.xls][Spt-BH.xls]_S_2336"/>
      <sheetName val="[Spt-BH.xls][Spt-BH_xls]B__6792"/>
      <sheetName val="[Spt-BH.xls][Spt-BH_xls]B__6793"/>
      <sheetName val="[Spt-BH.xls][Spt-BH_xls]B__6794"/>
      <sheetName val="[Spt-BH.xls][Spt-BH_xls]B__6795"/>
      <sheetName val="[Spt-BH.xls][Spt-BH_xls]_S_2252"/>
      <sheetName val="[Spt-BH.xls][Spt-BH_xls]B__6796"/>
      <sheetName val="[Spt-BH.xls][Spt-BH_xls]B__6797"/>
      <sheetName val="[Spt-BH.xls][Spt-BH_xls]B__6798"/>
      <sheetName val="[Spt-BH.xls][Spt-BH_xls]_S_2253"/>
      <sheetName val="[Spt-BH.xls][Spt-BH_xls]B__6799"/>
      <sheetName val="[Spt-BH.xls][Spt-BH_xls]B__6800"/>
      <sheetName val="[Spt-BH.xls][Spt-BH_xls]B__6801"/>
      <sheetName val="[Spt-BH.xls][Spt-BH_xls]B__6802"/>
      <sheetName val="[Spt-BH.xls][Spt-BH_xls]_S_2254"/>
      <sheetName val="[Spt-BH.xls][Spt-BH_xls]B__6803"/>
      <sheetName val="[Spt-BH.xls][Spt-BH_xls]B__6804"/>
      <sheetName val="[Spt-BH.xls][Spt-BH_xls]_S_2255"/>
      <sheetName val="[Spt-BH.xls][Spt-BH_xls]B__6805"/>
      <sheetName val="[Spt-BH.xls][Spt-BH_xls]B__6806"/>
      <sheetName val="[Spt-BH.xls][Spt-BH_xls]_S_2256"/>
      <sheetName val="[Spt-BH.xls]B____x005f_x0004______538"/>
      <sheetName val="[Spt-BH.xls]B___x005f_x0000__x000_530"/>
      <sheetName val="[Spt-BH.xls][Spt-BH.xls]B__6634"/>
      <sheetName val="[Spt-BH.xls][Spt-BH_xls]B__6777"/>
      <sheetName val="[Spt-BH.xls][Spt-BH_xls]B__6778"/>
      <sheetName val="[Spt-BH.xls][Spt-BH_xls]B__6779"/>
      <sheetName val="[Spt-BH.xls][Spt-BH_xls]B__6780"/>
      <sheetName val="[Spt-BH.xls][Spt-BH_xls]_S_2247"/>
      <sheetName val="[Spt-BH.xls][Spt-BH_xls]B__6781"/>
      <sheetName val="[Spt-BH.xls][Spt-BH_xls]B__6782"/>
      <sheetName val="[Spt-BH.xls][Spt-BH_xls]B__6783"/>
      <sheetName val="[Spt-BH.xls][Spt-BH_xls]_S_2248"/>
      <sheetName val="[Spt-BH.xls][Spt-BH_xls]B__6784"/>
      <sheetName val="[Spt-BH.xls][Spt-BH_xls]B__6785"/>
      <sheetName val="[Spt-BH.xls][Spt-BH_xls]B__6786"/>
      <sheetName val="[Spt-BH.xls][Spt-BH_xls]B__6787"/>
      <sheetName val="[Spt-BH.xls][Spt-BH_xls]_S_2249"/>
      <sheetName val="[Spt-BH.xls][Spt-BH_xls]B__6788"/>
      <sheetName val="[Spt-BH.xls][Spt-BH_xls]B__6789"/>
      <sheetName val="[Spt-BH.xls][Spt-BH_xls]_S_2250"/>
      <sheetName val="[Spt-BH.xls][Spt-BH_xls]B__6790"/>
      <sheetName val="[Spt-BH.xls][Spt-BH_xls]B__6791"/>
      <sheetName val="[Spt-BH.xls][Spt-BH_xls]_S_2251"/>
      <sheetName val="[Spt-BH.xls][Spt-BH.xls]B__6648"/>
      <sheetName val="[Spt-BH.xls][Spt-BH.xls]B__6649"/>
      <sheetName val="[Spt-BH.xls][Spt-BH.xls]B__6650"/>
      <sheetName val="[Spt-BH.xls][Spt-BH.xls]B__6651"/>
      <sheetName val="[Spt-BH.xls][Spt-BH.xls]B__6655"/>
      <sheetName val="[Spt-BH.xls][Spt-BH.xls]B__6656"/>
      <sheetName val="[Spt-BH.xls][Spt-BH.xls]_S_2341"/>
      <sheetName val="[Spt-BH.xls][Spt-BH.xls]B__6657"/>
      <sheetName val="[Spt-BH.xls][Spt-BH.xls]B__6658"/>
      <sheetName val="[Spt-BH.xls]B____x005f_x0004______540"/>
      <sheetName val="[Spt-BH.xls][Spt-BH.xls]B__6652"/>
      <sheetName val="[Spt-BH.xls][Spt-BH.xls]B__6653"/>
      <sheetName val="[Spt-BH.xls]B___x005f_x0000__x000_532"/>
      <sheetName val="[Spt-BH.xls][Spt-BH.xls]B__6659"/>
      <sheetName val="[Spt-BH.xls][Spt-BH.xls]B__6660"/>
      <sheetName val="[Spt-BH.xls][Spt-BH.xls]B__6654"/>
      <sheetName val="[Spt-BH.xls][Spt-BH.xls]_S_2340"/>
      <sheetName val="[Spt-BH.xls][Spt-BH_xls]B__6807"/>
      <sheetName val="[Spt-BH.xls][Spt-BH_xls]B__6808"/>
      <sheetName val="[Spt-BH.xls][Spt-BH_xls]B__6809"/>
      <sheetName val="[Spt-BH.xls][Spt-BH_xls]B__6810"/>
      <sheetName val="[Spt-BH.xls][Spt-BH_xls]_S_2257"/>
      <sheetName val="[Spt-BH.xls][Spt-BH_xls]B__6811"/>
      <sheetName val="[Spt-BH.xls][Spt-BH_xls]B__6812"/>
      <sheetName val="[Spt-BH.xls][Spt-BH_xls]B__6813"/>
      <sheetName val="[Spt-BH.xls][Spt-BH_xls]_S_2258"/>
      <sheetName val="[Spt-BH.xls][Spt-BH_xls]B__6814"/>
      <sheetName val="[Spt-BH.xls][Spt-BH_xls]B__6815"/>
      <sheetName val="[Spt-BH.xls][Spt-BH_xls]B__6816"/>
      <sheetName val="[Spt-BH.xls][Spt-BH_xls]B__6817"/>
      <sheetName val="[Spt-BH.xls][Spt-BH_xls]_S_2259"/>
      <sheetName val="[Spt-BH.xls][Spt-BH.xls]_S_2338"/>
      <sheetName val="[Spt-BH.xls][Spt-BH_xls]B__6818"/>
      <sheetName val="[Spt-BH.xls][Spt-BH_xls]B__6819"/>
      <sheetName val="[Spt-BH.xls][Spt-BH_xls]_S_2260"/>
      <sheetName val="[Spt-BH.xls][Spt-BH_xls]B__6820"/>
      <sheetName val="[Spt-BH.xls][Spt-BH_xls]B__6821"/>
      <sheetName val="[Spt-BH.xls][Spt-BH_xls]_S_2261"/>
      <sheetName val="[Spt-BH.xls][Spt-BH.xls]B__6661"/>
      <sheetName val="[Spt-BH.xls][Spt-BH.xls]B__6662"/>
      <sheetName val="[Spt-BH.xls][Spt-BH.xls]_S_2344"/>
      <sheetName val="[Spt-BH.xls][Spt-BH.xls]B__6663"/>
      <sheetName val="[Spt-BH.xls][Spt-BH.xls]B__6664"/>
      <sheetName val="[Spt-BH.xls][Spt-BH.xls]_S_2342"/>
      <sheetName val="[Spt-BH.xls][Spt-BH.xls]B__6665"/>
      <sheetName val="[Spt-BH.xls][Spt-BH.xls]B__6666"/>
      <sheetName val="[Spt-BH.xls][Spt-BH.xls]_S_2343"/>
      <sheetName val="[Spt-BH.xls][Spt-BH.xls]B__6668"/>
      <sheetName val="[Spt-BH.xls][Spt-BH.xls]B__6669"/>
      <sheetName val="[Spt-BH.xls][Spt-BH.xls]_S_2346"/>
      <sheetName val="[Spt-BH.xls][Spt-BH.xls]B__6670"/>
      <sheetName val="[Spt-BH.xls][Spt-BH.xls]B__6671"/>
      <sheetName val="[Spt-BH.xls]B____x005f_x0004______541"/>
      <sheetName val="[Spt-BH.xls]B___x005f_x0000__x000_533"/>
      <sheetName val="[Spt-BH.xls][Spt-BH.xls]B__6672"/>
      <sheetName val="[Spt-BH.xls][Spt-BH.xls]B__6673"/>
      <sheetName val="[Spt-BH.xls][Spt-BH.xls]B__6667"/>
      <sheetName val="[Spt-BH.xls][Spt-BH.xls]_S_2345"/>
      <sheetName val="[Spt-BH.xls][Spt-BH_xls]B__6822"/>
      <sheetName val="[Spt-BH.xls][Spt-BH_xls]B__6823"/>
      <sheetName val="[Spt-BH.xls][Spt-BH_xls]B__6824"/>
      <sheetName val="[Spt-BH.xls][Spt-BH_xls]B__6825"/>
      <sheetName val="[Spt-BH.xls][Spt-BH_xls]_S_2262"/>
      <sheetName val="[Spt-BH.xls][Spt-BH_xls]B__6826"/>
      <sheetName val="[Spt-BH.xls][Spt-BH_xls]B__6827"/>
      <sheetName val="[Spt-BH.xls][Spt-BH_xls]B__6828"/>
      <sheetName val="[Spt-BH.xls][Spt-BH_xls]_S_2263"/>
      <sheetName val="[Spt-BH.xls][Spt-BH_xls]B__6829"/>
      <sheetName val="[Spt-BH.xls][Spt-BH_xls]B__6830"/>
      <sheetName val="[Spt-BH.xls][Spt-BH_xls]B__6831"/>
      <sheetName val="[Spt-BH.xls][Spt-BH_xls]B__6832"/>
      <sheetName val="[Spt-BH.xls][Spt-BH_xls]_S_2264"/>
      <sheetName val="[Spt-BH.xls][Spt-BH_xls]B__6833"/>
      <sheetName val="[Spt-BH.xls][Spt-BH_xls]B__6834"/>
      <sheetName val="[Spt-BH.xls][Spt-BH_xls]_S_2265"/>
      <sheetName val="[Spt-BH.xls][Spt-BH_xls]B__6835"/>
      <sheetName val="[Spt-BH.xls][Spt-BH_xls]B__6836"/>
      <sheetName val="[Spt-BH.xls][Spt-BH_xls]_S_2266"/>
      <sheetName val="[Spt-BH.xls][Spt-BH.xls]_S_2347"/>
      <sheetName val="[Spt-BH.xls][Spt-BH.xls]_S_2348"/>
      <sheetName val="[Spt-BH.xls][Spt-BH.xls]_S_2349"/>
      <sheetName val="[Spt-BH.xls][Spt-BH.xls]B__6674"/>
      <sheetName val="[Spt-BH.xls][Spt-BH.xls]B__6675"/>
      <sheetName val="[Spt-BH.xls][Spt-BH.xls]_S_2351"/>
      <sheetName val="[Spt-BH.xls][Spt-BH.xls]B__6676"/>
      <sheetName val="[Spt-BH.xls][Spt-BH.xls]B__6677"/>
      <sheetName val="[Spt-BH.xls][Spt-BH.xls]B__6678"/>
      <sheetName val="[Spt-BH.xls][Spt-BH.xls]B__6679"/>
      <sheetName val="[Spt-BH.xls][Spt-BH.xls]_S_2350"/>
      <sheetName val="[Spt-BH.xls][Spt-BH.xls]_S_2352"/>
      <sheetName val="[Spt-BH.xls][Spt-BH.xls]B__6680"/>
      <sheetName val="[Spt-BH.xls][Spt-BH.xls]B__6681"/>
      <sheetName val="[Spt-BH.xls][Spt-BH.xls]_S_2354"/>
      <sheetName val="[Spt-BH.xls][Spt-BH.xls]B__6682"/>
      <sheetName val="[Spt-BH.xls][Spt-BH.xls]B__6683"/>
      <sheetName val="[Spt-BH.xls][Spt-BH.xls]B__6684"/>
      <sheetName val="[Spt-BH.xls][Spt-BH.xls]B__6685"/>
      <sheetName val="[Spt-BH.xls][Spt-BH.xls]_S_2353"/>
      <sheetName val="[Spt-BH.xls][Spt-BH.xls]B__6686"/>
      <sheetName val="[Spt-BH.xls][Spt-BH.xls]B__6687"/>
      <sheetName val="[Spt-BH.xls][Spt-BH.xls]_S_2373"/>
      <sheetName val="[Spt-BH.xls][Spt-BH.xls]B__6688"/>
      <sheetName val="[Spt-BH.xls][Spt-BH.xls]B__6689"/>
      <sheetName val="[Spt-BH.xls][Spt-BH.xls]_S_2355"/>
      <sheetName val="[Spt-BH.xls][Spt-BH.xls]B__6690"/>
      <sheetName val="[Spt-BH.xls][Spt-BH.xls]B__6691"/>
      <sheetName val="[Spt-BH.xls][Spt-BH.xls]_S_2356"/>
      <sheetName val="[Spt-BH.xls][Spt-BH.xls]B__6730"/>
      <sheetName val="[Spt-BH.xls][Spt-BH.xls]B__6731"/>
      <sheetName val="[Spt-BH.xls][Spt-BH.xls]_S_2375"/>
      <sheetName val="[Spt-BH.xls][Spt-BH.xls]B__6732"/>
      <sheetName val="[Spt-BH.xls][Spt-BH.xls]B__6733"/>
      <sheetName val="[Spt-BH.xls]B____x005f_x0004______542"/>
      <sheetName val="[Spt-BH.xls][Spt-BH.xls]B__6728"/>
      <sheetName val="[Spt-BH.xls][Spt-BH.xls]B__6729"/>
      <sheetName val="_Spt-BH.xls__Spt-BH.xls__Spt_68"/>
      <sheetName val="_Spt-BH.xls__Spt-BH.xls_B___155"/>
      <sheetName val="_Spt-BH.xls__Spt-BH.xls_B___156"/>
      <sheetName val="_Spt-BH.xls__Spt-BH.xls_B___157"/>
      <sheetName val="PPA_Summary1"/>
      <sheetName val="Bill_No_2_to_8_(Rev)1"/>
      <sheetName val="TMT_STEEL1"/>
      <sheetName val="Extra_Item1"/>
      <sheetName val="PPA_Summary"/>
      <sheetName val="[Spt-BH_xls][Spt-BH_xls]B@[?_x3"/>
      <sheetName val="Basic_Rates3"/>
      <sheetName val="activit-graph__3"/>
      <sheetName val="PPA_Summary2"/>
      <sheetName val="beam-reinft-machine_rm3"/>
      <sheetName val="Bill_No_2_to_8_(Rev)2"/>
      <sheetName val="STILT_FLOOR2"/>
      <sheetName val="TMT_STEEL2"/>
      <sheetName val="Extra_Item2"/>
      <sheetName val="PRRM_Dashboard31"/>
      <sheetName val="LT_Motor_catalog14"/>
      <sheetName val="Cable_cat14"/>
      <sheetName val="Debits_as_on_12_04_0829"/>
      <sheetName val="Staff_Forecast_spread29"/>
      <sheetName val="Direct_cost_shed_A-2_29"/>
      <sheetName val="Index_29"/>
      <sheetName val="Email_Approval_Template29"/>
      <sheetName val="1_Executive_Summary29"/>
      <sheetName val="2_Risk_Assessment_Analysis29"/>
      <sheetName val="3_Pre-Approval29"/>
      <sheetName val="4_CIS29"/>
      <sheetName val="5_Change_Order29"/>
      <sheetName val="5_1__Re-book_De-book_order29"/>
      <sheetName val="6_Contract_Re-estimates29"/>
      <sheetName val="7a_BG_Approval_Form29"/>
      <sheetName val="7b_BG_Email_Approval_Template29"/>
      <sheetName val="8_LAD_Approval_Form29"/>
      <sheetName val="9_LOI_Checklist29"/>
      <sheetName val="10_RPS_Information_Form29"/>
      <sheetName val="11_Proj_Cashflow_29"/>
      <sheetName val="11_1_Cash-flow_Chart29"/>
      <sheetName val="Threshold_Calculator29"/>
      <sheetName val="Version_Control29"/>
      <sheetName val="Prebid_Review29"/>
      <sheetName val="DJC_Parameters29"/>
      <sheetName val="Selling_Summary29"/>
      <sheetName val="1-BAS_(cost)29"/>
      <sheetName val="Controller_Configuration29"/>
      <sheetName val="IO_Summary29"/>
      <sheetName val="2-FAS_(cost)29"/>
      <sheetName val="Cost_Summary29"/>
      <sheetName val="3-PA_(cost)29"/>
      <sheetName val="Approved_Make29"/>
      <sheetName val="Basis_of_offer29"/>
      <sheetName val="High_Level_Summary29"/>
      <sheetName val="4-ACS__(cost)29"/>
      <sheetName val="5-CCTV__(cost)29"/>
      <sheetName val="6-FFT__(cost)29"/>
      <sheetName val="7-_Service_Retrofit__(cost)29"/>
      <sheetName val="8-Service_PSA,O&amp;M__(cost)29"/>
      <sheetName val="9-_Service_L&amp;M__(cost)29"/>
      <sheetName val="non_fixed_DJC_29"/>
      <sheetName val="10-UPG_(cost)29"/>
      <sheetName val="11-ESG__(cost)29"/>
      <sheetName val="12-Products_(cost)29"/>
      <sheetName val="13-VAV__(cost)29"/>
      <sheetName val="14-REF_(cost)29"/>
      <sheetName val="15_-_Local_Chiller_(cost)29"/>
      <sheetName val="Selling-Local_Chiller29"/>
      <sheetName val="Material_Cost_JCS29"/>
      <sheetName val="Costing_USD_Chiller29"/>
      <sheetName val="Selling-USD_Chiller29"/>
      <sheetName val="PRICE_MATRIX_-JCIPL29"/>
      <sheetName val="COST_SUMMARY-_JCIPL29"/>
      <sheetName val="6_-FFT-JCIPL29"/>
      <sheetName val="7-Ser_Retro_-JCIPL29"/>
      <sheetName val="8-Ser_PSA,_O&amp;M_-JCIPL29"/>
      <sheetName val="9-Ser_L&amp;M_-JCIPL29"/>
      <sheetName val="10-UPG_JCIPL29"/>
      <sheetName val="11-ESG_JCIPL29"/>
      <sheetName val="12-Products_JCIPL29"/>
      <sheetName val="13-VAV_JCIPL29"/>
      <sheetName val="14-REF_JCMRL_29"/>
      <sheetName val="Proj__DJC-JCIPL29"/>
      <sheetName val="_L0_DDC_129"/>
      <sheetName val="L0_DDC-229"/>
      <sheetName val="L16_DDC-329"/>
      <sheetName val="L16_DDC-529"/>
      <sheetName val="L17_DDC-629"/>
      <sheetName val="L17_DDC-7_29"/>
      <sheetName val="L18_DDC-829"/>
      <sheetName val="2-AutoDialer_Sys29"/>
      <sheetName val="1-BAS1_(cost)29"/>
      <sheetName val="2-BAS2_(cost)29"/>
      <sheetName val="Deviations-Project_Risks29"/>
      <sheetName val="IO_Schedule29"/>
      <sheetName val="2_2_띠장의_설계8"/>
      <sheetName val="Works_-_Quote_Sheet4"/>
      <sheetName val="PACK_(B)4"/>
      <sheetName val="syndicate_codes4"/>
      <sheetName val="_4"/>
      <sheetName val="1_01_(a)4"/>
      <sheetName val="Page_14"/>
      <sheetName val="Page_24"/>
      <sheetName val="Page_34"/>
      <sheetName val="Page_4_Installed4"/>
      <sheetName val="Page_4_Required4"/>
      <sheetName val="Page_5a4"/>
      <sheetName val="Page_5b4"/>
      <sheetName val="Page_5c4"/>
      <sheetName val="Page_5d4"/>
      <sheetName val="Page_5e4"/>
      <sheetName val="Page_5f4"/>
      <sheetName val="Page_5f_(2)4"/>
      <sheetName val="Page_6a4"/>
      <sheetName val="Page_6b4"/>
      <sheetName val="Page_7-14"/>
      <sheetName val="Page_7-2a1-I4"/>
      <sheetName val="Page_7-2a1-II4"/>
      <sheetName val="Page_7-2a1-III4"/>
      <sheetName val="Page_7-2a24"/>
      <sheetName val="Page_7-34"/>
      <sheetName val="Page_7-5a4"/>
      <sheetName val="Page_7-5b14"/>
      <sheetName val="Page_7-5b24"/>
      <sheetName val="Page_7-5c4"/>
      <sheetName val="Page_7-9a4"/>
      <sheetName val="Page_7-9b14"/>
      <sheetName val="Page_7-9b24"/>
      <sheetName val="Page_7-9c4"/>
      <sheetName val="Page_7-11a1-I4"/>
      <sheetName val="Page_7-11a1-II4"/>
      <sheetName val="Page_7-11a1-III4"/>
      <sheetName val="Page_7-11a24"/>
      <sheetName val="Page_7-154"/>
      <sheetName val="Page_7-16a4"/>
      <sheetName val="Page_7-16b4"/>
      <sheetName val="Page_84"/>
      <sheetName val="Havells__LT_(XLPE)4"/>
      <sheetName val="IO_List4"/>
      <sheetName val="Basic_Rate4"/>
      <sheetName val="INFLUENCES_ON_GM4"/>
      <sheetName val="Labour_Rate_4"/>
      <sheetName val="Break_Up_(bc)4"/>
      <sheetName val="Break_Up_(bc1)4"/>
      <sheetName val="Break_Up_(bc2)4"/>
      <sheetName val="Steel_Payment_Doc4"/>
      <sheetName val="Assumption_Inputs4"/>
      <sheetName val="Ins_&amp;_Bonds4"/>
      <sheetName val="Site_facilities4"/>
      <sheetName val="Clients_Requirements4"/>
      <sheetName val="foot-slab_reinft3"/>
      <sheetName val="MASTER_RATE_ANALYSIS3"/>
      <sheetName val="2_BHK4"/>
      <sheetName val="BALANCE-IOTL_4"/>
      <sheetName val="Tender_Appraisal4"/>
      <sheetName val="[Spt-BH_xls][Spt-BH_xls][Spt-B4"/>
      <sheetName val="[Spt-BH_xls][Spt-BH_xls]B@[?@?4"/>
      <sheetName val="Data_sheet3"/>
      <sheetName val="Mat_Cost4"/>
      <sheetName val="DB_ET200(R__A)4"/>
      <sheetName val="kppl_pl4"/>
      <sheetName val="Basic_Rates4"/>
      <sheetName val="activit-graph__4"/>
      <sheetName val="SP&amp;ST_제출가4"/>
      <sheetName val="STILT_FLOOR3"/>
      <sheetName val="[Spt-BH_xls]B@[_x005f_x0000__x005f_x0004_@4"/>
      <sheetName val="_Spt-BH_xls__Spt-BH_xls_B@_3"/>
      <sheetName val="_Spt-BH_xls__Spt-BH_xls__Spt-B3"/>
      <sheetName val="_Spt-BH_xls__Spt-BH_xls_B@__@_3"/>
      <sheetName val="Prelims_Breakup3"/>
      <sheetName val="Staff_planning3"/>
      <sheetName val="1_yr_maintainance3"/>
      <sheetName val="SP_Break_Up3"/>
      <sheetName val="[Spt-BH_xls][Spt-BH_xls]B@[?_x4"/>
      <sheetName val="BQ_List3"/>
      <sheetName val="PANEL_ANNEXURE3"/>
      <sheetName val="Vind_-_BtB3"/>
      <sheetName val="PCS_DATA3"/>
      <sheetName val="Rate_analysis_civil3"/>
      <sheetName val="material_and_Labour_rate3"/>
      <sheetName val="GR_slab-reinft3"/>
      <sheetName val="PPA_Summary3"/>
      <sheetName val="Contract_Status3"/>
      <sheetName val="_Spt-BH_xls_B@_3"/>
      <sheetName val="_Spt-BH_xls_B@_@__$3"/>
      <sheetName val="_Spt-BH_xls_B@__@_____$__3"/>
      <sheetName val="_Spt-BH_xls__Spt-BH_xls_B@___x3"/>
      <sheetName val="_Spt-BH_xls__Spt-BH_xls_B@_@__3"/>
      <sheetName val="beam-reinft-machine_rm4"/>
      <sheetName val="Bill_No_2_to_8_(Rev)3"/>
      <sheetName val="_Spt-BH_xls_B@__@___$_3"/>
      <sheetName val="_Spt-BH_xls__Spt-BH_xls_B@__x03"/>
      <sheetName val="TMT_STEEL3"/>
      <sheetName val="Extra_Item3"/>
      <sheetName val="Camp_Power_Cost4"/>
      <sheetName val="DM_tANK_Allow3"/>
      <sheetName val="입찰내역_발주처_양식3"/>
      <sheetName val="SC_Cost_FEB_033"/>
      <sheetName val="Approved MTD Proj #'s"/>
      <sheetName val="BLOCK-A (MEA.SHEET)"/>
      <sheetName val="BOQ LT"/>
      <sheetName val="_Spt-BH.xls__Spt-BH.xls_B___158"/>
      <sheetName val="_Spt-BH.xls__Spt-BH.xls_B___159"/>
      <sheetName val="_Spt-BH.xls__Spt-BH.xls_B___160"/>
      <sheetName val="_Spt-BH.xls__Spt-BH.xls_B___147"/>
      <sheetName val="_Spt-BH.xls__Spt-BH.xls_B___148"/>
      <sheetName val="_Spt-BH.xls__Spt-BH.xls_B___149"/>
      <sheetName val="_Spt-BH.xls__Spt-BH.xls_B___161"/>
      <sheetName val="_Spt-BH.xls__Spt-BH.xls_B___162"/>
      <sheetName val="_Spt-BH.xls__Spt-BH.xls_B___163"/>
      <sheetName val="_Spt-BH.xls__Spt-BH.xls_B___150"/>
      <sheetName val="_Spt-BH.xls__Spt-BH.xls_B___151"/>
      <sheetName val="_Spt-BH.xls__Spt-BH.xls_B___164"/>
      <sheetName val="_Spt-BH.xls__Spt-BH.xls_B___165"/>
      <sheetName val="_Spt-BH.xls__Spt-BH.xls_B___166"/>
      <sheetName val="_Spt-BH.xls_B____x005f_x0004_______17"/>
      <sheetName val="_Spt-BH.xls_B___x005f_x0000__x005f_x0004_17"/>
      <sheetName val="_Spt-BH.xls__Spt-BH.xls_B___167"/>
      <sheetName val="_Spt-BH.xls__Spt-BH.xls_B___168"/>
      <sheetName val="_Spt-BH.xls__Spt-BH.xls_B___169"/>
      <sheetName val="_Spt-BH.xls__Spt-BH.xls_B___152"/>
      <sheetName val="_Spt-BH.xls_B____x005f_x0004_______16"/>
      <sheetName val="_Spt-BH.xls_B___x005f_x0000__x005f_x0004_16"/>
      <sheetName val="_Spt-BH.xls_B____x005f_x0004_______18"/>
      <sheetName val="_Spt-BH.xls_B___x005f_x0000__x005f_x0004_18"/>
      <sheetName val="_Spt-BH.xls_B____x005f_x0004_______20"/>
      <sheetName val="_Spt-BH.xls_B___x005f_x0000__x005f_x0004_20"/>
      <sheetName val="_Spt-BH.xls__Spt-BH.xls_B___182"/>
      <sheetName val="_Spt-BH.xls__Spt-BH.xls_B___183"/>
      <sheetName val="_Spt-BH.xls__Spt-BH.xls_B___184"/>
      <sheetName val="_Spt-BH.xls__Spt-BH.xls_B___185"/>
      <sheetName val="_Spt-BH.xls__Spt-BH.xls_B___186"/>
      <sheetName val="_Spt-BH.xls__Spt-BH.xls_B___187"/>
      <sheetName val="_Spt-BH.xls__Spt-BH.xls_B___170"/>
      <sheetName val="_Spt-BH.xls__Spt-BH.xls_B___171"/>
      <sheetName val="_Spt-BH.xls__Spt-BH.xls_B___172"/>
      <sheetName val="_Spt-BH.xls__Spt-BH.xls_B___173"/>
      <sheetName val="_Spt-BH.xls__Spt-BH.xls_B___174"/>
      <sheetName val="_Spt-BH.xls__Spt-BH.xls_B___175"/>
      <sheetName val="_Spt-BH.xls_B____x005f_x0004_______19"/>
      <sheetName val="_Spt-BH.xls_B___x005f_x0000__x005f_x0004_19"/>
      <sheetName val="_Spt-BH.xls__Spt-BH.xls_B___176"/>
      <sheetName val="_Spt-BH.xls__Spt-BH.xls_B___177"/>
      <sheetName val="_Spt-BH.xls__Spt-BH.xls_B___178"/>
      <sheetName val="_Spt-BH.xls__Spt-BH.xls_B___179"/>
      <sheetName val="_Spt-BH.xls__Spt-BH.xls_B___180"/>
      <sheetName val="_Spt-BH.xls__Spt-BH.xls_B___181"/>
      <sheetName val="_Spt-BH.xls__Spt-BH.xls_B___188"/>
      <sheetName val="_Spt-BH.xls__Spt-BH.xls_B___189"/>
      <sheetName val="_Spt-BH.xls__Spt-BH.xls_B___190"/>
      <sheetName val="_Spt-BH.xls__Spt-BH.xls_B___191"/>
      <sheetName val="_Spt-BH.xls__Spt-BH.xls_B___192"/>
      <sheetName val="_Spt-BH.xls__Spt-BH.xls_B___193"/>
      <sheetName val="_Spt-BH.xls__Spt-BH.xls_B___242"/>
      <sheetName val="_Spt-BH.xls__Spt-BH.xls_B___243"/>
      <sheetName val="_Spt-BH.xls__Spt-BH.xls_B___244"/>
      <sheetName val="_Spt-BH.xls_B____x005f_x0004_______21"/>
      <sheetName val="_Spt-BH.xls_B___x005f_x0000__x005f_x0004_21"/>
      <sheetName val="_Spt-BH.xls__Spt-BH.xls_B___194"/>
      <sheetName val="_Spt-BH.xls__Spt-BH.xls_B___195"/>
      <sheetName val="_Spt-BH.xls__Spt-BH.xls_B___196"/>
      <sheetName val="_Spt-BH.xls__Spt-BH.xls_B___197"/>
      <sheetName val="_Spt-BH.xls__Spt-BH.xls_B___245"/>
      <sheetName val="_Spt-BH.xls__Spt-BH.xls_B___246"/>
      <sheetName val="_Spt-BH.xls__Spt-BH.xls_B___247"/>
      <sheetName val="_Spt-BH.xls__Spt-BH.xls_B___198"/>
      <sheetName val="_Spt-BH.xls__Spt-BH.xls_B___199"/>
      <sheetName val="_Spt-BH.xls__Spt-BH.xls_B___248"/>
      <sheetName val="_Spt-BH.xls__Spt-BH.xls__Spt_54"/>
      <sheetName val="_Spt-BH.xls__Spt-BH.xls_B___249"/>
      <sheetName val="_Spt-BH.xls__Spt-BH.xls_B___250"/>
      <sheetName val="_Spt-BH.xls_B____x005f_x0004_______27"/>
      <sheetName val="_Spt-BH.xls_B___x005f_x0000__x005f_x0004_27"/>
      <sheetName val="_Spt-BH.xls__Spt-BH.xls_B___251"/>
      <sheetName val="_Spt-BH.xls__Spt-BH.xls_B___252"/>
      <sheetName val="_Spt-BH.xls__Spt-BH.xls_B___253"/>
      <sheetName val="_Spt-BH.xls__Spt-BH.xls_B___230"/>
      <sheetName val="_Spt-BH.xls__Spt-BH.xls_B___231"/>
      <sheetName val="_Spt-BH.xls__Spt-BH.xls_B___232"/>
      <sheetName val="_Spt-BH.xls_B____x005f_x0004_______22"/>
      <sheetName val="_Spt-BH.xls_B___x005f_x0000__x005f_x0004_22"/>
      <sheetName val="_Spt-BH.xls__Spt-BH.xls_B___200"/>
      <sheetName val="_Spt-BH.xls__Spt-BH.xls_B___201"/>
      <sheetName val="_Spt-BH.xls__Spt-BH.xls_B___202"/>
      <sheetName val="_Spt-BH.xls__Spt-BH.xls_B___203"/>
      <sheetName val="_Spt-BH.xls__Spt-BH.xls_B___233"/>
      <sheetName val="_Spt-BH.xls__Spt-BH.xls_B___234"/>
      <sheetName val="_Spt-BH.xls__Spt-BH.xls_B___235"/>
      <sheetName val="_Spt-BH.xls__Spt-BH.xls_B___204"/>
      <sheetName val="_Spt-BH.xls__Spt-BH.xls_B___205"/>
      <sheetName val="_Spt-BH.xls__Spt-BH.xls_B___236"/>
      <sheetName val="_Spt-BH.xls__Spt-BH.xls_B___237"/>
      <sheetName val="_Spt-BH.xls__Spt-BH.xls_B___238"/>
      <sheetName val="_Spt-BH.xls__Spt-BH.xls_B___239"/>
      <sheetName val="_Spt-BH.xls__Spt-BH.xls_B___240"/>
      <sheetName val="_Spt-BH.xls_B____x005f_x0004_______26"/>
      <sheetName val="_Spt-BH.xls_B___x005f_x0000__x005f_x0004_26"/>
      <sheetName val="_Spt-BH.xls__Spt-BH.xls_B___241"/>
      <sheetName val="_Spt-BH.xls__Spt-BH.xls_B___206"/>
      <sheetName val="_Spt-BH.xls__Spt-BH.xls_B___207"/>
      <sheetName val="_Spt-BH.xls__Spt-BH.xls_B___208"/>
      <sheetName val="_Spt-BH.xls__Spt-BH.xls_B___209"/>
      <sheetName val="_Spt-BH.xls__Spt-BH.xls_B___210"/>
      <sheetName val="_Spt-BH.xls__Spt-BH.xls_B___211"/>
      <sheetName val="_Spt-BH.xls_B____x005f_x0004_______23"/>
      <sheetName val="_Spt-BH.xls_B___x005f_x0000__x005f_x0004_23"/>
      <sheetName val="_Spt-BH.xls__Spt-BH.xls_B___224"/>
      <sheetName val="_Spt-BH.xls__Spt-BH.xls_B___225"/>
      <sheetName val="_Spt-BH.xls__Spt-BH.xls_B___226"/>
      <sheetName val="_Spt-BH.xls__Spt-BH.xls_B___227"/>
      <sheetName val="_Spt-BH.xls__Spt-BH.xls_B___228"/>
      <sheetName val="_Spt-BH.xls__Spt-BH.xls_B___229"/>
      <sheetName val="_Spt-BH.xls_B____x005f_x0004_______25"/>
      <sheetName val="_Spt-BH.xls_B___x005f_x0000__x005f_x0004_25"/>
      <sheetName val="_Spt-BH.xls__Spt-BH.xls_B___218"/>
      <sheetName val="_Spt-BH.xls__Spt-BH.xls_B___219"/>
      <sheetName val="_Spt-BH.xls__Spt-BH.xls_B___220"/>
      <sheetName val="_Spt-BH.xls__Spt-BH.xls_B___221"/>
      <sheetName val="_Spt-BH.xls__Spt-BH.xls_B___222"/>
      <sheetName val="_Spt-BH.xls__Spt-BH.xls_B___223"/>
      <sheetName val="_Spt-BH.xls_B____x005f_x0004_______24"/>
      <sheetName val="_Spt-BH.xls_B___x005f_x0000__x005f_x0004_24"/>
      <sheetName val="_Spt-BH.xls__Spt-BH.xls_B___212"/>
      <sheetName val="_Spt-BH.xls__Spt-BH.xls_B___213"/>
      <sheetName val="_Spt-BH.xls__Spt-BH.xls_B___214"/>
      <sheetName val="_Spt-BH.xls__Spt-BH.xls_B___215"/>
      <sheetName val="_Spt-BH.xls__Spt-BH.xls_B___216"/>
      <sheetName val="_Spt-BH.xls__Spt-BH.xls_B___217"/>
      <sheetName val="_Spt-BH.xls__Spt-BH.xls_B___260"/>
      <sheetName val="_Spt-BH.xls__Spt-BH.xls__Spt_55"/>
      <sheetName val="_Spt-BH.xls__Spt-BH.xls_B___261"/>
      <sheetName val="_Spt-BH.xls__Spt-BH.xls_B___262"/>
      <sheetName val="_Spt-BH.xls_B____x005f_x0004_______28"/>
      <sheetName val="_Spt-BH.xls_B___x005f_x0000__x005f_x0004_28"/>
      <sheetName val="_Spt-BH.xls__Spt-BH.xls_B___263"/>
      <sheetName val="_Spt-BH.xls__Spt-BH.xls_B___264"/>
      <sheetName val="_Spt-BH.xls__Spt-BH.xls_B___265"/>
      <sheetName val="_Spt-BH.xls__Spt-BH.xls_B___254"/>
      <sheetName val="_Spt-BH.xls__Spt-BH.xls_B___255"/>
      <sheetName val="_Spt-BH.xls__Spt-BH.xls_B___256"/>
      <sheetName val="_Spt-BH.xls__Spt-BH.xls_B___257"/>
      <sheetName val="_Spt-BH.xls__Spt-BH.xls_B___258"/>
      <sheetName val="_Spt-BH.xls__Spt-BH.xls_B___259"/>
      <sheetName val="_Spt-BH.xls__Spt-BH.xls_B___266"/>
      <sheetName val="_Spt-BH.xls__Spt-BH.xls__Spt_56"/>
      <sheetName val="_Spt-BH.xls__Spt-BH.xls_B___267"/>
      <sheetName val="_Spt-BH.xls__Spt-BH.xls_B___268"/>
      <sheetName val="_Spt-BH.xls_B____x005f_x0004_______29"/>
      <sheetName val="_Spt-BH.xls_B___x005f_x0000__x005f_x0004_29"/>
      <sheetName val="_Spt-BH.xls__Spt-BH.xls_B___269"/>
      <sheetName val="_Spt-BH.xls__Spt-BH.xls_B___270"/>
      <sheetName val="_Spt-BH.xls__Spt-BH.xls_B___271"/>
      <sheetName val="_Spt-BH.xls__Spt-BH.xls_B___284"/>
      <sheetName val="_Spt-BH.xls__Spt-BH.xls_B___285"/>
      <sheetName val="_Spt-BH.xls__Spt-BH.xls_B___286"/>
      <sheetName val="_Spt-BH.xls_B____x005f_x0004_______30"/>
      <sheetName val="_Spt-BH.xls_B___x005f_x0000__x005f_x0004_30"/>
      <sheetName val="_Spt-BH.xls__Spt-BH.xls_B___272"/>
      <sheetName val="_Spt-BH.xls__Spt-BH.xls__Spt_58"/>
      <sheetName val="_Spt-BH.xls__Spt-BH.xls_B___273"/>
      <sheetName val="_Spt-BH.xls__Spt-BH.xls_B___274"/>
      <sheetName val="_Spt-BH.xls__Spt-BH.xls_B___275"/>
      <sheetName val="_Spt-BH.xls__Spt-BH.xls_B___287"/>
      <sheetName val="_Spt-BH.xls__Spt-BH.xls_B___288"/>
      <sheetName val="_Spt-BH.xls__Spt-BH.xls_B___289"/>
      <sheetName val="_Spt-BH.xls__Spt-BH.xls_B___276"/>
      <sheetName val="_Spt-BH.xls__Spt-BH.xls_B___277"/>
      <sheetName val="_Spt-BH.xls__Spt-BH.xls_B___278"/>
      <sheetName val="_Spt-BH.xls__Spt-BH.xls_B___279"/>
      <sheetName val="_Spt-BH.xls__Spt-BH.xls_B___280"/>
      <sheetName val="_Spt-BH.xls__Spt-BH.xls__Spt_57"/>
      <sheetName val="_Spt-BH.xls__Spt-BH.xls_B___281"/>
      <sheetName val="_Spt-BH.xls__Spt-BH.xls_B___282"/>
      <sheetName val="_Spt-BH.xls__Spt-BH.xls_B___283"/>
      <sheetName val="_Spt-BH.xls__Spt-BH.xls__Spt_59"/>
      <sheetName val="_Spt-BH.xls__Spt-BH.xls_B___290"/>
      <sheetName val="_Spt-BH.xls__Spt-BH.xls__Spt_60"/>
      <sheetName val="_Spt-BH.xls__Spt-BH.xls_B___291"/>
      <sheetName val="_Spt-BH.xls__Spt-BH.xls_B___292"/>
      <sheetName val="_Spt-BH.xls__Spt-BH.xls_B___293"/>
      <sheetName val="_Spt-BH.xls__Spt-BH.xls_B___294"/>
      <sheetName val="_Spt-BH.xls__Spt-BH.xls_B___295"/>
      <sheetName val="_Spt-BH.xls__Spt-BH.xls_B___296"/>
      <sheetName val="_Spt-BH.xls__Spt-BH.xls_B___297"/>
      <sheetName val="_Spt-BH.xls__Spt-BH.xls_B___298"/>
      <sheetName val="_Spt-BH.xls__Spt-BH.xls__Spt_62"/>
      <sheetName val="_Spt-BH.xls__Spt-BH.xls_B___299"/>
      <sheetName val="_Spt-BH.xls__Spt-BH.xls_B___300"/>
      <sheetName val="_Spt-BH.xls__Spt-BH.xls__Spt_61"/>
      <sheetName val="_Spt-BH.xls__Spt-BH.xls_B___301"/>
      <sheetName val="_Spt-BH.xls__Spt-BH.xls_B___302"/>
      <sheetName val="_Spt-BH.xls__Spt-BH.xls__Spt_63"/>
      <sheetName val="_Spt-BH.xls__Spt-BH.xls_B___303"/>
      <sheetName val="_Spt-BH.xls__Spt-BH.xls_B___304"/>
      <sheetName val="_Spt-BH.xls_B____x005f_x0004_______31"/>
      <sheetName val="_Spt-BH.xls_B___x005f_x0000__x005f_x0004_31"/>
      <sheetName val="_Spt-BH.xls__Spt-BH.xls_B___305"/>
      <sheetName val="_Spt-BH.xls__Spt-BH.xls_B___306"/>
      <sheetName val="_Spt-BH.xls__Spt-BH.xls_B___307"/>
      <sheetName val="_Spt-BH.xls__Spt-BH.xls_B___308"/>
      <sheetName val="_Spt-BH.xls__Spt-BH.xls__Spt_65"/>
      <sheetName val="_Spt-BH.xls__Spt-BH.xls_B___309"/>
      <sheetName val="_Spt-BH.xls__Spt-BH.xls_B___310"/>
      <sheetName val="_Spt-BH.xls__Spt-BH.xls_B___311"/>
      <sheetName val="_Spt-BH.xls__Spt-BH.xls_B___312"/>
      <sheetName val="_Spt-BH.xls__Spt-BH.xls_B___313"/>
      <sheetName val="_Spt-BH.xls__Spt-BH.xls__Spt_64"/>
      <sheetName val="_Spt-BH.xls__Spt-BH.xls_B___314"/>
      <sheetName val="_Spt-BH.xls__Spt-BH.xls_B___315"/>
      <sheetName val="_Spt-BH.xls__Spt-BH.xls_B___316"/>
      <sheetName val="_Spt-BH.xls__Spt-BH.xls_B___317"/>
      <sheetName val="_Spt-BH.xls__Spt-BH.xls_B___318"/>
      <sheetName val="_Spt-BH.xls__Spt-BH.xls_B___319"/>
      <sheetName val="_Spt-BH.xls__Spt-BH.xls_B___320"/>
      <sheetName val="_Spt-BH.xls__Spt-BH.xls__Spt_67"/>
      <sheetName val="_Spt-BH.xls__Spt-BH.xls_B___321"/>
      <sheetName val="_Spt-BH.xls__Spt-BH.xls_B___322"/>
      <sheetName val="_Spt-BH.xls__Spt-BH.xls_B___323"/>
      <sheetName val="_Spt-BH.xls__Spt-BH.xls_B___324"/>
      <sheetName val="_Spt-BH.xls__Spt-BH.xls_B___325"/>
      <sheetName val="_Spt-BH.xls__Spt-BH.xls_B___332"/>
      <sheetName val="_Spt-BH.xls__Spt-BH.xls_B___333"/>
      <sheetName val="_Spt-BH.xls__Spt-BH.xls_B___334"/>
      <sheetName val="_Spt-BH.xls_B____x005f_x0004_______32"/>
      <sheetName val="_Spt-BH.xls_B___x005f_x0000__x005f_x0004_32"/>
      <sheetName val="_Spt-BH.xls__Spt-BH.xls_B___335"/>
      <sheetName val="_Spt-BH.xls__Spt-BH.xls_B___336"/>
      <sheetName val="_Spt-BH.xls__Spt-BH.xls_B___337"/>
      <sheetName val="_Spt-BH.xls__Spt-BH.xls_B___338"/>
      <sheetName val="_Spt-BH.xls__Spt-BH.xls_B___339"/>
      <sheetName val="_Spt-BH.xls__Spt-BH.xls_B___340"/>
      <sheetName val="_Spt-BH.xls__Spt-BH.xls_B___341"/>
      <sheetName val="_Spt-BH.xls__Spt-BH.xls_B___342"/>
      <sheetName val="_Spt-BH.xls_B____x005f_x0004_______34"/>
      <sheetName val="_Spt-BH.xls_B___x005f_x0000__x005f_x0004_34"/>
      <sheetName val="_Spt-BH.xls__Spt-BH.xls_B___343"/>
      <sheetName val="_Spt-BH.xls__Spt-BH.xls__Spt_66"/>
      <sheetName val="_Spt-BH.xls__Spt-BH.xls_B___326"/>
      <sheetName val="_Spt-BH.xls__Spt-BH.xls_B___327"/>
      <sheetName val="_Spt-BH.xls__Spt-BH.xls_B___328"/>
      <sheetName val="_Spt-BH.xls__Spt-BH.xls_B___329"/>
      <sheetName val="_Spt-BH.xls__Spt-BH.xls_B___330"/>
      <sheetName val="_Spt-BH.xls__Spt-BH.xls_B___331"/>
      <sheetName val="_Spt-BH.xls_B____x005f_x0004_______33"/>
      <sheetName val="_Spt-BH.xls_B___x005f_x0000__x005f_x0004_33"/>
      <sheetName val="_Spt-BH.xls__Spt-BH.xls__Spt_71"/>
      <sheetName val="_Spt-BH.xls__Spt-BH.xls_B___356"/>
      <sheetName val="_Spt-BH.xls__Spt-BH.xls_B___357"/>
      <sheetName val="_Spt-BH.xls__Spt-BH.xls_B___358"/>
      <sheetName val="_Spt-BH.xls__Spt-BH.xls__Spt_72"/>
      <sheetName val="_Spt-BH.xls__Spt-BH.xls_B___359"/>
      <sheetName val="_Spt-BH.xls__Spt-BH.xls_B___360"/>
      <sheetName val="_Spt-BH.xls__Spt-BH.xls_B___361"/>
      <sheetName val="_Spt-BH.xls__Spt-BH.xls__Spt_69"/>
      <sheetName val="_Spt-BH.xls__Spt-BH.xls_B___344"/>
      <sheetName val="_Spt-BH.xls__Spt-BH.xls_B___345"/>
      <sheetName val="_Spt-BH.xls__Spt-BH.xls_B___346"/>
      <sheetName val="_Spt-BH.xls__Spt-BH.xls_B___347"/>
      <sheetName val="_Spt-BH.xls__Spt-BH.xls_B___348"/>
      <sheetName val="_Spt-BH.xls__Spt-BH.xls_B___349"/>
      <sheetName val="_Spt-BH.xls__Spt-BH.xls__Spt_70"/>
      <sheetName val="_Spt-BH.xls__Spt-BH.xls_B___350"/>
      <sheetName val="_Spt-BH.xls__Spt-BH.xls_B___351"/>
      <sheetName val="_Spt-BH.xls__Spt-BH.xls_B___352"/>
      <sheetName val="_Spt-BH.xls__Spt-BH.xls_B___353"/>
      <sheetName val="_Spt-BH.xls__Spt-BH.xls_B___354"/>
      <sheetName val="_Spt-BH.xls__Spt-BH.xls_B___355"/>
      <sheetName val="_Spt-BH.xls__Spt-BH.xls_B___362"/>
      <sheetName val="_Spt-BH.xls__Spt-BH.xls__Spt_73"/>
      <sheetName val="_Spt-BH.xls__Spt-BH.xls_B___363"/>
      <sheetName val="_Spt-BH.xls__Spt-BH.xls_B___364"/>
      <sheetName val="_Spt-BH.xls__Spt-BH.xls_B___365"/>
      <sheetName val="_Spt-BH.xls__Spt-BH.xls_B___366"/>
      <sheetName val="_Spt-BH.xls__Spt-BH.xls_B___367"/>
      <sheetName val="_Spt-BH.xls__Spt-BH.xls__Spt_75"/>
      <sheetName val="_Spt-BH.xls__Spt-BH.xls_B___398"/>
      <sheetName val="_Spt-BH.xls__Spt-BH.xls__Spt_90"/>
      <sheetName val="_Spt-BH.xls__Spt-BH.xls_B___399"/>
      <sheetName val="_Spt-BH.xls__Spt-BH.xls_B___400"/>
      <sheetName val="_Spt-BH.xls_B____x005f_x0004_______35"/>
      <sheetName val="_Spt-BH.xls_B___x005f_x0000__x005f_x0004_35"/>
      <sheetName val="_Spt-BH.xls__Spt-BH.xls_B___368"/>
      <sheetName val="_Spt-BH.xls__Spt-BH.xls__Spt_80"/>
      <sheetName val="_Spt-BH.xls__Spt-BH.xls_B___369"/>
      <sheetName val="_Spt-BH.xls__Spt-BH.xls_B___370"/>
      <sheetName val="_Spt-BH.xls__Spt-BH.xls_B___371"/>
      <sheetName val="_Spt-BH.xls__Spt-BH.xls_B___401"/>
      <sheetName val="_Spt-BH.xls__Spt-BH.xls_B___402"/>
      <sheetName val="_Spt-BH.xls__Spt-BH.xls_B___403"/>
      <sheetName val="_Spt-BH.xls__Spt-BH.xls_B___372"/>
      <sheetName val="_Spt-BH.xls__Spt-BH.xls_B___373"/>
      <sheetName val="_Spt-BH.xls__Spt-BH.xls__Spt_74"/>
      <sheetName val="_Spt-BH.xls__Spt-BH.xls__Spt_78"/>
      <sheetName val="_Spt-BH.xls__Spt-BH.xls_B___392"/>
      <sheetName val="_Spt-BH.xls__Spt-BH.xls_B___393"/>
      <sheetName val="_Spt-BH.xls__Spt-BH.xls_B___394"/>
      <sheetName val="_Spt-BH.xls_B____x005f_x0004_______38"/>
      <sheetName val="_Spt-BH.xls_B___x005f_x0000__x005f_x0004_38"/>
      <sheetName val="_Spt-BH.xls__Spt-BH.xls_B___386"/>
      <sheetName val="_Spt-BH.xls__Spt-BH.xls__Spt_79"/>
      <sheetName val="_Spt-BH.xls__Spt-BH.xls_B___387"/>
      <sheetName val="_Spt-BH.xls__Spt-BH.xls_B___388"/>
      <sheetName val="_Spt-BH.xls__Spt-BH.xls_B___389"/>
      <sheetName val="_Spt-BH.xls__Spt-BH.xls_B___395"/>
      <sheetName val="_Spt-BH.xls__Spt-BH.xls_B___396"/>
      <sheetName val="_Spt-BH.xls__Spt-BH.xls_B___397"/>
      <sheetName val="_Spt-BH.xls__Spt-BH.xls_B___390"/>
      <sheetName val="_Spt-BH.xls__Spt-BH.xls_B___391"/>
      <sheetName val="_Spt-BH.xls__Spt-BH.xls__Spt_76"/>
      <sheetName val="_Spt-BH.xls_B____x005f_x0004_______36"/>
      <sheetName val="_Spt-BH.xls_B___x005f_x0000__x005f_x0004_36"/>
      <sheetName val="_Spt-BH.xls__Spt-BH.xls_B___374"/>
      <sheetName val="_Spt-BH.xls__Spt-BH.xls_B___375"/>
      <sheetName val="_Spt-BH.xls__Spt-BH.xls_B___376"/>
      <sheetName val="_Spt-BH.xls__Spt-BH.xls_B___377"/>
      <sheetName val="_Spt-BH.xls__Spt-BH.xls_B___378"/>
      <sheetName val="_Spt-BH.xls__Spt-BH.xls_B___379"/>
      <sheetName val="_Spt-BH.xls__Spt-BH.xls__Spt_77"/>
      <sheetName val="_Spt-BH.xls_B____x005f_x0004_______37"/>
      <sheetName val="_Spt-BH.xls_B___x005f_x0000__x005f_x0004_37"/>
      <sheetName val="_Spt-BH.xls__Spt-BH.xls_B___380"/>
      <sheetName val="_Spt-BH.xls__Spt-BH.xls_B___381"/>
      <sheetName val="_Spt-BH.xls__Spt-BH.xls_B___382"/>
      <sheetName val="_Spt-BH.xls__Spt-BH.xls_B___383"/>
      <sheetName val="_Spt-BH.xls__Spt-BH.xls_B___384"/>
      <sheetName val="_Spt-BH.xls__Spt-BH.xls_B___385"/>
      <sheetName val="_Spt-BH.xls_B____x005f_x0004_______39"/>
      <sheetName val="_Spt-BH.xls_B___x005f_x0000__x005f_x0004_39"/>
      <sheetName val="_Spt-BH.xls__Spt-BH.xls_B___440"/>
      <sheetName val="_Spt-BH.xls__Spt-BH.xls__Spt_93"/>
      <sheetName val="_Spt-BH.xls__Spt-BH.xls_B___441"/>
      <sheetName val="_Spt-BH.xls__Spt-BH.xls_B___442"/>
      <sheetName val="_Spt-BH.xls__Spt-BH.xls_B___443"/>
      <sheetName val="_Spt-BH.xls__Spt-BH.xls_B___444"/>
      <sheetName val="_Spt-BH.xls__Spt-BH.xls_B___445"/>
      <sheetName val="_Spt-BH.xls__Spt-BH.xls__Spt_81"/>
      <sheetName val="_Spt-BH.xls__Spt-BH.xls__Spt_82"/>
      <sheetName val="_Spt-BH.xls__Spt-BH.xls__Spt_83"/>
      <sheetName val="_Spt-BH.xls__Spt-BH.xls__Spt_84"/>
      <sheetName val="_Spt-BH.xls__Spt-BH.xls_B___404"/>
      <sheetName val="_Spt-BH.xls__Spt-BH.xls__Spt_85"/>
      <sheetName val="_Spt-BH.xls__Spt-BH.xls_B___405"/>
      <sheetName val="_Spt-BH.xls__Spt-BH.xls_B___406"/>
      <sheetName val="_Spt-BH.xls__Spt-BH.xls_B___407"/>
      <sheetName val="_Spt-BH.xls__Spt-BH.xls_B___408"/>
      <sheetName val="_Spt-BH.xls__Spt-BH.xls_B___409"/>
      <sheetName val="_Spt-BH.xls__Spt-BH.xls_B___410"/>
      <sheetName val="_Spt-BH.xls__Spt-BH.xls__Spt_86"/>
      <sheetName val="_Spt-BH.xls__Spt-BH.xls_B___411"/>
      <sheetName val="_Spt-BH.xls__Spt-BH.xls_B___412"/>
      <sheetName val="_Spt-BH.xls_B____x005f_x0004_______40"/>
      <sheetName val="_Spt-BH.xls_B___x005f_x0000__x005f_x0004_40"/>
      <sheetName val="_Spt-BH.xls__Spt-BH.xls_B___413"/>
      <sheetName val="_Spt-BH.xls__Spt-BH.xls_B___414"/>
      <sheetName val="_Spt-BH.xls__Spt-BH.xls_B___415"/>
      <sheetName val="_Spt-BH.xls__Spt-BH.xls_B___422"/>
      <sheetName val="_Spt-BH.xls__Spt-BH.xls_B___423"/>
      <sheetName val="_Spt-BH.xls__Spt-BH.xls_B___424"/>
      <sheetName val="_Spt-BH.xls_B____x005f_x0004_______41"/>
      <sheetName val="_Spt-BH.xls_B___x005f_x0000__x005f_x0004_41"/>
      <sheetName val="_Spt-BH.xls__Spt-BH.xls_B___416"/>
      <sheetName val="_Spt-BH.xls__Spt-BH.xls__Spt_87"/>
      <sheetName val="_Spt-BH.xls__Spt-BH.xls_B___417"/>
      <sheetName val="_Spt-BH.xls__Spt-BH.xls_B___418"/>
      <sheetName val="_Spt-BH.xls__Spt-BH.xls_B___419"/>
      <sheetName val="_Spt-BH.xls__Spt-BH.xls_B___425"/>
      <sheetName val="_Spt-BH.xls__Spt-BH.xls_B___426"/>
      <sheetName val="_Spt-BH.xls__Spt-BH.xls_B___427"/>
      <sheetName val="_Spt-BH.xls__Spt-BH.xls_B___420"/>
      <sheetName val="_Spt-BH.xls__Spt-BH.xls_B___421"/>
      <sheetName val="_Spt-BH.xls__Spt-BH.xls__Spt_88"/>
      <sheetName val="_Spt-BH.xls__Spt-BH.xls_B___428"/>
      <sheetName val="_Spt-BH.xls__Spt-BH.xls_B___429"/>
      <sheetName val="_Spt-BH.xls__Spt-BH.xls_B___430"/>
      <sheetName val="_Spt-BH.xls__Spt-BH.xls_B___431"/>
      <sheetName val="_Spt-BH.xls__Spt-BH.xls_B___432"/>
      <sheetName val="_Spt-BH.xls__Spt-BH.xls_B___433"/>
      <sheetName val="_Spt-BH.xls__Spt-BH.xls__Spt_89"/>
      <sheetName val="_Spt-BH.xls__Spt-BH.xls_B___434"/>
      <sheetName val="_Spt-BH.xls__Spt-BH.xls_B___435"/>
      <sheetName val="_Spt-BH.xls__Spt-BH.xls_B___436"/>
      <sheetName val="_Spt-BH.xls__Spt-BH.xls_B___437"/>
      <sheetName val="_Spt-BH.xls__Spt-BH.xls_B___438"/>
      <sheetName val="_Spt-BH.xls__Spt-BH.xls_B___439"/>
      <sheetName val="_Spt-BH.xls__Spt-BH.xls_B___458"/>
      <sheetName val="_Spt-BH.xls__Spt-BH.xls__Spt_94"/>
      <sheetName val="_Spt-BH.xls__Spt-BH.xls_B___459"/>
      <sheetName val="_Spt-BH.xls__Spt-BH.xls_B___460"/>
      <sheetName val="_Spt-BH.xls__Spt-BH.xls_B___461"/>
      <sheetName val="_Spt-BH.xls__Spt-BH.xls_B___462"/>
      <sheetName val="_Spt-BH.xls__Spt-BH.xls_B___463"/>
      <sheetName val="_Spt-BH.xls__Spt-BH.xls__Spt_91"/>
      <sheetName val="_Spt-BH.xls__Spt-BH.xls_B___446"/>
      <sheetName val="_Spt-BH.xls__Spt-BH.xls_B___447"/>
      <sheetName val="_Spt-BH.xls__Spt-BH.xls_B___448"/>
      <sheetName val="_Spt-BH.xls__Spt-BH.xls_B___449"/>
      <sheetName val="_Spt-BH.xls__Spt-BH.xls_B___450"/>
      <sheetName val="_Spt-BH.xls__Spt-BH.xls_B___451"/>
      <sheetName val="_Spt-BH.xls__Spt-BH.xls__Spt_92"/>
      <sheetName val="_Spt-BH.xls__Spt-BH.xls_B___452"/>
      <sheetName val="_Spt-BH.xls__Spt-BH.xls_B___453"/>
      <sheetName val="_Spt-BH.xls__Spt-BH.xls_B___454"/>
      <sheetName val="_Spt-BH.xls__Spt-BH.xls_B___455"/>
      <sheetName val="_Spt-BH.xls__Spt-BH.xls_B___456"/>
      <sheetName val="_Spt-BH.xls__Spt-BH.xls_B___457"/>
      <sheetName val="_Spt-BH.xls__Spt-BH.xls__Spt_95"/>
      <sheetName val="_Spt-BH.xls__Spt-BH.xls__Spt_96"/>
      <sheetName val="_Spt-BH.xls_B____x005f_x0004_______42"/>
      <sheetName val="_Spt-BH.xls_B___x005f_x0000__x005f_x0004_42"/>
      <sheetName val="_Spt-BH.xls__Spt-BH.xls_B___464"/>
      <sheetName val="_Spt-BH.xls__Spt-BH.xls_B___465"/>
      <sheetName val="_Spt-BH.xls__Spt-BH.xls_B___466"/>
      <sheetName val="_Spt-BH.xls__Spt-BH.xls_B___467"/>
      <sheetName val="_Spt-BH.xls__Spt-BH.xls_B___468"/>
      <sheetName val="_Spt-BH.xls__Spt-BH.xls_B___469"/>
      <sheetName val="MN T.B."/>
      <sheetName val="FORM7"/>
      <sheetName val="meas_wp"/>
      <sheetName val="LBO"/>
      <sheetName val="Main"/>
      <sheetName val="Cover"/>
      <sheetName val="Wag&amp;Sal"/>
      <sheetName val="Labor abs-NMR"/>
      <sheetName val="hist&amp;proj"/>
      <sheetName val="factors"/>
      <sheetName val="Data (adj."/>
      <sheetName val="13__Steel_-_Ratio"/>
      <sheetName val="Income_Statement"/>
      <sheetName val="Boq_(Main_Building)"/>
      <sheetName val="Abst2act_Sheet14"/>
      <sheetName val="Load_x001f_Details-220kV16"/>
      <sheetName val="fina,_abstract25"/>
      <sheetName val="P&amp;L-BDMC"/>
      <sheetName val="VS"/>
      <sheetName val="CEMENT PSP"/>
      <sheetName val="OVERHD -PAYROLL"/>
      <sheetName val="BKC"/>
      <sheetName val="CAPEX"/>
      <sheetName val="SOLIDAIRE"/>
      <sheetName val="GHATKOPAR"/>
      <sheetName val="KESAR"/>
      <sheetName val="NGE "/>
      <sheetName val="POLYCHEM"/>
      <sheetName val="TARDEO"/>
      <sheetName val="AutoOpen Stub Data"/>
      <sheetName val=" C Column BBS (2)"/>
      <sheetName val="M- Sheet"/>
      <sheetName val="[Spt-BH.xls][Spt-BH.xls]_S_2359"/>
      <sheetName val="[Spt-BH.xls][Spt-BH.xls]B__6699"/>
      <sheetName val="[Spt-BH.xls][Spt-BH.xls]B__6700"/>
      <sheetName val="[Spt-BH.xls][Spt-BH.xls]_S_2361"/>
      <sheetName val="[Spt-BH.xls][Spt-BH.xls]B__6701"/>
      <sheetName val="[Spt-BH.xls][Spt-BH.xls]B__6702"/>
      <sheetName val="[Spt-BH.xls][Spt-BH.xls]B__6703"/>
      <sheetName val="[Spt-BH.xls][Spt-BH.xls]B__6704"/>
      <sheetName val="[Spt-BH.xls][Spt-BH.xls]_S_2360"/>
      <sheetName val="[Spt-BH.xls][Spt-BH.xls]B__6706"/>
      <sheetName val="[Spt-BH.xls][Spt-BH.xls]B__6707"/>
      <sheetName val="[Spt-BH.xls][Spt-BH.xls]_S_2363"/>
      <sheetName val="[Spt-BH.xls][Spt-BH.xls]B__6708"/>
      <sheetName val="[Spt-BH.xls][Spt-BH.xls]B__6709"/>
      <sheetName val="[Spt-BH.xls]B____x005f_x0004______543"/>
      <sheetName val="[Spt-BH.xls]B___x005f_x0000__x000_535"/>
      <sheetName val="[Spt-BH.xls][Spt-BH.xls]B__6710"/>
      <sheetName val="[Spt-BH.xls][Spt-BH.xls]B__6711"/>
      <sheetName val="[Spt-BH.xls][Spt-BH.xls]B__6705"/>
      <sheetName val="[Spt-BH.xls][Spt-BH.xls]_S_2362"/>
      <sheetName val="[Spt-BH.xls][Spt-BH_xls]B__6852"/>
      <sheetName val="[Spt-BH.xls][Spt-BH_xls]B__6853"/>
      <sheetName val="[Spt-BH.xls][Spt-BH_xls]B__6854"/>
      <sheetName val="[Spt-BH.xls][Spt-BH_xls]B__6855"/>
      <sheetName val="[Spt-BH.xls][Spt-BH_xls]_S_2272"/>
      <sheetName val="[Spt-BH.xls][Spt-BH_xls]B__6856"/>
      <sheetName val="[Spt-BH.xls][Spt-BH_xls]B__6857"/>
      <sheetName val="[Spt-BH.xls][Spt-BH_xls]B__6858"/>
      <sheetName val="[Spt-BH.xls][Spt-BH_xls]_S_2273"/>
      <sheetName val="[Spt-BH.xls][Spt-BH_xls]B__6859"/>
      <sheetName val="[Spt-BH.xls][Spt-BH_xls]B__6860"/>
      <sheetName val="[Spt-BH.xls][Spt-BH_xls]B__6861"/>
      <sheetName val="[Spt-BH.xls][Spt-BH_xls]B__6862"/>
      <sheetName val="[Spt-BH.xls][Spt-BH_xls]_S_2274"/>
      <sheetName val="[Spt-BH.xls][Spt-BH_xls]B__6863"/>
      <sheetName val="[Spt-BH.xls][Spt-BH_xls]B__6864"/>
      <sheetName val="[Spt-BH.xls][Spt-BH_xls]_S_2275"/>
      <sheetName val="[Spt-BH.xls][Spt-BH_xls]B__6865"/>
      <sheetName val="[Spt-BH.xls][Spt-BH_xls]B__6866"/>
      <sheetName val="[Spt-BH.xls][Spt-BH_xls]_S_2276"/>
      <sheetName val="[Spt-BH.xls][Spt-BH.xls]_S_2357"/>
      <sheetName val="[Spt-BH.xls][Spt-BH.xls]B__6693"/>
      <sheetName val="[Spt-BH.xls][Spt-BH.xls]B__6694"/>
      <sheetName val="[Spt-BH.xls][Spt-BH.xls]B__6695"/>
      <sheetName val="[Spt-BH.xls][Spt-BH.xls]B__6696"/>
      <sheetName val="[Spt-BH.xls]B___x005f_x0000__x000_534"/>
      <sheetName val="[Spt-BH.xls][Spt-BH.xls]B__6697"/>
      <sheetName val="[Spt-BH.xls][Spt-BH.xls]B__6698"/>
      <sheetName val="[Spt-BH.xls][Spt-BH.xls]B__6692"/>
      <sheetName val="[Spt-BH.xls][Spt-BH.xls]_S_2358"/>
      <sheetName val="[Spt-BH.xls][Spt-BH_xls]B__6837"/>
      <sheetName val="[Spt-BH.xls][Spt-BH_xls]B__6838"/>
      <sheetName val="[Spt-BH.xls][Spt-BH_xls]B__6839"/>
      <sheetName val="[Spt-BH.xls][Spt-BH_xls]B__6840"/>
      <sheetName val="[Spt-BH.xls][Spt-BH_xls]_S_2267"/>
      <sheetName val="[Spt-BH.xls][Spt-BH_xls]B__6841"/>
      <sheetName val="[Spt-BH.xls][Spt-BH_xls]B__6842"/>
      <sheetName val="[Spt-BH.xls][Spt-BH_xls]B__6843"/>
      <sheetName val="[Spt-BH.xls][Spt-BH_xls]_S_2268"/>
      <sheetName val="[Spt-BH.xls][Spt-BH_xls]B__6844"/>
      <sheetName val="[Spt-BH.xls][Spt-BH_xls]B__6845"/>
      <sheetName val="[Spt-BH.xls][Spt-BH_xls]B__6846"/>
      <sheetName val="[Spt-BH.xls][Spt-BH_xls]B__6847"/>
      <sheetName val="[Spt-BH.xls][Spt-BH_xls]_S_2269"/>
      <sheetName val="[Spt-BH.xls][Spt-BH_xls]B__6848"/>
      <sheetName val="[Spt-BH.xls][Spt-BH_xls]B__6849"/>
      <sheetName val="[Spt-BH.xls][Spt-BH_xls]_S_2270"/>
      <sheetName val="[Spt-BH.xls][Spt-BH_xls]B__6850"/>
      <sheetName val="[Spt-BH.xls][Spt-BH_xls]B__6851"/>
      <sheetName val="[Spt-BH.xls][Spt-BH_xls]_S_2271"/>
      <sheetName val="[Spt-BH.xls][Spt-BH.xls]_S_2365"/>
      <sheetName val="[Spt-BH.xls][Spt-BH.xls]_S_2364"/>
      <sheetName val="[Spt-BH.xls][Spt-BH.xls]B__6712"/>
      <sheetName val="[Spt-BH.xls][Spt-BH.xls]B__6713"/>
      <sheetName val="[Spt-BH.xls][Spt-BH.xls]_S_2368"/>
      <sheetName val="[Spt-BH.xls][Spt-BH.xls]B__6714"/>
      <sheetName val="[Spt-BH.xls][Spt-BH.xls]B__6715"/>
      <sheetName val="[Spt-BH.xls][Spt-BH.xls]B__6716"/>
      <sheetName val="[Spt-BH.xls][Spt-BH.xls]_S_2366"/>
      <sheetName val="[Spt-BH.xls][Spt-BH.xls]B__6717"/>
      <sheetName val="[Spt-BH.xls][Spt-BH.xls]_S_2367"/>
      <sheetName val="[Spt-BH.xls][Spt-BH.xls]B__6718"/>
      <sheetName val="[Spt-BH.xls][Spt-BH.xls]B__6719"/>
      <sheetName val="[Spt-BH.xls][Spt-BH.xls]_S_2371"/>
      <sheetName val="[Spt-BH.xls][Spt-BH.xls]B__6720"/>
      <sheetName val="[Spt-BH.xls][Spt-BH.xls]B__6721"/>
      <sheetName val="[Spt-BH.xls][Spt-BH.xls]B__6722"/>
      <sheetName val="[Spt-BH.xls][Spt-BH.xls]_S_2369"/>
      <sheetName val="[Spt-BH.xls][Spt-BH.xls]B__6723"/>
      <sheetName val="[Spt-BH.xls][Spt-BH.xls]_S_2370"/>
      <sheetName val="[Spt-BH.xls][Spt-BH.xls]B__6724"/>
      <sheetName val="[Spt-BH.xls][Spt-BH.xls]B__6725"/>
      <sheetName val="[Spt-BH.xls][Spt-BH.xls]B__6726"/>
      <sheetName val="[Spt-BH.xls][Spt-BH.xls]B__6727"/>
      <sheetName val="[Spt-BH.xls][Spt-BH.xls]_S_2372"/>
      <sheetName val="[Spt-BH.xls][Spt-BH.xls]_S_237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/>
      <sheetData sheetId="2469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/>
      <sheetData sheetId="2594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/>
      <sheetData sheetId="2844"/>
      <sheetData sheetId="2845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 refreshError="1"/>
      <sheetData sheetId="3052" refreshError="1"/>
      <sheetData sheetId="3053"/>
      <sheetData sheetId="3054" refreshError="1"/>
      <sheetData sheetId="3055"/>
      <sheetData sheetId="3056" refreshError="1"/>
      <sheetData sheetId="3057" refreshError="1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/>
      <sheetData sheetId="3117" refreshError="1"/>
      <sheetData sheetId="3118" refreshError="1"/>
      <sheetData sheetId="3119"/>
      <sheetData sheetId="3120"/>
      <sheetData sheetId="3121"/>
      <sheetData sheetId="3122" refreshError="1"/>
      <sheetData sheetId="3123" refreshError="1"/>
      <sheetData sheetId="3124" refreshError="1"/>
      <sheetData sheetId="3125" refreshError="1"/>
      <sheetData sheetId="3126"/>
      <sheetData sheetId="3127"/>
      <sheetData sheetId="3128"/>
      <sheetData sheetId="3129" refreshError="1"/>
      <sheetData sheetId="3130" refreshError="1"/>
      <sheetData sheetId="3131"/>
      <sheetData sheetId="3132" refreshError="1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/>
      <sheetData sheetId="3150"/>
      <sheetData sheetId="3151" refreshError="1"/>
      <sheetData sheetId="3152" refreshError="1"/>
      <sheetData sheetId="3153" refreshError="1"/>
      <sheetData sheetId="3154" refreshError="1"/>
      <sheetData sheetId="3155"/>
      <sheetData sheetId="3156"/>
      <sheetData sheetId="3157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 refreshError="1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/>
      <sheetData sheetId="4727"/>
      <sheetData sheetId="4728"/>
      <sheetData sheetId="4729" refreshError="1"/>
      <sheetData sheetId="4730" refreshError="1"/>
      <sheetData sheetId="4731"/>
      <sheetData sheetId="4732"/>
      <sheetData sheetId="4733" refreshError="1"/>
      <sheetData sheetId="4734" refreshError="1"/>
      <sheetData sheetId="4735"/>
      <sheetData sheetId="4736"/>
      <sheetData sheetId="4737" refreshError="1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 refreshError="1"/>
      <sheetData sheetId="4754"/>
      <sheetData sheetId="4755"/>
      <sheetData sheetId="4756" refreshError="1"/>
      <sheetData sheetId="4757" refreshError="1"/>
      <sheetData sheetId="4758"/>
      <sheetData sheetId="4759" refreshError="1"/>
      <sheetData sheetId="4760"/>
      <sheetData sheetId="4761" refreshError="1"/>
      <sheetData sheetId="4762"/>
      <sheetData sheetId="4763"/>
      <sheetData sheetId="4764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 refreshError="1"/>
      <sheetData sheetId="4790" refreshError="1"/>
      <sheetData sheetId="4791"/>
      <sheetData sheetId="4792" refreshError="1"/>
      <sheetData sheetId="4793" refreshError="1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/>
      <sheetData sheetId="4801" refreshError="1"/>
      <sheetData sheetId="4802" refreshError="1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 refreshError="1"/>
      <sheetData sheetId="4820"/>
      <sheetData sheetId="482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/>
      <sheetData sheetId="4829" refreshError="1"/>
      <sheetData sheetId="4830"/>
      <sheetData sheetId="4831"/>
      <sheetData sheetId="4832"/>
      <sheetData sheetId="4833" refreshError="1"/>
      <sheetData sheetId="4834"/>
      <sheetData sheetId="4835" refreshError="1"/>
      <sheetData sheetId="4836" refreshError="1"/>
      <sheetData sheetId="4837"/>
      <sheetData sheetId="4838"/>
      <sheetData sheetId="4839"/>
      <sheetData sheetId="4840" refreshError="1"/>
      <sheetData sheetId="4841" refreshError="1"/>
      <sheetData sheetId="4842" refreshError="1"/>
      <sheetData sheetId="4843"/>
      <sheetData sheetId="4844" refreshError="1"/>
      <sheetData sheetId="4845"/>
      <sheetData sheetId="4846" refreshError="1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 refreshError="1"/>
      <sheetData sheetId="4871"/>
      <sheetData sheetId="4872" refreshError="1"/>
      <sheetData sheetId="4873"/>
      <sheetData sheetId="4874"/>
      <sheetData sheetId="4875"/>
      <sheetData sheetId="4876" refreshError="1"/>
      <sheetData sheetId="4877"/>
      <sheetData sheetId="4878" refreshError="1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 refreshError="1"/>
      <sheetData sheetId="4902"/>
      <sheetData sheetId="4903" refreshError="1"/>
      <sheetData sheetId="4904"/>
      <sheetData sheetId="4905"/>
      <sheetData sheetId="4906" refreshError="1"/>
      <sheetData sheetId="4907"/>
      <sheetData sheetId="4908" refreshError="1"/>
      <sheetData sheetId="4909" refreshError="1"/>
      <sheetData sheetId="4910"/>
      <sheetData sheetId="4911" refreshError="1"/>
      <sheetData sheetId="4912"/>
      <sheetData sheetId="4913"/>
      <sheetData sheetId="4914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/>
      <sheetData sheetId="4921" refreshError="1"/>
      <sheetData sheetId="4922" refreshError="1"/>
      <sheetData sheetId="4923" refreshError="1"/>
      <sheetData sheetId="4924"/>
      <sheetData sheetId="4925" refreshError="1"/>
      <sheetData sheetId="4926" refreshError="1"/>
      <sheetData sheetId="4927" refreshError="1"/>
      <sheetData sheetId="4928"/>
      <sheetData sheetId="4929" refreshError="1"/>
      <sheetData sheetId="4930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/>
      <sheetData sheetId="4937"/>
      <sheetData sheetId="4938"/>
      <sheetData sheetId="4939"/>
      <sheetData sheetId="4940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/>
      <sheetData sheetId="4958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/>
      <sheetData sheetId="4970" refreshError="1"/>
      <sheetData sheetId="4971"/>
      <sheetData sheetId="4972" refreshError="1"/>
      <sheetData sheetId="4973"/>
      <sheetData sheetId="4974"/>
      <sheetData sheetId="4975"/>
      <sheetData sheetId="4976"/>
      <sheetData sheetId="4977"/>
      <sheetData sheetId="4978"/>
      <sheetData sheetId="4979" refreshError="1"/>
      <sheetData sheetId="4980" refreshError="1"/>
      <sheetData sheetId="4981" refreshError="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 refreshError="1"/>
      <sheetData sheetId="5005"/>
      <sheetData sheetId="5006" refreshError="1"/>
      <sheetData sheetId="5007"/>
      <sheetData sheetId="5008"/>
      <sheetData sheetId="5009"/>
      <sheetData sheetId="5010" refreshError="1"/>
      <sheetData sheetId="5011"/>
      <sheetData sheetId="5012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 refreshError="1"/>
      <sheetData sheetId="5673" refreshError="1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 refreshError="1"/>
      <sheetData sheetId="5752" refreshError="1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/>
      <sheetData sheetId="6331"/>
      <sheetData sheetId="6332" refreshError="1"/>
      <sheetData sheetId="6333" refreshError="1"/>
      <sheetData sheetId="6334" refreshError="1"/>
      <sheetData sheetId="6335"/>
      <sheetData sheetId="6336"/>
      <sheetData sheetId="6337" refreshError="1"/>
      <sheetData sheetId="6338" refreshError="1"/>
      <sheetData sheetId="6339" refreshError="1"/>
      <sheetData sheetId="6340"/>
      <sheetData sheetId="6341" refreshError="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 refreshError="1"/>
      <sheetData sheetId="6365" refreshError="1"/>
      <sheetData sheetId="6366" refreshError="1"/>
      <sheetData sheetId="6367" refreshError="1"/>
      <sheetData sheetId="6368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/>
      <sheetData sheetId="6375"/>
      <sheetData sheetId="6376" refreshError="1"/>
      <sheetData sheetId="6377"/>
      <sheetData sheetId="6378" refreshError="1"/>
      <sheetData sheetId="6379"/>
      <sheetData sheetId="6380" refreshError="1"/>
      <sheetData sheetId="6381" refreshError="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 refreshError="1"/>
      <sheetData sheetId="6414"/>
      <sheetData sheetId="6415"/>
      <sheetData sheetId="6416"/>
      <sheetData sheetId="6417"/>
      <sheetData sheetId="6418" refreshError="1"/>
      <sheetData sheetId="6419" refreshError="1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 refreshError="1"/>
      <sheetData sheetId="6437"/>
      <sheetData sheetId="6438"/>
      <sheetData sheetId="6439"/>
      <sheetData sheetId="6440" refreshError="1"/>
      <sheetData sheetId="6441"/>
      <sheetData sheetId="6442" refreshError="1"/>
      <sheetData sheetId="6443" refreshError="1"/>
      <sheetData sheetId="6444" refreshError="1"/>
      <sheetData sheetId="6445"/>
      <sheetData sheetId="6446"/>
      <sheetData sheetId="6447"/>
      <sheetData sheetId="6448" refreshError="1"/>
      <sheetData sheetId="6449" refreshError="1"/>
      <sheetData sheetId="6450"/>
      <sheetData sheetId="6451"/>
      <sheetData sheetId="6452"/>
      <sheetData sheetId="6453"/>
      <sheetData sheetId="6454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 refreshError="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 refreshError="1"/>
      <sheetData sheetId="6512"/>
      <sheetData sheetId="6513" refreshError="1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 refreshError="1"/>
      <sheetData sheetId="6523" refreshError="1"/>
      <sheetData sheetId="6524"/>
      <sheetData sheetId="6525" refreshError="1"/>
      <sheetData sheetId="6526" refreshError="1"/>
      <sheetData sheetId="6527" refreshError="1"/>
      <sheetData sheetId="6528" refreshError="1"/>
      <sheetData sheetId="6529"/>
      <sheetData sheetId="6530"/>
      <sheetData sheetId="6531" refreshError="1"/>
      <sheetData sheetId="6532"/>
      <sheetData sheetId="6533"/>
      <sheetData sheetId="6534"/>
      <sheetData sheetId="6535"/>
      <sheetData sheetId="6536"/>
      <sheetData sheetId="6537"/>
      <sheetData sheetId="6538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/>
      <sheetData sheetId="6549"/>
      <sheetData sheetId="6550"/>
      <sheetData sheetId="6551" refreshError="1"/>
      <sheetData sheetId="6552" refreshError="1"/>
      <sheetData sheetId="6553" refreshError="1"/>
      <sheetData sheetId="6554"/>
      <sheetData sheetId="6555"/>
      <sheetData sheetId="6556"/>
      <sheetData sheetId="6557" refreshError="1"/>
      <sheetData sheetId="6558"/>
      <sheetData sheetId="6559"/>
      <sheetData sheetId="6560" refreshError="1"/>
      <sheetData sheetId="6561" refreshError="1"/>
      <sheetData sheetId="6562"/>
      <sheetData sheetId="6563" refreshError="1"/>
      <sheetData sheetId="6564"/>
      <sheetData sheetId="6565"/>
      <sheetData sheetId="6566" refreshError="1"/>
      <sheetData sheetId="6567" refreshError="1"/>
      <sheetData sheetId="6568"/>
      <sheetData sheetId="6569" refreshError="1"/>
      <sheetData sheetId="6570"/>
      <sheetData sheetId="6571"/>
      <sheetData sheetId="6572"/>
      <sheetData sheetId="6573"/>
      <sheetData sheetId="6574" refreshError="1"/>
      <sheetData sheetId="6575"/>
      <sheetData sheetId="6576" refreshError="1"/>
      <sheetData sheetId="6577"/>
      <sheetData sheetId="6578"/>
      <sheetData sheetId="6579"/>
      <sheetData sheetId="6580" refreshError="1"/>
      <sheetData sheetId="6581" refreshError="1"/>
      <sheetData sheetId="6582"/>
      <sheetData sheetId="6583"/>
      <sheetData sheetId="6584" refreshError="1"/>
      <sheetData sheetId="6585" refreshError="1"/>
      <sheetData sheetId="6586" refreshError="1"/>
      <sheetData sheetId="6587"/>
      <sheetData sheetId="6588" refreshError="1"/>
      <sheetData sheetId="6589" refreshError="1"/>
      <sheetData sheetId="6590" refreshError="1"/>
      <sheetData sheetId="6591"/>
      <sheetData sheetId="6592"/>
      <sheetData sheetId="6593" refreshError="1"/>
      <sheetData sheetId="6594"/>
      <sheetData sheetId="6595"/>
      <sheetData sheetId="6596"/>
      <sheetData sheetId="6597" refreshError="1"/>
      <sheetData sheetId="6598" refreshError="1"/>
      <sheetData sheetId="6599"/>
      <sheetData sheetId="6600"/>
      <sheetData sheetId="6601"/>
      <sheetData sheetId="6602" refreshError="1"/>
      <sheetData sheetId="6603" refreshError="1"/>
      <sheetData sheetId="6604" refreshError="1"/>
      <sheetData sheetId="6605"/>
      <sheetData sheetId="6606"/>
      <sheetData sheetId="6607"/>
      <sheetData sheetId="6608" refreshError="1"/>
      <sheetData sheetId="6609"/>
      <sheetData sheetId="6610" refreshError="1"/>
      <sheetData sheetId="6611"/>
      <sheetData sheetId="6612" refreshError="1"/>
      <sheetData sheetId="6613" refreshError="1"/>
      <sheetData sheetId="6614"/>
      <sheetData sheetId="6615"/>
      <sheetData sheetId="6616" refreshError="1"/>
      <sheetData sheetId="6617"/>
      <sheetData sheetId="6618"/>
      <sheetData sheetId="6619" refreshError="1"/>
      <sheetData sheetId="6620"/>
      <sheetData sheetId="6621"/>
      <sheetData sheetId="6622"/>
      <sheetData sheetId="6623" refreshError="1"/>
      <sheetData sheetId="6624" refreshError="1"/>
      <sheetData sheetId="6625"/>
      <sheetData sheetId="6626" refreshError="1"/>
      <sheetData sheetId="6627" refreshError="1"/>
      <sheetData sheetId="6628"/>
      <sheetData sheetId="6629"/>
      <sheetData sheetId="6630" refreshError="1"/>
      <sheetData sheetId="6631"/>
      <sheetData sheetId="6632"/>
      <sheetData sheetId="6633" refreshError="1"/>
      <sheetData sheetId="6634" refreshError="1"/>
      <sheetData sheetId="6635" refreshError="1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 refreshError="1"/>
      <sheetData sheetId="6650"/>
      <sheetData sheetId="6651"/>
      <sheetData sheetId="6652"/>
      <sheetData sheetId="6653" refreshError="1"/>
      <sheetData sheetId="6654" refreshError="1"/>
      <sheetData sheetId="6655"/>
      <sheetData sheetId="6656"/>
      <sheetData sheetId="6657"/>
      <sheetData sheetId="6658" refreshError="1"/>
      <sheetData sheetId="6659"/>
      <sheetData sheetId="6660" refreshError="1"/>
      <sheetData sheetId="6661" refreshError="1"/>
      <sheetData sheetId="6662"/>
      <sheetData sheetId="6663"/>
      <sheetData sheetId="6664" refreshError="1"/>
      <sheetData sheetId="6665"/>
      <sheetData sheetId="6666"/>
      <sheetData sheetId="6667"/>
      <sheetData sheetId="6668" refreshError="1"/>
      <sheetData sheetId="6669" refreshError="1"/>
      <sheetData sheetId="6670" refreshError="1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 refreshError="1"/>
      <sheetData sheetId="6686" refreshError="1"/>
      <sheetData sheetId="6687"/>
      <sheetData sheetId="6688"/>
      <sheetData sheetId="6689" refreshError="1"/>
      <sheetData sheetId="6690"/>
      <sheetData sheetId="6691" refreshError="1"/>
      <sheetData sheetId="6692"/>
      <sheetData sheetId="6693" refreshError="1"/>
      <sheetData sheetId="6694" refreshError="1"/>
      <sheetData sheetId="6695" refreshError="1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 refreshError="1"/>
      <sheetData sheetId="6711" refreshError="1"/>
      <sheetData sheetId="6712"/>
      <sheetData sheetId="6713"/>
      <sheetData sheetId="6714" refreshError="1"/>
      <sheetData sheetId="6715"/>
      <sheetData sheetId="6716"/>
      <sheetData sheetId="6717"/>
      <sheetData sheetId="6718" refreshError="1"/>
      <sheetData sheetId="6719" refreshError="1"/>
      <sheetData sheetId="6720" refreshError="1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 refreshError="1"/>
      <sheetData sheetId="6737" refreshError="1"/>
      <sheetData sheetId="6738"/>
      <sheetData sheetId="6739"/>
      <sheetData sheetId="6740"/>
      <sheetData sheetId="6741" refreshError="1"/>
      <sheetData sheetId="6742"/>
      <sheetData sheetId="6743"/>
      <sheetData sheetId="6744"/>
      <sheetData sheetId="6745" refreshError="1"/>
      <sheetData sheetId="6746" refreshError="1"/>
      <sheetData sheetId="6747"/>
      <sheetData sheetId="6748"/>
      <sheetData sheetId="6749" refreshError="1"/>
      <sheetData sheetId="6750" refreshError="1"/>
      <sheetData sheetId="6751"/>
      <sheetData sheetId="6752"/>
      <sheetData sheetId="6753" refreshError="1"/>
      <sheetData sheetId="6754" refreshError="1"/>
      <sheetData sheetId="6755"/>
      <sheetData sheetId="6756"/>
      <sheetData sheetId="6757" refreshError="1"/>
      <sheetData sheetId="6758"/>
      <sheetData sheetId="6759"/>
      <sheetData sheetId="6760" refreshError="1"/>
      <sheetData sheetId="6761" refreshError="1"/>
      <sheetData sheetId="6762" refreshError="1"/>
      <sheetData sheetId="6763"/>
      <sheetData sheetId="6764"/>
      <sheetData sheetId="6765" refreshError="1"/>
      <sheetData sheetId="6766" refreshError="1"/>
      <sheetData sheetId="6767"/>
      <sheetData sheetId="6768"/>
      <sheetData sheetId="6769"/>
      <sheetData sheetId="6770" refreshError="1"/>
      <sheetData sheetId="6771"/>
      <sheetData sheetId="6772"/>
      <sheetData sheetId="6773"/>
      <sheetData sheetId="6774" refreshError="1"/>
      <sheetData sheetId="6775" refreshError="1"/>
      <sheetData sheetId="6776"/>
      <sheetData sheetId="6777"/>
      <sheetData sheetId="6778"/>
      <sheetData sheetId="6779" refreshError="1"/>
      <sheetData sheetId="6780"/>
      <sheetData sheetId="6781"/>
      <sheetData sheetId="6782" refreshError="1"/>
      <sheetData sheetId="6783" refreshError="1"/>
      <sheetData sheetId="6784"/>
      <sheetData sheetId="6785"/>
      <sheetData sheetId="6786" refreshError="1"/>
      <sheetData sheetId="6787" refreshError="1"/>
      <sheetData sheetId="6788" refreshError="1"/>
      <sheetData sheetId="6789"/>
      <sheetData sheetId="6790" refreshError="1"/>
      <sheetData sheetId="6791" refreshError="1"/>
      <sheetData sheetId="6792" refreshError="1"/>
      <sheetData sheetId="6793" refreshError="1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 refreshError="1"/>
      <sheetData sheetId="6810" refreshError="1"/>
      <sheetData sheetId="6811"/>
      <sheetData sheetId="6812"/>
      <sheetData sheetId="6813" refreshError="1"/>
      <sheetData sheetId="6814"/>
      <sheetData sheetId="6815"/>
      <sheetData sheetId="6816" refreshError="1"/>
      <sheetData sheetId="6817" refreshError="1"/>
      <sheetData sheetId="6818" refreshError="1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 refreshError="1"/>
      <sheetData sheetId="6835" refreshError="1"/>
      <sheetData sheetId="6836"/>
      <sheetData sheetId="6837"/>
      <sheetData sheetId="6838" refreshError="1"/>
      <sheetData sheetId="6839"/>
      <sheetData sheetId="6840"/>
      <sheetData sheetId="6841" refreshError="1"/>
      <sheetData sheetId="6842" refreshError="1"/>
      <sheetData sheetId="6843" refreshError="1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 refreshError="1"/>
      <sheetData sheetId="6859" refreshError="1"/>
      <sheetData sheetId="6860" refreshError="1"/>
      <sheetData sheetId="6861"/>
      <sheetData sheetId="6862"/>
      <sheetData sheetId="6863" refreshError="1"/>
      <sheetData sheetId="6864" refreshError="1"/>
      <sheetData sheetId="6865"/>
      <sheetData sheetId="6866" refreshError="1"/>
      <sheetData sheetId="6867" refreshError="1"/>
      <sheetData sheetId="6868" refreshError="1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 refreshError="1"/>
      <sheetData sheetId="6885" refreshError="1"/>
      <sheetData sheetId="6886"/>
      <sheetData sheetId="6887"/>
      <sheetData sheetId="6888" refreshError="1"/>
      <sheetData sheetId="6889"/>
      <sheetData sheetId="6890"/>
      <sheetData sheetId="6891" refreshError="1"/>
      <sheetData sheetId="6892" refreshError="1"/>
      <sheetData sheetId="6893" refreshError="1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 refreshError="1"/>
      <sheetData sheetId="6910" refreshError="1"/>
      <sheetData sheetId="6911"/>
      <sheetData sheetId="6912"/>
      <sheetData sheetId="6913"/>
      <sheetData sheetId="6914" refreshError="1"/>
      <sheetData sheetId="6915"/>
      <sheetData sheetId="6916"/>
      <sheetData sheetId="6917" refreshError="1"/>
      <sheetData sheetId="6918" refreshError="1"/>
      <sheetData sheetId="6919"/>
      <sheetData sheetId="6920"/>
      <sheetData sheetId="6921" refreshError="1"/>
      <sheetData sheetId="6922" refreshError="1"/>
      <sheetData sheetId="6923" refreshError="1"/>
      <sheetData sheetId="6924"/>
      <sheetData sheetId="6925" refreshError="1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 refreshError="1"/>
      <sheetData sheetId="6943" refreshError="1"/>
      <sheetData sheetId="6944"/>
      <sheetData sheetId="6945"/>
      <sheetData sheetId="6946" refreshError="1"/>
      <sheetData sheetId="6947"/>
      <sheetData sheetId="6948"/>
      <sheetData sheetId="6949"/>
      <sheetData sheetId="6950" refreshError="1"/>
      <sheetData sheetId="6951" refreshError="1"/>
      <sheetData sheetId="6952"/>
      <sheetData sheetId="6953"/>
      <sheetData sheetId="6954"/>
      <sheetData sheetId="6955" refreshError="1"/>
      <sheetData sheetId="6956"/>
      <sheetData sheetId="6957"/>
      <sheetData sheetId="6958"/>
      <sheetData sheetId="6959" refreshError="1"/>
      <sheetData sheetId="6960" refreshError="1"/>
      <sheetData sheetId="6961" refreshError="1"/>
      <sheetData sheetId="6962"/>
      <sheetData sheetId="6963"/>
      <sheetData sheetId="6964"/>
      <sheetData sheetId="6965" refreshError="1"/>
      <sheetData sheetId="6966" refreshError="1"/>
      <sheetData sheetId="6967" refreshError="1"/>
      <sheetData sheetId="6968"/>
      <sheetData sheetId="6969"/>
      <sheetData sheetId="6970"/>
      <sheetData sheetId="6971" refreshError="1"/>
      <sheetData sheetId="6972" refreshError="1"/>
      <sheetData sheetId="6973" refreshError="1"/>
      <sheetData sheetId="6974"/>
      <sheetData sheetId="6975" refreshError="1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 refreshError="1"/>
      <sheetData sheetId="6992"/>
      <sheetData sheetId="6993" refreshError="1"/>
      <sheetData sheetId="6994"/>
      <sheetData sheetId="6995"/>
      <sheetData sheetId="6996" refreshError="1"/>
      <sheetData sheetId="6997"/>
      <sheetData sheetId="6998"/>
      <sheetData sheetId="6999" refreshError="1"/>
      <sheetData sheetId="7000"/>
      <sheetData sheetId="7001"/>
      <sheetData sheetId="7002"/>
      <sheetData sheetId="7003" refreshError="1"/>
      <sheetData sheetId="7004"/>
      <sheetData sheetId="7005"/>
      <sheetData sheetId="7006"/>
      <sheetData sheetId="7007"/>
      <sheetData sheetId="7008" refreshError="1"/>
      <sheetData sheetId="7009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 refreshError="1"/>
      <sheetData sheetId="7033" refreshError="1"/>
      <sheetData sheetId="7034"/>
      <sheetData sheetId="7035"/>
      <sheetData sheetId="7036"/>
      <sheetData sheetId="7037"/>
      <sheetData sheetId="7038" refreshError="1"/>
      <sheetData sheetId="7039"/>
      <sheetData sheetId="7040"/>
      <sheetData sheetId="7041" refreshError="1"/>
      <sheetData sheetId="7042" refreshError="1"/>
      <sheetData sheetId="7043"/>
      <sheetData sheetId="7044"/>
      <sheetData sheetId="7045"/>
      <sheetData sheetId="7046" refreshError="1"/>
      <sheetData sheetId="7047" refreshError="1"/>
      <sheetData sheetId="7048" refreshError="1"/>
      <sheetData sheetId="7049"/>
      <sheetData sheetId="7050" refreshError="1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 refreshError="1"/>
      <sheetData sheetId="7068" refreshError="1"/>
      <sheetData sheetId="7069"/>
      <sheetData sheetId="7070"/>
      <sheetData sheetId="7071"/>
      <sheetData sheetId="7072" refreshError="1"/>
      <sheetData sheetId="7073"/>
      <sheetData sheetId="7074" refreshError="1"/>
      <sheetData sheetId="7075" refreshError="1"/>
      <sheetData sheetId="7076"/>
      <sheetData sheetId="7077"/>
      <sheetData sheetId="7078"/>
      <sheetData sheetId="7079" refreshError="1"/>
      <sheetData sheetId="7080" refreshError="1"/>
      <sheetData sheetId="7081" refreshError="1"/>
      <sheetData sheetId="7082"/>
      <sheetData sheetId="7083" refreshError="1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 refreshError="1"/>
      <sheetData sheetId="7107" refreshError="1"/>
      <sheetData sheetId="7108" refreshError="1"/>
      <sheetData sheetId="7109"/>
      <sheetData sheetId="7110" refreshError="1"/>
      <sheetData sheetId="7111"/>
      <sheetData sheetId="7112"/>
      <sheetData sheetId="7113"/>
      <sheetData sheetId="7114"/>
      <sheetData sheetId="7115" refreshError="1"/>
      <sheetData sheetId="7116" refreshError="1"/>
      <sheetData sheetId="7117" refreshError="1"/>
      <sheetData sheetId="7118" refreshError="1"/>
      <sheetData sheetId="7119"/>
      <sheetData sheetId="7120" refreshError="1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 refreshError="1"/>
      <sheetData sheetId="7130" refreshError="1"/>
      <sheetData sheetId="7131" refreshError="1"/>
      <sheetData sheetId="7132"/>
      <sheetData sheetId="7133"/>
      <sheetData sheetId="7134" refreshError="1"/>
      <sheetData sheetId="7135"/>
      <sheetData sheetId="7136" refreshError="1"/>
      <sheetData sheetId="7137" refreshError="1"/>
      <sheetData sheetId="7138"/>
      <sheetData sheetId="7139"/>
      <sheetData sheetId="7140" refreshError="1"/>
      <sheetData sheetId="7141" refreshError="1"/>
      <sheetData sheetId="7142" refreshError="1"/>
      <sheetData sheetId="7143"/>
      <sheetData sheetId="7144" refreshError="1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 refreshError="1"/>
      <sheetData sheetId="7169" refreshError="1"/>
      <sheetData sheetId="7170"/>
      <sheetData sheetId="7171"/>
      <sheetData sheetId="7172"/>
      <sheetData sheetId="7173" refreshError="1"/>
      <sheetData sheetId="7174"/>
      <sheetData sheetId="7175"/>
      <sheetData sheetId="7176"/>
      <sheetData sheetId="7177" refreshError="1"/>
      <sheetData sheetId="7178" refreshError="1"/>
      <sheetData sheetId="7179"/>
      <sheetData sheetId="7180"/>
      <sheetData sheetId="7181"/>
      <sheetData sheetId="7182" refreshError="1"/>
      <sheetData sheetId="7183"/>
      <sheetData sheetId="7184"/>
      <sheetData sheetId="7185" refreshError="1"/>
      <sheetData sheetId="7186" refreshError="1"/>
      <sheetData sheetId="7187"/>
      <sheetData sheetId="7188"/>
      <sheetData sheetId="7189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/>
      <sheetData sheetId="7196"/>
      <sheetData sheetId="7197"/>
      <sheetData sheetId="7198" refreshError="1"/>
      <sheetData sheetId="7199" refreshError="1"/>
      <sheetData sheetId="7200" refreshError="1"/>
      <sheetData sheetId="7201"/>
      <sheetData sheetId="7202" refreshError="1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 refreshError="1"/>
      <sheetData sheetId="7218" refreshError="1"/>
      <sheetData sheetId="7219"/>
      <sheetData sheetId="7220"/>
      <sheetData sheetId="722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/>
      <sheetData sheetId="7228"/>
      <sheetData sheetId="7229"/>
      <sheetData sheetId="7230" refreshError="1"/>
      <sheetData sheetId="723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 refreshError="1"/>
      <sheetData sheetId="7258" refreshError="1"/>
      <sheetData sheetId="7259"/>
      <sheetData sheetId="7260"/>
      <sheetData sheetId="7261"/>
      <sheetData sheetId="7262" refreshError="1"/>
      <sheetData sheetId="7263" refreshError="1"/>
      <sheetData sheetId="7264" refreshError="1"/>
      <sheetData sheetId="7265"/>
      <sheetData sheetId="7266" refreshError="1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 refreshError="1"/>
      <sheetData sheetId="7290" refreshError="1"/>
      <sheetData sheetId="7291"/>
      <sheetData sheetId="7292"/>
      <sheetData sheetId="7293"/>
      <sheetData sheetId="7294"/>
      <sheetData sheetId="7295" refreshError="1"/>
      <sheetData sheetId="7296"/>
      <sheetData sheetId="7297"/>
      <sheetData sheetId="7298" refreshError="1"/>
      <sheetData sheetId="7299"/>
      <sheetData sheetId="7300"/>
      <sheetData sheetId="7301" refreshError="1"/>
      <sheetData sheetId="7302" refreshError="1"/>
      <sheetData sheetId="7303" refreshError="1"/>
      <sheetData sheetId="7304"/>
      <sheetData sheetId="7305" refreshError="1"/>
      <sheetData sheetId="7306" refreshError="1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 refreshError="1"/>
      <sheetData sheetId="7330" refreshError="1"/>
      <sheetData sheetId="7331" refreshError="1"/>
      <sheetData sheetId="7332" refreshError="1"/>
      <sheetData sheetId="7333"/>
      <sheetData sheetId="7334"/>
      <sheetData sheetId="7335"/>
      <sheetData sheetId="7336" refreshError="1"/>
      <sheetData sheetId="7337" refreshError="1"/>
      <sheetData sheetId="7338" refreshError="1"/>
      <sheetData sheetId="7339" refreshError="1"/>
      <sheetData sheetId="7340"/>
      <sheetData sheetId="7341"/>
      <sheetData sheetId="7342" refreshError="1"/>
      <sheetData sheetId="7343" refreshError="1"/>
      <sheetData sheetId="7344" refreshError="1"/>
      <sheetData sheetId="7345" refreshError="1"/>
      <sheetData sheetId="7346"/>
      <sheetData sheetId="7347" refreshError="1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 refreshError="1"/>
      <sheetData sheetId="7364" refreshError="1"/>
      <sheetData sheetId="7365"/>
      <sheetData sheetId="7366" refreshError="1"/>
      <sheetData sheetId="7367"/>
      <sheetData sheetId="7368"/>
      <sheetData sheetId="7369" refreshError="1"/>
      <sheetData sheetId="7370"/>
      <sheetData sheetId="7371"/>
      <sheetData sheetId="7372" refreshError="1"/>
      <sheetData sheetId="7373"/>
      <sheetData sheetId="7374"/>
      <sheetData sheetId="7375"/>
      <sheetData sheetId="7376" refreshError="1"/>
      <sheetData sheetId="7377"/>
      <sheetData sheetId="7378"/>
      <sheetData sheetId="7379" refreshError="1"/>
      <sheetData sheetId="7380" refreshError="1"/>
      <sheetData sheetId="7381"/>
      <sheetData sheetId="7382"/>
      <sheetData sheetId="7383"/>
      <sheetData sheetId="7384" refreshError="1"/>
      <sheetData sheetId="7385" refreshError="1"/>
      <sheetData sheetId="7386" refreshError="1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 refreshError="1"/>
      <sheetData sheetId="7411" refreshError="1"/>
      <sheetData sheetId="7412"/>
      <sheetData sheetId="7413"/>
      <sheetData sheetId="7414"/>
      <sheetData sheetId="7415" refreshError="1"/>
      <sheetData sheetId="7416" refreshError="1"/>
      <sheetData sheetId="7417"/>
      <sheetData sheetId="7418"/>
      <sheetData sheetId="7419" refreshError="1"/>
      <sheetData sheetId="7420" refreshError="1"/>
      <sheetData sheetId="7421" refreshError="1"/>
      <sheetData sheetId="7422" refreshError="1"/>
      <sheetData sheetId="7423"/>
      <sheetData sheetId="7424"/>
      <sheetData sheetId="7425" refreshError="1"/>
      <sheetData sheetId="7426" refreshError="1"/>
      <sheetData sheetId="7427"/>
      <sheetData sheetId="7428"/>
      <sheetData sheetId="7429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/>
      <sheetData sheetId="7436"/>
      <sheetData sheetId="7437"/>
      <sheetData sheetId="7438" refreshError="1"/>
      <sheetData sheetId="7439"/>
      <sheetData sheetId="7440"/>
      <sheetData sheetId="7441"/>
      <sheetData sheetId="7442" refreshError="1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 refreshError="1"/>
      <sheetData sheetId="7466" refreshError="1"/>
      <sheetData sheetId="7467" refreshError="1"/>
      <sheetData sheetId="7468" refreshError="1"/>
      <sheetData sheetId="7469"/>
      <sheetData sheetId="7470"/>
      <sheetData sheetId="7471" refreshError="1"/>
      <sheetData sheetId="7472" refreshError="1"/>
      <sheetData sheetId="7473" refreshError="1"/>
      <sheetData sheetId="7474" refreshError="1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 refreshError="1"/>
      <sheetData sheetId="7496" refreshError="1"/>
      <sheetData sheetId="7497"/>
      <sheetData sheetId="7498"/>
      <sheetData sheetId="7499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/>
      <sheetData sheetId="7506"/>
      <sheetData sheetId="7507"/>
      <sheetData sheetId="7508" refreshError="1"/>
      <sheetData sheetId="7509"/>
      <sheetData sheetId="7510"/>
      <sheetData sheetId="7511"/>
      <sheetData sheetId="7512" refreshError="1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 refreshError="1"/>
      <sheetData sheetId="7536" refreshError="1"/>
      <sheetData sheetId="7537" refreshError="1"/>
      <sheetData sheetId="7538" refreshError="1"/>
      <sheetData sheetId="7539"/>
      <sheetData sheetId="7540"/>
      <sheetData sheetId="7541" refreshError="1"/>
      <sheetData sheetId="7542" refreshError="1"/>
      <sheetData sheetId="7543" refreshError="1"/>
      <sheetData sheetId="7544" refreshError="1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 refreshError="1"/>
      <sheetData sheetId="7567" refreshError="1"/>
      <sheetData sheetId="7568"/>
      <sheetData sheetId="7569"/>
      <sheetData sheetId="7570"/>
      <sheetData sheetId="7571" refreshError="1"/>
      <sheetData sheetId="7572"/>
      <sheetData sheetId="7573"/>
      <sheetData sheetId="7574"/>
      <sheetData sheetId="7575" refreshError="1"/>
      <sheetData sheetId="7576" refreshError="1"/>
      <sheetData sheetId="7577"/>
      <sheetData sheetId="7578"/>
      <sheetData sheetId="7579"/>
      <sheetData sheetId="7580" refreshError="1"/>
      <sheetData sheetId="7581" refreshError="1"/>
      <sheetData sheetId="7582" refreshError="1"/>
      <sheetData sheetId="7583"/>
      <sheetData sheetId="7584" refreshError="1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 refreshError="1"/>
      <sheetData sheetId="7607" refreshError="1"/>
      <sheetData sheetId="7608"/>
      <sheetData sheetId="7609"/>
      <sheetData sheetId="7610"/>
      <sheetData sheetId="7611" refreshError="1"/>
      <sheetData sheetId="7612"/>
      <sheetData sheetId="7613"/>
      <sheetData sheetId="7614"/>
      <sheetData sheetId="7615" refreshError="1"/>
      <sheetData sheetId="7616" refreshError="1"/>
      <sheetData sheetId="7617"/>
      <sheetData sheetId="7618"/>
      <sheetData sheetId="7619"/>
      <sheetData sheetId="7620" refreshError="1"/>
      <sheetData sheetId="7621"/>
      <sheetData sheetId="7622"/>
      <sheetData sheetId="7623" refreshError="1"/>
      <sheetData sheetId="7624" refreshError="1"/>
      <sheetData sheetId="7625"/>
      <sheetData sheetId="7626"/>
      <sheetData sheetId="7627"/>
      <sheetData sheetId="7628" refreshError="1"/>
      <sheetData sheetId="7629" refreshError="1"/>
      <sheetData sheetId="7630" refreshError="1"/>
      <sheetData sheetId="7631"/>
      <sheetData sheetId="7632" refreshError="1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 refreshError="1"/>
      <sheetData sheetId="7656" refreshError="1"/>
      <sheetData sheetId="7657"/>
      <sheetData sheetId="7658"/>
      <sheetData sheetId="7659" refreshError="1"/>
      <sheetData sheetId="7660"/>
      <sheetData sheetId="766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/>
      <sheetData sheetId="7669"/>
      <sheetData sheetId="7670"/>
      <sheetData sheetId="7671" refreshError="1"/>
      <sheetData sheetId="7672" refreshError="1"/>
      <sheetData sheetId="7673"/>
      <sheetData sheetId="7674"/>
      <sheetData sheetId="7675" refreshError="1"/>
      <sheetData sheetId="7676"/>
      <sheetData sheetId="7677"/>
      <sheetData sheetId="7678"/>
      <sheetData sheetId="7679" refreshError="1"/>
      <sheetData sheetId="7680" refreshError="1"/>
      <sheetData sheetId="7681"/>
      <sheetData sheetId="7682"/>
      <sheetData sheetId="7683" refreshError="1"/>
      <sheetData sheetId="7684"/>
      <sheetData sheetId="7685"/>
      <sheetData sheetId="7686"/>
      <sheetData sheetId="7687"/>
      <sheetData sheetId="7688" refreshError="1"/>
      <sheetData sheetId="7689" refreshError="1"/>
      <sheetData sheetId="7690" refreshError="1"/>
      <sheetData sheetId="7691"/>
      <sheetData sheetId="7692"/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/>
      <sheetData sheetId="7700"/>
      <sheetData sheetId="7701"/>
      <sheetData sheetId="7702" refreshError="1"/>
      <sheetData sheetId="7703" refreshError="1"/>
      <sheetData sheetId="7704"/>
      <sheetData sheetId="7705"/>
      <sheetData sheetId="7706"/>
      <sheetData sheetId="7707" refreshError="1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 refreshError="1"/>
      <sheetData sheetId="7730" refreshError="1"/>
      <sheetData sheetId="7731" refreshError="1"/>
      <sheetData sheetId="7732" refreshError="1"/>
      <sheetData sheetId="7733"/>
      <sheetData sheetId="7734"/>
      <sheetData sheetId="7735" refreshError="1"/>
      <sheetData sheetId="7736" refreshError="1"/>
      <sheetData sheetId="7737"/>
      <sheetData sheetId="7738" refreshError="1"/>
      <sheetData sheetId="7739" refreshError="1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 refreshError="1"/>
      <sheetData sheetId="7761" refreshError="1"/>
      <sheetData sheetId="7762"/>
      <sheetData sheetId="7763" refreshError="1"/>
      <sheetData sheetId="7764" refreshError="1"/>
      <sheetData sheetId="7765"/>
      <sheetData sheetId="7766"/>
      <sheetData sheetId="7767"/>
      <sheetData sheetId="7768" refreshError="1"/>
      <sheetData sheetId="7769" refreshError="1"/>
      <sheetData sheetId="7770"/>
      <sheetData sheetId="7771"/>
      <sheetData sheetId="7772"/>
      <sheetData sheetId="7773" refreshError="1"/>
      <sheetData sheetId="7774" refreshError="1"/>
      <sheetData sheetId="7775"/>
      <sheetData sheetId="7776" refreshError="1"/>
      <sheetData sheetId="7777"/>
      <sheetData sheetId="7778" refreshError="1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 refreshError="1"/>
      <sheetData sheetId="7801" refreshError="1"/>
      <sheetData sheetId="7802"/>
      <sheetData sheetId="7803"/>
      <sheetData sheetId="7804"/>
      <sheetData sheetId="7805"/>
      <sheetData sheetId="7806" refreshError="1"/>
      <sheetData sheetId="7807" refreshError="1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 refreshError="1"/>
      <sheetData sheetId="7842" refreshError="1"/>
      <sheetData sheetId="7843"/>
      <sheetData sheetId="7844"/>
      <sheetData sheetId="7845" refreshError="1"/>
      <sheetData sheetId="7846"/>
      <sheetData sheetId="7847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 refreshError="1"/>
      <sheetData sheetId="7873" refreshError="1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 refreshError="1"/>
      <sheetData sheetId="7899" refreshError="1"/>
      <sheetData sheetId="7900"/>
      <sheetData sheetId="7901"/>
      <sheetData sheetId="7902"/>
      <sheetData sheetId="7903"/>
      <sheetData sheetId="7904"/>
      <sheetData sheetId="7905" refreshError="1"/>
      <sheetData sheetId="7906"/>
      <sheetData sheetId="7907"/>
      <sheetData sheetId="7908"/>
      <sheetData sheetId="7909" refreshError="1"/>
      <sheetData sheetId="7910"/>
      <sheetData sheetId="7911" refreshError="1"/>
      <sheetData sheetId="7912" refreshError="1"/>
      <sheetData sheetId="7913" refreshError="1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 refreshError="1"/>
      <sheetData sheetId="7952" refreshError="1"/>
      <sheetData sheetId="7953" refreshError="1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 refreshError="1"/>
      <sheetData sheetId="7978" refreshError="1"/>
      <sheetData sheetId="7979"/>
      <sheetData sheetId="7980" refreshError="1"/>
      <sheetData sheetId="7981" refreshError="1"/>
      <sheetData sheetId="7982"/>
      <sheetData sheetId="7983" refreshError="1"/>
      <sheetData sheetId="7984" refreshError="1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 refreshError="1"/>
      <sheetData sheetId="8007" refreshError="1"/>
      <sheetData sheetId="8008" refreshError="1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 refreshError="1"/>
      <sheetData sheetId="8031" refreshError="1"/>
      <sheetData sheetId="8032" refreshError="1"/>
      <sheetData sheetId="8033"/>
      <sheetData sheetId="8034"/>
      <sheetData sheetId="8035" refreshError="1"/>
      <sheetData sheetId="8036"/>
      <sheetData sheetId="8037" refreshError="1"/>
      <sheetData sheetId="8038" refreshError="1"/>
      <sheetData sheetId="8039" refreshError="1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 refreshError="1"/>
      <sheetData sheetId="8063"/>
      <sheetData sheetId="8064" refreshError="1"/>
      <sheetData sheetId="8065"/>
      <sheetData sheetId="8066"/>
      <sheetData sheetId="8067" refreshError="1"/>
      <sheetData sheetId="8068"/>
      <sheetData sheetId="8069" refreshError="1"/>
      <sheetData sheetId="8070"/>
      <sheetData sheetId="8071" refreshError="1"/>
      <sheetData sheetId="8072" refreshError="1"/>
      <sheetData sheetId="8073"/>
      <sheetData sheetId="8074"/>
      <sheetData sheetId="8075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/>
      <sheetData sheetId="8082"/>
      <sheetData sheetId="8083" refreshError="1"/>
      <sheetData sheetId="8084" refreshError="1"/>
      <sheetData sheetId="8085"/>
      <sheetData sheetId="8086"/>
      <sheetData sheetId="8087" refreshError="1"/>
      <sheetData sheetId="8088"/>
      <sheetData sheetId="8089"/>
      <sheetData sheetId="8090" refreshError="1"/>
      <sheetData sheetId="8091" refreshError="1"/>
      <sheetData sheetId="8092" refreshError="1"/>
      <sheetData sheetId="8093" refreshError="1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 refreshError="1"/>
      <sheetData sheetId="8120"/>
      <sheetData sheetId="8121" refreshError="1"/>
      <sheetData sheetId="8122" refreshError="1"/>
      <sheetData sheetId="8123"/>
      <sheetData sheetId="8124"/>
      <sheetData sheetId="8125"/>
      <sheetData sheetId="8126"/>
      <sheetData sheetId="8127" refreshError="1"/>
      <sheetData sheetId="8128" refreshError="1"/>
      <sheetData sheetId="8129"/>
      <sheetData sheetId="8130"/>
      <sheetData sheetId="8131" refreshError="1"/>
      <sheetData sheetId="8132" refreshError="1"/>
      <sheetData sheetId="8133"/>
      <sheetData sheetId="8134"/>
      <sheetData sheetId="8135"/>
      <sheetData sheetId="8136"/>
      <sheetData sheetId="8137" refreshError="1"/>
      <sheetData sheetId="8138"/>
      <sheetData sheetId="8139" refreshError="1"/>
      <sheetData sheetId="8140"/>
      <sheetData sheetId="8141" refreshError="1"/>
      <sheetData sheetId="8142" refreshError="1"/>
      <sheetData sheetId="8143"/>
      <sheetData sheetId="8144" refreshError="1"/>
      <sheetData sheetId="8145" refreshError="1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 refreshError="1"/>
      <sheetData sheetId="8165"/>
      <sheetData sheetId="8166"/>
      <sheetData sheetId="8167"/>
      <sheetData sheetId="8168" refreshError="1"/>
      <sheetData sheetId="8169"/>
      <sheetData sheetId="8170"/>
      <sheetData sheetId="8171" refreshError="1"/>
      <sheetData sheetId="8172" refreshError="1"/>
      <sheetData sheetId="8173"/>
      <sheetData sheetId="8174"/>
      <sheetData sheetId="8175"/>
      <sheetData sheetId="8176" refreshError="1"/>
      <sheetData sheetId="8177" refreshError="1"/>
      <sheetData sheetId="8178" refreshError="1"/>
      <sheetData sheetId="8179"/>
      <sheetData sheetId="8180" refreshError="1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/>
      <sheetData sheetId="8214"/>
      <sheetData sheetId="8215" refreshError="1"/>
      <sheetData sheetId="8216"/>
      <sheetData sheetId="8217"/>
      <sheetData sheetId="8218"/>
      <sheetData sheetId="8219" refreshError="1"/>
      <sheetData sheetId="8220" refreshError="1"/>
      <sheetData sheetId="8221"/>
      <sheetData sheetId="8222"/>
      <sheetData sheetId="8223" refreshError="1"/>
      <sheetData sheetId="8224"/>
      <sheetData sheetId="8225"/>
      <sheetData sheetId="8226"/>
      <sheetData sheetId="8227" refreshError="1"/>
      <sheetData sheetId="8228" refreshError="1"/>
      <sheetData sheetId="8229"/>
      <sheetData sheetId="8230"/>
      <sheetData sheetId="8231" refreshError="1"/>
      <sheetData sheetId="8232"/>
      <sheetData sheetId="8233"/>
      <sheetData sheetId="8234"/>
      <sheetData sheetId="8235" refreshError="1"/>
      <sheetData sheetId="8236"/>
      <sheetData sheetId="8237"/>
      <sheetData sheetId="8238"/>
      <sheetData sheetId="8239"/>
      <sheetData sheetId="8240" refreshError="1"/>
      <sheetData sheetId="8241" refreshError="1"/>
      <sheetData sheetId="8242"/>
      <sheetData sheetId="8243"/>
      <sheetData sheetId="8244" refreshError="1"/>
      <sheetData sheetId="8245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 refreshError="1"/>
      <sheetData sheetId="8277"/>
      <sheetData sheetId="8278"/>
      <sheetData sheetId="8279"/>
      <sheetData sheetId="8280" refreshError="1"/>
      <sheetData sheetId="8281" refreshError="1"/>
      <sheetData sheetId="8282" refreshError="1"/>
      <sheetData sheetId="8283"/>
      <sheetData sheetId="8284" refreshError="1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 refreshError="1"/>
      <sheetData sheetId="8308" refreshError="1"/>
      <sheetData sheetId="8309"/>
      <sheetData sheetId="8310"/>
      <sheetData sheetId="8311"/>
      <sheetData sheetId="8312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/>
      <sheetData sheetId="8320"/>
      <sheetData sheetId="8321" refreshError="1"/>
      <sheetData sheetId="8322"/>
      <sheetData sheetId="8323" refreshError="1"/>
      <sheetData sheetId="8324" refreshError="1"/>
      <sheetData sheetId="8325"/>
      <sheetData sheetId="8326"/>
      <sheetData sheetId="8327"/>
      <sheetData sheetId="8328" refreshError="1"/>
      <sheetData sheetId="8329" refreshError="1"/>
      <sheetData sheetId="8330" refreshError="1"/>
      <sheetData sheetId="8331"/>
      <sheetData sheetId="8332" refreshError="1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 refreshError="1"/>
      <sheetData sheetId="8349"/>
      <sheetData sheetId="8350"/>
      <sheetData sheetId="8351"/>
      <sheetData sheetId="8352" refreshError="1"/>
      <sheetData sheetId="8353" refreshError="1"/>
      <sheetData sheetId="8354" refreshError="1"/>
      <sheetData sheetId="8355"/>
      <sheetData sheetId="8356" refreshError="1"/>
      <sheetData sheetId="8357" refreshError="1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 refreshError="1"/>
      <sheetData sheetId="8376" refreshError="1"/>
      <sheetData sheetId="8377"/>
      <sheetData sheetId="8378" refreshError="1"/>
      <sheetData sheetId="8379" refreshError="1"/>
      <sheetData sheetId="8380"/>
      <sheetData sheetId="8381" refreshError="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 refreshError="1"/>
      <sheetData sheetId="8410" refreshError="1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 refreshError="1"/>
      <sheetData sheetId="8435" refreshError="1"/>
      <sheetData sheetId="8436"/>
      <sheetData sheetId="8437"/>
      <sheetData sheetId="8438" refreshError="1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 refreshError="1"/>
      <sheetData sheetId="8454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 refreshError="1"/>
      <sheetData sheetId="8484"/>
      <sheetData sheetId="8485"/>
      <sheetData sheetId="8486" refreshError="1"/>
      <sheetData sheetId="8487" refreshError="1"/>
      <sheetData sheetId="8488"/>
      <sheetData sheetId="8489"/>
      <sheetData sheetId="8490" refreshError="1"/>
      <sheetData sheetId="8491"/>
      <sheetData sheetId="8492"/>
      <sheetData sheetId="8493" refreshError="1"/>
      <sheetData sheetId="8494" refreshError="1"/>
      <sheetData sheetId="8495" refreshError="1"/>
      <sheetData sheetId="8496"/>
      <sheetData sheetId="8497" refreshError="1"/>
      <sheetData sheetId="8498"/>
      <sheetData sheetId="8499"/>
      <sheetData sheetId="8500" refreshError="1"/>
      <sheetData sheetId="8501" refreshError="1"/>
      <sheetData sheetId="8502"/>
      <sheetData sheetId="8503" refreshError="1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 refreshError="1"/>
      <sheetData sheetId="8531"/>
      <sheetData sheetId="8532" refreshError="1"/>
      <sheetData sheetId="8533" refreshError="1"/>
      <sheetData sheetId="8534" refreshError="1"/>
      <sheetData sheetId="8535" refreshError="1"/>
      <sheetData sheetId="8536"/>
      <sheetData sheetId="8537" refreshError="1"/>
      <sheetData sheetId="8538"/>
      <sheetData sheetId="8539"/>
      <sheetData sheetId="8540" refreshError="1"/>
      <sheetData sheetId="8541" refreshError="1"/>
      <sheetData sheetId="8542"/>
      <sheetData sheetId="8543"/>
      <sheetData sheetId="8544" refreshError="1"/>
      <sheetData sheetId="8545"/>
      <sheetData sheetId="8546"/>
      <sheetData sheetId="8547" refreshError="1"/>
      <sheetData sheetId="8548" refreshError="1"/>
      <sheetData sheetId="8549" refreshError="1"/>
      <sheetData sheetId="8550"/>
      <sheetData sheetId="8551"/>
      <sheetData sheetId="8552"/>
      <sheetData sheetId="8553" refreshError="1"/>
      <sheetData sheetId="8554"/>
      <sheetData sheetId="8555" refreshError="1"/>
      <sheetData sheetId="8556"/>
      <sheetData sheetId="8557"/>
      <sheetData sheetId="8558"/>
      <sheetData sheetId="8559" refreshError="1"/>
      <sheetData sheetId="8560" refreshError="1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 refreshError="1"/>
      <sheetData sheetId="8573"/>
      <sheetData sheetId="8574" refreshError="1"/>
      <sheetData sheetId="8575"/>
      <sheetData sheetId="8576" refreshError="1"/>
      <sheetData sheetId="8577"/>
      <sheetData sheetId="8578" refreshError="1"/>
      <sheetData sheetId="8579"/>
      <sheetData sheetId="8580" refreshError="1"/>
      <sheetData sheetId="8581" refreshError="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 refreshError="1"/>
      <sheetData sheetId="8605" refreshError="1"/>
      <sheetData sheetId="8606"/>
      <sheetData sheetId="8607"/>
      <sheetData sheetId="8608"/>
      <sheetData sheetId="8609" refreshError="1"/>
      <sheetData sheetId="8610"/>
      <sheetData sheetId="8611"/>
      <sheetData sheetId="8612"/>
      <sheetData sheetId="8613"/>
      <sheetData sheetId="8614" refreshError="1"/>
      <sheetData sheetId="8615" refreshError="1"/>
      <sheetData sheetId="8616"/>
      <sheetData sheetId="8617" refreshError="1"/>
      <sheetData sheetId="8618"/>
      <sheetData sheetId="8619"/>
      <sheetData sheetId="8620" refreshError="1"/>
      <sheetData sheetId="8621" refreshError="1"/>
      <sheetData sheetId="8622" refreshError="1"/>
      <sheetData sheetId="8623" refreshError="1"/>
      <sheetData sheetId="8624"/>
      <sheetData sheetId="8625" refreshError="1"/>
      <sheetData sheetId="8626"/>
      <sheetData sheetId="8627"/>
      <sheetData sheetId="8628"/>
      <sheetData sheetId="8629"/>
      <sheetData sheetId="8630"/>
      <sheetData sheetId="8631" refreshError="1"/>
      <sheetData sheetId="8632"/>
      <sheetData sheetId="8633"/>
      <sheetData sheetId="8634" refreshError="1"/>
      <sheetData sheetId="8635" refreshError="1"/>
      <sheetData sheetId="8636"/>
      <sheetData sheetId="8637" refreshError="1"/>
      <sheetData sheetId="8638" refreshError="1"/>
      <sheetData sheetId="8639"/>
      <sheetData sheetId="8640"/>
      <sheetData sheetId="864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/>
      <sheetData sheetId="8648"/>
      <sheetData sheetId="8649"/>
      <sheetData sheetId="8650" refreshError="1"/>
      <sheetData sheetId="8651" refreshError="1"/>
      <sheetData sheetId="8652" refreshError="1"/>
      <sheetData sheetId="8653"/>
      <sheetData sheetId="8654" refreshError="1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 refreshError="1"/>
      <sheetData sheetId="8678"/>
      <sheetData sheetId="8679"/>
      <sheetData sheetId="8680" refreshError="1"/>
      <sheetData sheetId="8681"/>
      <sheetData sheetId="8682" refreshError="1"/>
      <sheetData sheetId="8683"/>
      <sheetData sheetId="8684" refreshError="1"/>
      <sheetData sheetId="8685" refreshError="1"/>
      <sheetData sheetId="8686" refreshError="1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/>
      <sheetData sheetId="8719"/>
      <sheetData sheetId="8720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/>
      <sheetData sheetId="8770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/>
      <sheetData sheetId="8798" refreshError="1"/>
      <sheetData sheetId="8799" refreshError="1"/>
      <sheetData sheetId="8800"/>
      <sheetData sheetId="8801"/>
      <sheetData sheetId="8802" refreshError="1"/>
      <sheetData sheetId="8803"/>
      <sheetData sheetId="8804" refreshError="1"/>
      <sheetData sheetId="8805"/>
      <sheetData sheetId="8806"/>
      <sheetData sheetId="8807" refreshError="1"/>
      <sheetData sheetId="8808"/>
      <sheetData sheetId="8809" refreshError="1"/>
      <sheetData sheetId="8810"/>
      <sheetData sheetId="8811"/>
      <sheetData sheetId="8812"/>
      <sheetData sheetId="8813" refreshError="1"/>
      <sheetData sheetId="8814" refreshError="1"/>
      <sheetData sheetId="8815" refreshError="1"/>
      <sheetData sheetId="8816"/>
      <sheetData sheetId="8817"/>
      <sheetData sheetId="8818"/>
      <sheetData sheetId="8819" refreshError="1"/>
      <sheetData sheetId="8820"/>
      <sheetData sheetId="8821"/>
      <sheetData sheetId="8822" refreshError="1"/>
      <sheetData sheetId="8823" refreshError="1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 refreshError="1"/>
      <sheetData sheetId="8839"/>
      <sheetData sheetId="8840"/>
      <sheetData sheetId="8841"/>
      <sheetData sheetId="8842" refreshError="1"/>
      <sheetData sheetId="8843"/>
      <sheetData sheetId="8844"/>
      <sheetData sheetId="8845" refreshError="1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 refreshError="1"/>
      <sheetData sheetId="8869" refreshError="1"/>
      <sheetData sheetId="8870"/>
      <sheetData sheetId="8871"/>
      <sheetData sheetId="8872"/>
      <sheetData sheetId="8873" refreshError="1"/>
      <sheetData sheetId="8874" refreshError="1"/>
      <sheetData sheetId="8875"/>
      <sheetData sheetId="8876"/>
      <sheetData sheetId="8877"/>
      <sheetData sheetId="8878" refreshError="1"/>
      <sheetData sheetId="8879"/>
      <sheetData sheetId="8880" refreshError="1"/>
      <sheetData sheetId="8881"/>
      <sheetData sheetId="8882" refreshError="1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 refreshError="1"/>
      <sheetData sheetId="8906" refreshError="1"/>
      <sheetData sheetId="8907"/>
      <sheetData sheetId="8908"/>
      <sheetData sheetId="8909" refreshError="1"/>
      <sheetData sheetId="8910" refreshError="1"/>
      <sheetData sheetId="8911" refreshError="1"/>
      <sheetData sheetId="8912"/>
      <sheetData sheetId="8913" refreshError="1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 refreshError="1"/>
      <sheetData sheetId="8936" refreshError="1"/>
      <sheetData sheetId="8937" refreshError="1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 refreshError="1"/>
      <sheetData sheetId="8955" refreshError="1"/>
      <sheetData sheetId="8956"/>
      <sheetData sheetId="8957"/>
      <sheetData sheetId="8958"/>
      <sheetData sheetId="8959" refreshError="1"/>
      <sheetData sheetId="8960"/>
      <sheetData sheetId="8961" refreshError="1"/>
      <sheetData sheetId="8962"/>
      <sheetData sheetId="8963" refreshError="1"/>
      <sheetData sheetId="8964" refreshError="1"/>
      <sheetData sheetId="8965"/>
      <sheetData sheetId="8966"/>
      <sheetData sheetId="8967" refreshError="1"/>
      <sheetData sheetId="8968"/>
      <sheetData sheetId="8969" refreshError="1"/>
      <sheetData sheetId="8970" refreshError="1"/>
      <sheetData sheetId="8971"/>
      <sheetData sheetId="8972"/>
      <sheetData sheetId="8973"/>
      <sheetData sheetId="8974" refreshError="1"/>
      <sheetData sheetId="8975" refreshError="1"/>
      <sheetData sheetId="8976" refreshError="1"/>
      <sheetData sheetId="8977"/>
      <sheetData sheetId="8978" refreshError="1"/>
      <sheetData sheetId="8979" refreshError="1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 refreshError="1"/>
      <sheetData sheetId="9002" refreshError="1"/>
      <sheetData sheetId="9003" refreshError="1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 refreshError="1"/>
      <sheetData sheetId="9025" refreshError="1"/>
      <sheetData sheetId="9026" refreshError="1"/>
      <sheetData sheetId="9027"/>
      <sheetData sheetId="9028"/>
      <sheetData sheetId="9029" refreshError="1"/>
      <sheetData sheetId="9030" refreshError="1"/>
      <sheetData sheetId="9031"/>
      <sheetData sheetId="9032" refreshError="1"/>
      <sheetData sheetId="9033" refreshError="1"/>
      <sheetData sheetId="9034" refreshError="1"/>
      <sheetData sheetId="9035"/>
      <sheetData sheetId="9036" refreshError="1"/>
      <sheetData sheetId="9037" refreshError="1"/>
      <sheetData sheetId="9038"/>
      <sheetData sheetId="9039" refreshError="1"/>
      <sheetData sheetId="9040" refreshError="1"/>
      <sheetData sheetId="9041" refreshError="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 refreshError="1"/>
      <sheetData sheetId="9066"/>
      <sheetData sheetId="9067" refreshError="1"/>
      <sheetData sheetId="9068" refreshError="1"/>
      <sheetData sheetId="9069"/>
      <sheetData sheetId="9070" refreshError="1"/>
      <sheetData sheetId="9071" refreshError="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 refreshError="1"/>
      <sheetData sheetId="9094" refreshError="1"/>
      <sheetData sheetId="9095" refreshError="1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 refreshError="1"/>
      <sheetData sheetId="9119"/>
      <sheetData sheetId="9120" refreshError="1"/>
      <sheetData sheetId="9121" refreshError="1"/>
      <sheetData sheetId="9122"/>
      <sheetData sheetId="9123"/>
      <sheetData sheetId="9124"/>
      <sheetData sheetId="9125" refreshError="1"/>
      <sheetData sheetId="9126"/>
      <sheetData sheetId="9127"/>
      <sheetData sheetId="9128"/>
      <sheetData sheetId="9129"/>
      <sheetData sheetId="9130" refreshError="1"/>
      <sheetData sheetId="9131"/>
      <sheetData sheetId="9132"/>
      <sheetData sheetId="9133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/>
      <sheetData sheetId="9141"/>
      <sheetData sheetId="9142" refreshError="1"/>
      <sheetData sheetId="9143" refreshError="1"/>
      <sheetData sheetId="9144"/>
      <sheetData sheetId="9145" refreshError="1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 refreshError="1"/>
      <sheetData sheetId="9172"/>
      <sheetData sheetId="9173" refreshError="1"/>
      <sheetData sheetId="9174" refreshError="1"/>
      <sheetData sheetId="9175"/>
      <sheetData sheetId="9176"/>
      <sheetData sheetId="9177" refreshError="1"/>
      <sheetData sheetId="9178"/>
      <sheetData sheetId="9179"/>
      <sheetData sheetId="9180" refreshError="1"/>
      <sheetData sheetId="9181" refreshError="1"/>
      <sheetData sheetId="9182"/>
      <sheetData sheetId="9183"/>
      <sheetData sheetId="9184" refreshError="1"/>
      <sheetData sheetId="9185" refreshError="1"/>
      <sheetData sheetId="9186"/>
      <sheetData sheetId="9187"/>
      <sheetData sheetId="9188" refreshError="1"/>
      <sheetData sheetId="9189"/>
      <sheetData sheetId="9190" refreshError="1"/>
      <sheetData sheetId="9191" refreshError="1"/>
      <sheetData sheetId="9192"/>
      <sheetData sheetId="9193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/>
      <sheetData sheetId="9200" refreshError="1"/>
      <sheetData sheetId="9201" refreshError="1"/>
      <sheetData sheetId="9202" refreshError="1"/>
      <sheetData sheetId="9203"/>
      <sheetData sheetId="9204"/>
      <sheetData sheetId="9205" refreshError="1"/>
      <sheetData sheetId="9206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/>
      <sheetData sheetId="9214" refreshError="1"/>
      <sheetData sheetId="9215" refreshError="1"/>
      <sheetData sheetId="9216"/>
      <sheetData sheetId="9217"/>
      <sheetData sheetId="9218"/>
      <sheetData sheetId="9219"/>
      <sheetData sheetId="9220" refreshError="1"/>
      <sheetData sheetId="9221"/>
      <sheetData sheetId="9222" refreshError="1"/>
      <sheetData sheetId="9223" refreshError="1"/>
      <sheetData sheetId="9224" refreshError="1"/>
      <sheetData sheetId="9225"/>
      <sheetData sheetId="9226"/>
      <sheetData sheetId="9227" refreshError="1"/>
      <sheetData sheetId="9228"/>
      <sheetData sheetId="9229" refreshError="1"/>
      <sheetData sheetId="9230" refreshError="1"/>
      <sheetData sheetId="9231"/>
      <sheetData sheetId="9232"/>
      <sheetData sheetId="9233"/>
      <sheetData sheetId="9234" refreshError="1"/>
      <sheetData sheetId="9235"/>
      <sheetData sheetId="9236" refreshError="1"/>
      <sheetData sheetId="9237" refreshError="1"/>
      <sheetData sheetId="9238"/>
      <sheetData sheetId="9239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/>
      <sheetData sheetId="9246"/>
      <sheetData sheetId="9247" refreshError="1"/>
      <sheetData sheetId="9248"/>
      <sheetData sheetId="9249" refreshError="1"/>
      <sheetData sheetId="9250" refreshError="1"/>
      <sheetData sheetId="9251" refreshError="1"/>
      <sheetData sheetId="9252"/>
      <sheetData sheetId="9253"/>
      <sheetData sheetId="9254" refreshError="1"/>
      <sheetData sheetId="9255"/>
      <sheetData sheetId="9256" refreshError="1"/>
      <sheetData sheetId="9257" refreshError="1"/>
      <sheetData sheetId="9258"/>
      <sheetData sheetId="9259"/>
      <sheetData sheetId="9260" refreshError="1"/>
      <sheetData sheetId="9261"/>
      <sheetData sheetId="9262" refreshError="1"/>
      <sheetData sheetId="9263" refreshError="1"/>
      <sheetData sheetId="9264" refreshError="1"/>
      <sheetData sheetId="9265"/>
      <sheetData sheetId="9266"/>
      <sheetData sheetId="9267" refreshError="1"/>
      <sheetData sheetId="9268"/>
      <sheetData sheetId="9269" refreshError="1"/>
      <sheetData sheetId="9270" refreshError="1"/>
      <sheetData sheetId="9271"/>
      <sheetData sheetId="9272"/>
      <sheetData sheetId="9273" refreshError="1"/>
      <sheetData sheetId="9274" refreshError="1"/>
      <sheetData sheetId="9275"/>
      <sheetData sheetId="9276" refreshError="1"/>
      <sheetData sheetId="9277" refreshError="1"/>
      <sheetData sheetId="9278" refreshError="1"/>
      <sheetData sheetId="9279"/>
      <sheetData sheetId="9280"/>
      <sheetData sheetId="9281" refreshError="1"/>
      <sheetData sheetId="9282"/>
      <sheetData sheetId="9283" refreshError="1"/>
      <sheetData sheetId="9284" refreshError="1"/>
      <sheetData sheetId="9285" refreshError="1"/>
      <sheetData sheetId="9286"/>
      <sheetData sheetId="9287"/>
      <sheetData sheetId="9288" refreshError="1"/>
      <sheetData sheetId="9289"/>
      <sheetData sheetId="9290" refreshError="1"/>
      <sheetData sheetId="9291" refreshError="1"/>
      <sheetData sheetId="9292"/>
      <sheetData sheetId="9293"/>
      <sheetData sheetId="9294" refreshError="1"/>
      <sheetData sheetId="9295"/>
      <sheetData sheetId="9296" refreshError="1"/>
      <sheetData sheetId="9297"/>
      <sheetData sheetId="9298"/>
      <sheetData sheetId="9299" refreshError="1"/>
      <sheetData sheetId="9300" refreshError="1"/>
      <sheetData sheetId="9301"/>
      <sheetData sheetId="9302" refreshError="1"/>
      <sheetData sheetId="9303"/>
      <sheetData sheetId="9304"/>
      <sheetData sheetId="9305" refreshError="1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/>
      <sheetData sheetId="9313"/>
      <sheetData sheetId="9314" refreshError="1"/>
      <sheetData sheetId="9315"/>
      <sheetData sheetId="9316" refreshError="1"/>
      <sheetData sheetId="9317" refreshError="1"/>
      <sheetData sheetId="9318"/>
      <sheetData sheetId="9319"/>
      <sheetData sheetId="9320" refreshError="1"/>
      <sheetData sheetId="9321"/>
      <sheetData sheetId="9322" refreshError="1"/>
      <sheetData sheetId="9323" refreshError="1"/>
      <sheetData sheetId="9324" refreshError="1"/>
      <sheetData sheetId="9325"/>
      <sheetData sheetId="9326"/>
      <sheetData sheetId="9327" refreshError="1"/>
      <sheetData sheetId="9328"/>
      <sheetData sheetId="9329" refreshError="1"/>
      <sheetData sheetId="9330"/>
      <sheetData sheetId="9331" refreshError="1"/>
      <sheetData sheetId="9332" refreshError="1"/>
      <sheetData sheetId="9333"/>
      <sheetData sheetId="9334"/>
      <sheetData sheetId="9335" refreshError="1"/>
      <sheetData sheetId="9336" refreshError="1"/>
      <sheetData sheetId="9337"/>
      <sheetData sheetId="9338"/>
      <sheetData sheetId="9339" refreshError="1"/>
      <sheetData sheetId="9340" refreshError="1"/>
      <sheetData sheetId="9341"/>
      <sheetData sheetId="9342"/>
      <sheetData sheetId="9343"/>
      <sheetData sheetId="9344" refreshError="1"/>
      <sheetData sheetId="9345"/>
      <sheetData sheetId="9346"/>
      <sheetData sheetId="9347" refreshError="1"/>
      <sheetData sheetId="9348" refreshError="1"/>
      <sheetData sheetId="9349"/>
      <sheetData sheetId="9350"/>
      <sheetData sheetId="9351" refreshError="1"/>
      <sheetData sheetId="9352" refreshError="1"/>
      <sheetData sheetId="9353" refreshError="1"/>
      <sheetData sheetId="9354"/>
      <sheetData sheetId="9355"/>
      <sheetData sheetId="9356" refreshError="1"/>
      <sheetData sheetId="9357"/>
      <sheetData sheetId="9358" refreshError="1"/>
      <sheetData sheetId="9359" refreshError="1"/>
      <sheetData sheetId="9360" refreshError="1"/>
      <sheetData sheetId="9361"/>
      <sheetData sheetId="9362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/>
      <sheetData sheetId="9369"/>
      <sheetData sheetId="9370" refreshError="1"/>
      <sheetData sheetId="9371"/>
      <sheetData sheetId="9372" refreshError="1"/>
      <sheetData sheetId="9373" refreshError="1"/>
      <sheetData sheetId="9374"/>
      <sheetData sheetId="9375"/>
      <sheetData sheetId="9376" refreshError="1"/>
      <sheetData sheetId="9377"/>
      <sheetData sheetId="9378" refreshError="1"/>
      <sheetData sheetId="9379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/>
      <sheetData sheetId="9386" refreshError="1"/>
      <sheetData sheetId="9387" refreshError="1"/>
      <sheetData sheetId="9388"/>
      <sheetData sheetId="9389"/>
      <sheetData sheetId="9390" refreshError="1"/>
      <sheetData sheetId="9391" refreshError="1"/>
      <sheetData sheetId="9392" refreshError="1"/>
      <sheetData sheetId="9393" refreshError="1"/>
      <sheetData sheetId="9394"/>
      <sheetData sheetId="9395" refreshError="1"/>
      <sheetData sheetId="9396" refreshError="1"/>
      <sheetData sheetId="9397"/>
      <sheetData sheetId="9398"/>
      <sheetData sheetId="9399"/>
      <sheetData sheetId="9400"/>
      <sheetData sheetId="9401" refreshError="1"/>
      <sheetData sheetId="9402"/>
      <sheetData sheetId="9403" refreshError="1"/>
      <sheetData sheetId="9404" refreshError="1"/>
      <sheetData sheetId="9405"/>
      <sheetData sheetId="9406"/>
      <sheetData sheetId="9407" refreshError="1"/>
      <sheetData sheetId="9408"/>
      <sheetData sheetId="9409" refreshError="1"/>
      <sheetData sheetId="9410"/>
      <sheetData sheetId="9411"/>
      <sheetData sheetId="9412" refreshError="1"/>
      <sheetData sheetId="9413" refreshError="1"/>
      <sheetData sheetId="9414" refreshError="1"/>
      <sheetData sheetId="9415"/>
      <sheetData sheetId="9416" refreshError="1"/>
      <sheetData sheetId="9417" refreshError="1"/>
      <sheetData sheetId="9418"/>
      <sheetData sheetId="9419"/>
      <sheetData sheetId="9420" refreshError="1"/>
      <sheetData sheetId="942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/>
      <sheetData sheetId="9429"/>
      <sheetData sheetId="9430" refreshError="1"/>
      <sheetData sheetId="9431"/>
      <sheetData sheetId="9432" refreshError="1"/>
      <sheetData sheetId="9433"/>
      <sheetData sheetId="9434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/>
      <sheetData sheetId="9442"/>
      <sheetData sheetId="9443" refreshError="1"/>
      <sheetData sheetId="9444"/>
      <sheetData sheetId="9445" refreshError="1"/>
      <sheetData sheetId="9446" refreshError="1"/>
      <sheetData sheetId="9447" refreshError="1"/>
      <sheetData sheetId="9448"/>
      <sheetData sheetId="9449"/>
      <sheetData sheetId="9450"/>
      <sheetData sheetId="9451" refreshError="1"/>
      <sheetData sheetId="9452" refreshError="1"/>
      <sheetData sheetId="9453"/>
      <sheetData sheetId="9454" refreshError="1"/>
      <sheetData sheetId="9455" refreshError="1"/>
      <sheetData sheetId="9456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/>
      <sheetData sheetId="9465"/>
      <sheetData sheetId="9466"/>
      <sheetData sheetId="9467" refreshError="1"/>
      <sheetData sheetId="9468"/>
      <sheetData sheetId="9469" refreshError="1"/>
      <sheetData sheetId="9470"/>
      <sheetData sheetId="9471" refreshError="1"/>
      <sheetData sheetId="9472"/>
      <sheetData sheetId="9473" refreshError="1"/>
      <sheetData sheetId="9474" refreshError="1"/>
      <sheetData sheetId="9475" refreshError="1"/>
      <sheetData sheetId="9476"/>
      <sheetData sheetId="9477"/>
      <sheetData sheetId="9478" refreshError="1"/>
      <sheetData sheetId="9479"/>
      <sheetData sheetId="9480" refreshError="1"/>
      <sheetData sheetId="9481" refreshError="1"/>
      <sheetData sheetId="9482"/>
      <sheetData sheetId="9483"/>
      <sheetData sheetId="9484" refreshError="1"/>
      <sheetData sheetId="9485" refreshError="1"/>
      <sheetData sheetId="9486" refreshError="1"/>
      <sheetData sheetId="9487" refreshError="1"/>
      <sheetData sheetId="9488"/>
      <sheetData sheetId="9489"/>
      <sheetData sheetId="9490" refreshError="1"/>
      <sheetData sheetId="9491"/>
      <sheetData sheetId="9492" refreshError="1"/>
      <sheetData sheetId="9493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/>
      <sheetData sheetId="9503"/>
      <sheetData sheetId="9504"/>
      <sheetData sheetId="9505"/>
      <sheetData sheetId="9506" refreshError="1"/>
      <sheetData sheetId="9507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/>
      <sheetData sheetId="9514"/>
      <sheetData sheetId="9515" refreshError="1"/>
      <sheetData sheetId="9516"/>
      <sheetData sheetId="9517" refreshError="1"/>
      <sheetData sheetId="9518" refreshError="1"/>
      <sheetData sheetId="9519"/>
      <sheetData sheetId="9520" refreshError="1"/>
      <sheetData sheetId="9521" refreshError="1"/>
      <sheetData sheetId="9522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/>
      <sheetData sheetId="953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/>
      <sheetData sheetId="9540"/>
      <sheetData sheetId="9541" refreshError="1"/>
      <sheetData sheetId="9542"/>
      <sheetData sheetId="9543" refreshError="1"/>
      <sheetData sheetId="9544" refreshError="1"/>
      <sheetData sheetId="9545" refreshError="1"/>
      <sheetData sheetId="9546" refreshError="1"/>
      <sheetData sheetId="9547"/>
      <sheetData sheetId="9548" refreshError="1"/>
      <sheetData sheetId="9549" refreshError="1"/>
      <sheetData sheetId="9550"/>
      <sheetData sheetId="9551" refreshError="1"/>
      <sheetData sheetId="9552" refreshError="1"/>
      <sheetData sheetId="9553" refreshError="1"/>
      <sheetData sheetId="9554" refreshError="1"/>
      <sheetData sheetId="9555"/>
      <sheetData sheetId="9556"/>
      <sheetData sheetId="9557" refreshError="1"/>
      <sheetData sheetId="9558"/>
      <sheetData sheetId="9559" refreshError="1"/>
      <sheetData sheetId="9560" refreshError="1"/>
      <sheetData sheetId="9561"/>
      <sheetData sheetId="9562"/>
      <sheetData sheetId="9563" refreshError="1"/>
      <sheetData sheetId="9564"/>
      <sheetData sheetId="9565" refreshError="1"/>
      <sheetData sheetId="9566"/>
      <sheetData sheetId="9567"/>
      <sheetData sheetId="9568" refreshError="1"/>
      <sheetData sheetId="9569"/>
      <sheetData sheetId="9570" refreshError="1"/>
      <sheetData sheetId="9571" refreshError="1"/>
      <sheetData sheetId="9572"/>
      <sheetData sheetId="9573"/>
      <sheetData sheetId="9574" refreshError="1"/>
      <sheetData sheetId="9575"/>
      <sheetData sheetId="9576"/>
      <sheetData sheetId="9577" refreshError="1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 refreshError="1"/>
      <sheetData sheetId="9607" refreshError="1"/>
      <sheetData sheetId="9608"/>
      <sheetData sheetId="9609" refreshError="1"/>
      <sheetData sheetId="9610" refreshError="1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 refreshError="1"/>
      <sheetData sheetId="9645"/>
      <sheetData sheetId="9646" refreshError="1"/>
      <sheetData sheetId="9647" refreshError="1"/>
      <sheetData sheetId="9648" refreshError="1"/>
      <sheetData sheetId="9649" refreshError="1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 refreshError="1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 refreshError="1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 refreshError="1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 refreshError="1"/>
      <sheetData sheetId="9916" refreshError="1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 refreshError="1"/>
      <sheetData sheetId="9943" refreshError="1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 refreshError="1"/>
      <sheetData sheetId="9972" refreshError="1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 refreshError="1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 refreshError="1"/>
      <sheetData sheetId="10012" refreshError="1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 refreshError="1"/>
      <sheetData sheetId="10038" refreshError="1"/>
      <sheetData sheetId="10039" refreshError="1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 refreshError="1"/>
      <sheetData sheetId="10067" refreshError="1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 refreshError="1"/>
      <sheetData sheetId="10094"/>
      <sheetData sheetId="10095"/>
      <sheetData sheetId="10096"/>
      <sheetData sheetId="10097"/>
      <sheetData sheetId="10098" refreshError="1"/>
      <sheetData sheetId="10099"/>
      <sheetData sheetId="10100"/>
      <sheetData sheetId="10101" refreshError="1"/>
      <sheetData sheetId="10102" refreshError="1"/>
      <sheetData sheetId="10103" refreshError="1"/>
      <sheetData sheetId="10104" refreshError="1"/>
      <sheetData sheetId="10105"/>
      <sheetData sheetId="10106"/>
      <sheetData sheetId="10107"/>
      <sheetData sheetId="10108" refreshError="1"/>
      <sheetData sheetId="10109" refreshError="1"/>
      <sheetData sheetId="10110" refreshError="1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 refreshError="1"/>
      <sheetData sheetId="10137" refreshError="1"/>
      <sheetData sheetId="10138" refreshError="1"/>
      <sheetData sheetId="10139"/>
      <sheetData sheetId="10140"/>
      <sheetData sheetId="10141"/>
      <sheetData sheetId="10142" refreshError="1"/>
      <sheetData sheetId="10143" refreshError="1"/>
      <sheetData sheetId="10144" refreshError="1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 refreshError="1"/>
      <sheetData sheetId="10168" refreshError="1"/>
      <sheetData sheetId="10169" refreshError="1"/>
      <sheetData sheetId="10170"/>
      <sheetData sheetId="10171"/>
      <sheetData sheetId="10172"/>
      <sheetData sheetId="10173" refreshError="1"/>
      <sheetData sheetId="10174" refreshError="1"/>
      <sheetData sheetId="10175" refreshError="1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 refreshError="1"/>
      <sheetData sheetId="10197" refreshError="1"/>
      <sheetData sheetId="10198"/>
      <sheetData sheetId="10199"/>
      <sheetData sheetId="10200" refreshError="1"/>
      <sheetData sheetId="10201" refreshError="1"/>
      <sheetData sheetId="10202"/>
      <sheetData sheetId="10203"/>
      <sheetData sheetId="10204" refreshError="1"/>
      <sheetData sheetId="10205" refreshError="1"/>
      <sheetData sheetId="10206"/>
      <sheetData sheetId="10207"/>
      <sheetData sheetId="10208"/>
      <sheetData sheetId="10209" refreshError="1"/>
      <sheetData sheetId="10210"/>
      <sheetData sheetId="10211"/>
      <sheetData sheetId="10212" refreshError="1"/>
      <sheetData sheetId="10213"/>
      <sheetData sheetId="10214"/>
      <sheetData sheetId="10215" refreshError="1"/>
      <sheetData sheetId="10216" refreshError="1"/>
      <sheetData sheetId="10217" refreshError="1"/>
      <sheetData sheetId="10218"/>
      <sheetData sheetId="10219" refreshError="1"/>
      <sheetData sheetId="10220" refreshError="1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 refreshError="1"/>
      <sheetData sheetId="10243" refreshError="1"/>
      <sheetData sheetId="10244" refreshError="1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 refreshError="1"/>
      <sheetData sheetId="10266" refreshError="1"/>
      <sheetData sheetId="10267" refreshError="1"/>
      <sheetData sheetId="10268"/>
      <sheetData sheetId="10269"/>
      <sheetData sheetId="10270" refreshError="1"/>
      <sheetData sheetId="10271"/>
      <sheetData sheetId="10272"/>
      <sheetData sheetId="10273" refreshError="1"/>
      <sheetData sheetId="10274"/>
      <sheetData sheetId="10275" refreshError="1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 refreshError="1"/>
      <sheetData sheetId="10297" refreshError="1"/>
      <sheetData sheetId="10298"/>
      <sheetData sheetId="10299"/>
      <sheetData sheetId="10300" refreshError="1"/>
      <sheetData sheetId="10301"/>
      <sheetData sheetId="10302" refreshError="1"/>
      <sheetData sheetId="10303" refreshError="1"/>
      <sheetData sheetId="10304" refreshError="1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 refreshError="1"/>
      <sheetData sheetId="10329" refreshError="1"/>
      <sheetData sheetId="10330"/>
      <sheetData sheetId="10331" refreshError="1"/>
      <sheetData sheetId="10332" refreshError="1"/>
      <sheetData sheetId="10333" refreshError="1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 refreshError="1"/>
      <sheetData sheetId="10349"/>
      <sheetData sheetId="10350"/>
      <sheetData sheetId="10351" refreshError="1"/>
      <sheetData sheetId="10352" refreshError="1"/>
      <sheetData sheetId="10353" refreshError="1"/>
      <sheetData sheetId="10354" refreshError="1"/>
      <sheetData sheetId="10355"/>
      <sheetData sheetId="10356" refreshError="1"/>
      <sheetData sheetId="10357" refreshError="1"/>
      <sheetData sheetId="10358"/>
      <sheetData sheetId="10359"/>
      <sheetData sheetId="10360" refreshError="1"/>
      <sheetData sheetId="10361"/>
      <sheetData sheetId="10362"/>
      <sheetData sheetId="10363"/>
      <sheetData sheetId="10364"/>
      <sheetData sheetId="10365" refreshError="1"/>
      <sheetData sheetId="10366" refreshError="1"/>
      <sheetData sheetId="10367" refreshError="1"/>
      <sheetData sheetId="10368"/>
      <sheetData sheetId="10369" refreshError="1"/>
      <sheetData sheetId="10370" refreshError="1"/>
      <sheetData sheetId="10371" refreshError="1"/>
      <sheetData sheetId="10372"/>
      <sheetData sheetId="10373"/>
      <sheetData sheetId="10374" refreshError="1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 refreshError="1"/>
      <sheetData sheetId="15213" refreshError="1"/>
      <sheetData sheetId="15214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/>
      <sheetData sheetId="15250"/>
      <sheetData sheetId="15251" refreshError="1"/>
      <sheetData sheetId="15252"/>
      <sheetData sheetId="15253" refreshError="1"/>
      <sheetData sheetId="15254" refreshError="1"/>
      <sheetData sheetId="15255"/>
      <sheetData sheetId="15256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/>
      <sheetData sheetId="15263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/>
      <sheetData sheetId="15271"/>
      <sheetData sheetId="15272" refreshError="1"/>
      <sheetData sheetId="15273" refreshError="1"/>
      <sheetData sheetId="15274" refreshError="1"/>
      <sheetData sheetId="15275"/>
      <sheetData sheetId="15276" refreshError="1"/>
      <sheetData sheetId="15277" refreshError="1"/>
      <sheetData sheetId="15278"/>
      <sheetData sheetId="15279"/>
      <sheetData sheetId="15280" refreshError="1"/>
      <sheetData sheetId="15281" refreshError="1"/>
      <sheetData sheetId="15282"/>
      <sheetData sheetId="15283"/>
      <sheetData sheetId="15284" refreshError="1"/>
      <sheetData sheetId="15285" refreshError="1"/>
      <sheetData sheetId="15286"/>
      <sheetData sheetId="15287"/>
      <sheetData sheetId="15288" refreshError="1"/>
      <sheetData sheetId="15289"/>
      <sheetData sheetId="15290" refreshError="1"/>
      <sheetData sheetId="15291" refreshError="1"/>
      <sheetData sheetId="15292" refreshError="1"/>
      <sheetData sheetId="15293" refreshError="1"/>
      <sheetData sheetId="15294"/>
      <sheetData sheetId="15295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/>
      <sheetData sheetId="15303"/>
      <sheetData sheetId="15304" refreshError="1"/>
      <sheetData sheetId="15305" refreshError="1"/>
      <sheetData sheetId="15306"/>
      <sheetData sheetId="15307" refreshError="1"/>
      <sheetData sheetId="15308" refreshError="1"/>
      <sheetData sheetId="15309" refreshError="1"/>
      <sheetData sheetId="15310"/>
      <sheetData sheetId="15311" refreshError="1"/>
      <sheetData sheetId="15312" refreshError="1"/>
      <sheetData sheetId="15313"/>
      <sheetData sheetId="15314"/>
      <sheetData sheetId="15315" refreshError="1"/>
      <sheetData sheetId="15316"/>
      <sheetData sheetId="15317"/>
      <sheetData sheetId="15318" refreshError="1"/>
      <sheetData sheetId="15319"/>
      <sheetData sheetId="15320" refreshError="1"/>
      <sheetData sheetId="15321"/>
      <sheetData sheetId="15322"/>
      <sheetData sheetId="15323" refreshError="1"/>
      <sheetData sheetId="15324"/>
      <sheetData sheetId="15325" refreshError="1"/>
      <sheetData sheetId="15326"/>
      <sheetData sheetId="15327"/>
      <sheetData sheetId="15328" refreshError="1"/>
      <sheetData sheetId="15329"/>
      <sheetData sheetId="15330" refreshError="1"/>
      <sheetData sheetId="15331" refreshError="1"/>
      <sheetData sheetId="15332" refreshError="1"/>
      <sheetData sheetId="15333" refreshError="1"/>
      <sheetData sheetId="15334"/>
      <sheetData sheetId="15335"/>
      <sheetData sheetId="15336" refreshError="1"/>
      <sheetData sheetId="15337"/>
      <sheetData sheetId="15338" refreshError="1"/>
      <sheetData sheetId="15339"/>
      <sheetData sheetId="15340"/>
      <sheetData sheetId="15341" refreshError="1"/>
      <sheetData sheetId="15342" refreshError="1"/>
      <sheetData sheetId="15343"/>
      <sheetData sheetId="15344"/>
      <sheetData sheetId="15345" refreshError="1"/>
      <sheetData sheetId="15346"/>
      <sheetData sheetId="15347" refreshError="1"/>
      <sheetData sheetId="15348" refreshError="1"/>
      <sheetData sheetId="15349" refreshError="1"/>
      <sheetData sheetId="15350" refreshError="1"/>
      <sheetData sheetId="15351"/>
      <sheetData sheetId="15352"/>
      <sheetData sheetId="15353" refreshError="1"/>
      <sheetData sheetId="15354" refreshError="1"/>
      <sheetData sheetId="15355" refreshError="1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 refreshError="1"/>
      <sheetData sheetId="15385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/>
      <sheetData sheetId="15397"/>
      <sheetData sheetId="15398" refreshError="1"/>
      <sheetData sheetId="15399"/>
      <sheetData sheetId="15400" refreshError="1"/>
      <sheetData sheetId="15401" refreshError="1"/>
      <sheetData sheetId="15402" refreshError="1"/>
      <sheetData sheetId="15403" refreshError="1"/>
      <sheetData sheetId="15404"/>
      <sheetData sheetId="15405" refreshError="1"/>
      <sheetData sheetId="15406" refreshError="1"/>
      <sheetData sheetId="15407" refreshError="1"/>
      <sheetData sheetId="15408"/>
      <sheetData sheetId="15409"/>
      <sheetData sheetId="15410" refreshError="1"/>
      <sheetData sheetId="15411"/>
      <sheetData sheetId="15412" refreshError="1"/>
      <sheetData sheetId="15413" refreshError="1"/>
      <sheetData sheetId="15414" refreshError="1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 refreshError="1"/>
      <sheetData sheetId="15437" refreshError="1"/>
      <sheetData sheetId="15438"/>
      <sheetData sheetId="15439"/>
      <sheetData sheetId="15440" refreshError="1"/>
      <sheetData sheetId="15441" refreshError="1"/>
      <sheetData sheetId="15442"/>
      <sheetData sheetId="15443" refreshError="1"/>
      <sheetData sheetId="15444"/>
      <sheetData sheetId="15445"/>
      <sheetData sheetId="15446" refreshError="1"/>
      <sheetData sheetId="15447" refreshError="1"/>
      <sheetData sheetId="15448"/>
      <sheetData sheetId="15449"/>
      <sheetData sheetId="15450"/>
      <sheetData sheetId="15451"/>
      <sheetData sheetId="15452"/>
      <sheetData sheetId="15453" refreshError="1"/>
      <sheetData sheetId="15454" refreshError="1"/>
      <sheetData sheetId="15455" refreshError="1"/>
      <sheetData sheetId="15456" refreshError="1"/>
      <sheetData sheetId="15457"/>
      <sheetData sheetId="15458" refreshError="1"/>
      <sheetData sheetId="15459" refreshError="1"/>
      <sheetData sheetId="15460" refreshError="1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/>
      <sheetData sheetId="15607"/>
      <sheetData sheetId="15608"/>
      <sheetData sheetId="15609" refreshError="1"/>
      <sheetData sheetId="15610"/>
      <sheetData sheetId="15611" refreshError="1"/>
      <sheetData sheetId="15612" refreshError="1"/>
      <sheetData sheetId="15613"/>
      <sheetData sheetId="15614"/>
      <sheetData sheetId="15615"/>
      <sheetData sheetId="15616" refreshError="1"/>
      <sheetData sheetId="15617" refreshError="1"/>
      <sheetData sheetId="15618" refreshError="1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 refreshError="1"/>
      <sheetData sheetId="15643" refreshError="1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 refreshError="1"/>
      <sheetData sheetId="15668" refreshError="1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 refreshError="1"/>
      <sheetData sheetId="15692" refreshError="1"/>
      <sheetData sheetId="15693"/>
      <sheetData sheetId="15694" refreshError="1"/>
      <sheetData sheetId="15695" refreshError="1"/>
      <sheetData sheetId="15696"/>
      <sheetData sheetId="15697" refreshError="1"/>
      <sheetData sheetId="15698"/>
      <sheetData sheetId="15699"/>
      <sheetData sheetId="15700"/>
      <sheetData sheetId="15701" refreshError="1"/>
      <sheetData sheetId="15702" refreshError="1"/>
      <sheetData sheetId="15703" refreshError="1"/>
      <sheetData sheetId="15704"/>
      <sheetData sheetId="15705" refreshError="1"/>
      <sheetData sheetId="15706" refreshError="1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 refreshError="1"/>
      <sheetData sheetId="15731" refreshError="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 refreshError="1"/>
      <sheetData sheetId="15760"/>
      <sheetData sheetId="15761"/>
      <sheetData sheetId="15762"/>
      <sheetData sheetId="15763" refreshError="1"/>
      <sheetData sheetId="15764"/>
      <sheetData sheetId="15765"/>
      <sheetData sheetId="15766"/>
      <sheetData sheetId="15767" refreshError="1"/>
      <sheetData sheetId="15768"/>
      <sheetData sheetId="15769" refreshError="1"/>
      <sheetData sheetId="15770" refreshError="1"/>
      <sheetData sheetId="15771" refreshError="1"/>
      <sheetData sheetId="15772" refreshError="1"/>
      <sheetData sheetId="15773"/>
      <sheetData sheetId="15774" refreshError="1"/>
      <sheetData sheetId="15775" refreshError="1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 refreshError="1"/>
      <sheetData sheetId="15800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/>
      <sheetData sheetId="15808" refreshError="1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 refreshError="1"/>
      <sheetData sheetId="15833"/>
      <sheetData sheetId="15834" refreshError="1"/>
      <sheetData sheetId="15835" refreshError="1"/>
      <sheetData sheetId="15836"/>
      <sheetData sheetId="15837"/>
      <sheetData sheetId="15838" refreshError="1"/>
      <sheetData sheetId="15839"/>
      <sheetData sheetId="15840"/>
      <sheetData sheetId="15841" refreshError="1"/>
      <sheetData sheetId="15842" refreshError="1"/>
      <sheetData sheetId="15843" refreshError="1"/>
      <sheetData sheetId="15844" refreshError="1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 refreshError="1"/>
      <sheetData sheetId="15869" refreshError="1"/>
      <sheetData sheetId="15870"/>
      <sheetData sheetId="15871"/>
      <sheetData sheetId="15872"/>
      <sheetData sheetId="15873" refreshError="1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 refreshError="1"/>
      <sheetData sheetId="15882"/>
      <sheetData sheetId="15883"/>
      <sheetData sheetId="15884"/>
      <sheetData sheetId="15885" refreshError="1"/>
      <sheetData sheetId="15886" refreshError="1"/>
      <sheetData sheetId="15887"/>
      <sheetData sheetId="15888"/>
      <sheetData sheetId="15889" refreshError="1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 refreshError="1"/>
      <sheetData sheetId="15899" refreshError="1"/>
      <sheetData sheetId="15900"/>
      <sheetData sheetId="15901"/>
      <sheetData sheetId="15902"/>
      <sheetData sheetId="15903"/>
      <sheetData sheetId="15904" refreshError="1"/>
      <sheetData sheetId="15905"/>
      <sheetData sheetId="15906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 refreshError="1"/>
      <sheetData sheetId="15940"/>
      <sheetData sheetId="15941" refreshError="1"/>
      <sheetData sheetId="15942" refreshError="1"/>
      <sheetData sheetId="15943"/>
      <sheetData sheetId="15944" refreshError="1"/>
      <sheetData sheetId="15945"/>
      <sheetData sheetId="15946"/>
      <sheetData sheetId="15947"/>
      <sheetData sheetId="15948"/>
      <sheetData sheetId="15949" refreshError="1"/>
      <sheetData sheetId="15950" refreshError="1"/>
      <sheetData sheetId="15951" refreshError="1"/>
      <sheetData sheetId="15952" refreshError="1"/>
      <sheetData sheetId="15953"/>
      <sheetData sheetId="15954" refreshError="1"/>
      <sheetData sheetId="15955" refreshError="1"/>
      <sheetData sheetId="15956" refreshError="1"/>
      <sheetData sheetId="15957"/>
      <sheetData sheetId="15958" refreshError="1"/>
      <sheetData sheetId="15959" refreshError="1"/>
      <sheetData sheetId="15960"/>
      <sheetData sheetId="15961" refreshError="1"/>
      <sheetData sheetId="15962"/>
      <sheetData sheetId="15963"/>
      <sheetData sheetId="15964" refreshError="1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 refreshError="1"/>
      <sheetData sheetId="15988"/>
      <sheetData sheetId="15989"/>
      <sheetData sheetId="15990"/>
      <sheetData sheetId="15991" refreshError="1"/>
      <sheetData sheetId="15992"/>
      <sheetData sheetId="15993"/>
      <sheetData sheetId="15994" refreshError="1"/>
      <sheetData sheetId="15995" refreshError="1"/>
      <sheetData sheetId="15996"/>
      <sheetData sheetId="15997"/>
      <sheetData sheetId="15998"/>
      <sheetData sheetId="15999" refreshError="1"/>
      <sheetData sheetId="16000" refreshError="1"/>
      <sheetData sheetId="16001" refreshError="1"/>
      <sheetData sheetId="16002"/>
      <sheetData sheetId="16003"/>
      <sheetData sheetId="16004"/>
      <sheetData sheetId="16005" refreshError="1"/>
      <sheetData sheetId="16006" refreshError="1"/>
      <sheetData sheetId="16007" refreshError="1"/>
      <sheetData sheetId="16008"/>
      <sheetData sheetId="16009"/>
      <sheetData sheetId="16010" refreshError="1"/>
      <sheetData sheetId="16011" refreshError="1"/>
      <sheetData sheetId="16012" refreshError="1"/>
      <sheetData sheetId="16013" refreshError="1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 refreshError="1"/>
      <sheetData sheetId="16036" refreshError="1"/>
      <sheetData sheetId="16037"/>
      <sheetData sheetId="16038"/>
      <sheetData sheetId="16039" refreshError="1"/>
      <sheetData sheetId="16040"/>
      <sheetData sheetId="16041" refreshError="1"/>
      <sheetData sheetId="16042" refreshError="1"/>
      <sheetData sheetId="16043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 refreshError="1"/>
      <sheetData sheetId="16070" refreshError="1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 refreshError="1"/>
      <sheetData sheetId="16092" refreshError="1"/>
      <sheetData sheetId="16093" refreshError="1"/>
      <sheetData sheetId="16094" refreshError="1"/>
      <sheetData sheetId="16095"/>
      <sheetData sheetId="16096"/>
      <sheetData sheetId="16097" refreshError="1"/>
      <sheetData sheetId="16098" refreshError="1"/>
      <sheetData sheetId="16099"/>
      <sheetData sheetId="16100" refreshError="1"/>
      <sheetData sheetId="16101" refreshError="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 refreshError="1"/>
      <sheetData sheetId="16123" refreshError="1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 refreshError="1"/>
      <sheetData sheetId="16173" refreshError="1"/>
      <sheetData sheetId="16174"/>
      <sheetData sheetId="16175"/>
      <sheetData sheetId="16176" refreshError="1"/>
      <sheetData sheetId="16177" refreshError="1"/>
      <sheetData sheetId="16178"/>
      <sheetData sheetId="16179"/>
      <sheetData sheetId="16180"/>
      <sheetData sheetId="16181"/>
      <sheetData sheetId="16182" refreshError="1"/>
      <sheetData sheetId="16183" refreshError="1"/>
      <sheetData sheetId="16184" refreshError="1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 refreshError="1"/>
      <sheetData sheetId="16206"/>
      <sheetData sheetId="16207"/>
      <sheetData sheetId="16208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 refreshError="1"/>
      <sheetData sheetId="16237"/>
      <sheetData sheetId="16238"/>
      <sheetData sheetId="16239" refreshError="1"/>
      <sheetData sheetId="16240"/>
      <sheetData sheetId="16241" refreshError="1"/>
      <sheetData sheetId="16242" refreshError="1"/>
      <sheetData sheetId="16243"/>
      <sheetData sheetId="16244"/>
      <sheetData sheetId="16245" refreshError="1"/>
      <sheetData sheetId="16246" refreshError="1"/>
      <sheetData sheetId="16247" refreshError="1"/>
      <sheetData sheetId="16248"/>
      <sheetData sheetId="16249"/>
      <sheetData sheetId="16250"/>
      <sheetData sheetId="16251"/>
      <sheetData sheetId="16252" refreshError="1"/>
      <sheetData sheetId="16253"/>
      <sheetData sheetId="16254" refreshError="1"/>
      <sheetData sheetId="16255" refreshError="1"/>
      <sheetData sheetId="16256"/>
      <sheetData sheetId="16257"/>
      <sheetData sheetId="16258"/>
      <sheetData sheetId="16259"/>
      <sheetData sheetId="16260"/>
      <sheetData sheetId="16261" refreshError="1"/>
      <sheetData sheetId="16262"/>
      <sheetData sheetId="16263" refreshError="1"/>
      <sheetData sheetId="16264" refreshError="1"/>
      <sheetData sheetId="16265"/>
      <sheetData sheetId="16266" refreshError="1"/>
      <sheetData sheetId="16267" refreshError="1"/>
      <sheetData sheetId="16268" refreshError="1"/>
      <sheetData sheetId="16269"/>
      <sheetData sheetId="16270"/>
      <sheetData sheetId="16271"/>
      <sheetData sheetId="16272" refreshError="1"/>
      <sheetData sheetId="16273"/>
      <sheetData sheetId="16274" refreshError="1"/>
      <sheetData sheetId="16275"/>
      <sheetData sheetId="16276"/>
      <sheetData sheetId="16277"/>
      <sheetData sheetId="16278" refreshError="1"/>
      <sheetData sheetId="16279" refreshError="1"/>
      <sheetData sheetId="16280" refreshError="1"/>
      <sheetData sheetId="16281"/>
      <sheetData sheetId="16282"/>
      <sheetData sheetId="16283" refreshError="1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 refreshError="1"/>
      <sheetData sheetId="16308"/>
      <sheetData sheetId="16309" refreshError="1"/>
      <sheetData sheetId="16310" refreshError="1"/>
      <sheetData sheetId="16311"/>
      <sheetData sheetId="16312"/>
      <sheetData sheetId="16313"/>
      <sheetData sheetId="16314"/>
      <sheetData sheetId="16315" refreshError="1"/>
      <sheetData sheetId="16316" refreshError="1"/>
      <sheetData sheetId="16317" refreshError="1"/>
      <sheetData sheetId="16318"/>
      <sheetData sheetId="16319" refreshError="1"/>
      <sheetData sheetId="16320"/>
      <sheetData sheetId="16321" refreshError="1"/>
      <sheetData sheetId="16322" refreshError="1"/>
      <sheetData sheetId="16323"/>
      <sheetData sheetId="16324"/>
      <sheetData sheetId="16325"/>
      <sheetData sheetId="16326" refreshError="1"/>
      <sheetData sheetId="16327" refreshError="1"/>
      <sheetData sheetId="16328" refreshError="1"/>
      <sheetData sheetId="16329"/>
      <sheetData sheetId="16330"/>
      <sheetData sheetId="16331"/>
      <sheetData sheetId="16332" refreshError="1"/>
      <sheetData sheetId="16333"/>
      <sheetData sheetId="16334" refreshError="1"/>
      <sheetData sheetId="16335"/>
      <sheetData sheetId="16336"/>
      <sheetData sheetId="16337"/>
      <sheetData sheetId="16338" refreshError="1"/>
      <sheetData sheetId="16339" refreshError="1"/>
      <sheetData sheetId="16340" refreshError="1"/>
      <sheetData sheetId="16341"/>
      <sheetData sheetId="16342" refreshError="1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 refreshError="1"/>
      <sheetData sheetId="16367" refreshError="1"/>
      <sheetData sheetId="16368"/>
      <sheetData sheetId="16369" refreshError="1"/>
      <sheetData sheetId="16370"/>
      <sheetData sheetId="16371"/>
      <sheetData sheetId="16372" refreshError="1"/>
      <sheetData sheetId="16373" refreshError="1"/>
      <sheetData sheetId="16374" refreshError="1"/>
      <sheetData sheetId="16375"/>
      <sheetData sheetId="16376"/>
      <sheetData sheetId="16377" refreshError="1"/>
      <sheetData sheetId="16378"/>
      <sheetData sheetId="16379"/>
      <sheetData sheetId="16380"/>
      <sheetData sheetId="16381" refreshError="1"/>
      <sheetData sheetId="16382" refreshError="1"/>
      <sheetData sheetId="16383" refreshError="1"/>
      <sheetData sheetId="16384" refreshError="1"/>
      <sheetData sheetId="16385"/>
      <sheetData sheetId="16386" refreshError="1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 refreshError="1"/>
      <sheetData sheetId="16409"/>
      <sheetData sheetId="16410"/>
      <sheetData sheetId="16411"/>
      <sheetData sheetId="16412" refreshError="1"/>
      <sheetData sheetId="16413" refreshError="1"/>
      <sheetData sheetId="16414" refreshError="1"/>
      <sheetData sheetId="16415"/>
      <sheetData sheetId="16416" refreshError="1"/>
      <sheetData sheetId="16417" refreshError="1"/>
      <sheetData sheetId="16418" refreshError="1"/>
      <sheetData sheetId="16419"/>
      <sheetData sheetId="16420"/>
      <sheetData sheetId="16421"/>
      <sheetData sheetId="16422" refreshError="1"/>
      <sheetData sheetId="16423" refreshError="1"/>
      <sheetData sheetId="16424" refreshError="1"/>
      <sheetData sheetId="16425"/>
      <sheetData sheetId="16426"/>
      <sheetData sheetId="16427"/>
      <sheetData sheetId="16428" refreshError="1"/>
      <sheetData sheetId="16429" refreshError="1"/>
      <sheetData sheetId="16430" refreshError="1"/>
      <sheetData sheetId="16431"/>
      <sheetData sheetId="16432"/>
      <sheetData sheetId="16433"/>
      <sheetData sheetId="16434" refreshError="1"/>
      <sheetData sheetId="16435" refreshError="1"/>
      <sheetData sheetId="16436" refreshError="1"/>
      <sheetData sheetId="16437"/>
      <sheetData sheetId="16438"/>
      <sheetData sheetId="16439" refreshError="1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 refreshError="1"/>
      <sheetData sheetId="16464"/>
      <sheetData sheetId="16465"/>
      <sheetData sheetId="16466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/>
      <sheetData sheetId="16476"/>
      <sheetData sheetId="16477" refreshError="1"/>
      <sheetData sheetId="16478" refreshError="1"/>
      <sheetData sheetId="16479" refreshError="1"/>
      <sheetData sheetId="16480"/>
      <sheetData sheetId="16481" refreshError="1"/>
      <sheetData sheetId="16482" refreshError="1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 refreshError="1"/>
      <sheetData sheetId="16506" refreshError="1"/>
      <sheetData sheetId="16507"/>
      <sheetData sheetId="16508"/>
      <sheetData sheetId="16509"/>
      <sheetData sheetId="16510" refreshError="1"/>
      <sheetData sheetId="16511"/>
      <sheetData sheetId="16512"/>
      <sheetData sheetId="16513" refreshError="1"/>
      <sheetData sheetId="16514" refreshError="1"/>
      <sheetData sheetId="16515"/>
      <sheetData sheetId="16516"/>
      <sheetData sheetId="16517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 refreshError="1"/>
      <sheetData sheetId="16546" refreshError="1"/>
      <sheetData sheetId="16547"/>
      <sheetData sheetId="16548" refreshError="1"/>
      <sheetData sheetId="16549"/>
      <sheetData sheetId="16550" refreshError="1"/>
      <sheetData sheetId="16551"/>
      <sheetData sheetId="16552"/>
      <sheetData sheetId="16553" refreshError="1"/>
      <sheetData sheetId="16554"/>
      <sheetData sheetId="16555"/>
      <sheetData sheetId="16556" refreshError="1"/>
      <sheetData sheetId="16557" refreshError="1"/>
      <sheetData sheetId="16558" refreshError="1"/>
      <sheetData sheetId="16559"/>
      <sheetData sheetId="16560"/>
      <sheetData sheetId="16561" refreshError="1"/>
      <sheetData sheetId="16562" refreshError="1"/>
      <sheetData sheetId="16563"/>
      <sheetData sheetId="16564"/>
      <sheetData sheetId="16565"/>
      <sheetData sheetId="16566" refreshError="1"/>
      <sheetData sheetId="16567"/>
      <sheetData sheetId="16568"/>
      <sheetData sheetId="16569" refreshError="1"/>
      <sheetData sheetId="16570" refreshError="1"/>
      <sheetData sheetId="16571"/>
      <sheetData sheetId="16572"/>
      <sheetData sheetId="16573"/>
      <sheetData sheetId="16574" refreshError="1"/>
      <sheetData sheetId="16575"/>
      <sheetData sheetId="16576"/>
      <sheetData sheetId="16577"/>
      <sheetData sheetId="16578"/>
      <sheetData sheetId="16579" refreshError="1"/>
      <sheetData sheetId="16580" refreshError="1"/>
      <sheetData sheetId="16581"/>
      <sheetData sheetId="16582"/>
      <sheetData sheetId="16583" refreshError="1"/>
      <sheetData sheetId="16584" refreshError="1"/>
      <sheetData sheetId="16585" refreshError="1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 refreshError="1"/>
      <sheetData sheetId="16631"/>
      <sheetData sheetId="16632"/>
      <sheetData sheetId="16633" refreshError="1"/>
      <sheetData sheetId="16634" refreshError="1"/>
      <sheetData sheetId="16635"/>
      <sheetData sheetId="16636"/>
      <sheetData sheetId="16637" refreshError="1"/>
      <sheetData sheetId="16638"/>
      <sheetData sheetId="16639"/>
      <sheetData sheetId="16640"/>
      <sheetData sheetId="16641" refreshError="1"/>
      <sheetData sheetId="16642" refreshError="1"/>
      <sheetData sheetId="16643"/>
      <sheetData sheetId="16644"/>
      <sheetData sheetId="16645" refreshError="1"/>
      <sheetData sheetId="16646"/>
      <sheetData sheetId="16647"/>
      <sheetData sheetId="16648"/>
      <sheetData sheetId="16649" refreshError="1"/>
      <sheetData sheetId="16650" refreshError="1"/>
      <sheetData sheetId="16651"/>
      <sheetData sheetId="16652"/>
      <sheetData sheetId="16653" refreshError="1"/>
      <sheetData sheetId="16654"/>
      <sheetData sheetId="16655"/>
      <sheetData sheetId="16656" refreshError="1"/>
      <sheetData sheetId="16657" refreshError="1"/>
      <sheetData sheetId="16658"/>
      <sheetData sheetId="16659"/>
      <sheetData sheetId="16660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/>
      <sheetData sheetId="16667"/>
      <sheetData sheetId="16668"/>
      <sheetData sheetId="16669"/>
      <sheetData sheetId="16670" refreshError="1"/>
      <sheetData sheetId="16671" refreshError="1"/>
      <sheetData sheetId="16672" refreshError="1"/>
      <sheetData sheetId="16673" refreshError="1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 refreshError="1"/>
      <sheetData sheetId="16696"/>
      <sheetData sheetId="16697" refreshError="1"/>
      <sheetData sheetId="16698" refreshError="1"/>
      <sheetData sheetId="16699"/>
      <sheetData sheetId="16700"/>
      <sheetData sheetId="16701"/>
      <sheetData sheetId="16702" refreshError="1"/>
      <sheetData sheetId="16703" refreshError="1"/>
      <sheetData sheetId="16704"/>
      <sheetData sheetId="16705"/>
      <sheetData sheetId="16706" refreshError="1"/>
      <sheetData sheetId="16707"/>
      <sheetData sheetId="16708"/>
      <sheetData sheetId="16709"/>
      <sheetData sheetId="16710"/>
      <sheetData sheetId="16711" refreshError="1"/>
      <sheetData sheetId="16712" refreshError="1"/>
      <sheetData sheetId="16713"/>
      <sheetData sheetId="16714"/>
      <sheetData sheetId="16715" refreshError="1"/>
      <sheetData sheetId="16716" refreshError="1"/>
      <sheetData sheetId="16717"/>
      <sheetData sheetId="16718" refreshError="1"/>
      <sheetData sheetId="16719" refreshError="1"/>
      <sheetData sheetId="16720" refreshError="1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 refreshError="1"/>
      <sheetData sheetId="16742"/>
      <sheetData sheetId="16743"/>
      <sheetData sheetId="16744" refreshError="1"/>
      <sheetData sheetId="16745" refreshError="1"/>
      <sheetData sheetId="16746"/>
      <sheetData sheetId="16747"/>
      <sheetData sheetId="16748"/>
      <sheetData sheetId="16749" refreshError="1"/>
      <sheetData sheetId="16750" refreshError="1"/>
      <sheetData sheetId="16751" refreshError="1"/>
      <sheetData sheetId="16752"/>
      <sheetData sheetId="16753" refreshError="1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 refreshError="1"/>
      <sheetData sheetId="16778"/>
      <sheetData sheetId="16779" refreshError="1"/>
      <sheetData sheetId="16780"/>
      <sheetData sheetId="16781" refreshError="1"/>
      <sheetData sheetId="16782" refreshError="1"/>
      <sheetData sheetId="16783"/>
      <sheetData sheetId="16784"/>
      <sheetData sheetId="16785"/>
      <sheetData sheetId="16786" refreshError="1"/>
      <sheetData sheetId="16787" refreshError="1"/>
      <sheetData sheetId="16788" refreshError="1"/>
      <sheetData sheetId="16789"/>
      <sheetData sheetId="16790" refreshError="1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 refreshError="1"/>
      <sheetData sheetId="16814" refreshError="1"/>
      <sheetData sheetId="16815"/>
      <sheetData sheetId="16816"/>
      <sheetData sheetId="16817" refreshError="1"/>
      <sheetData sheetId="16818"/>
      <sheetData sheetId="16819"/>
      <sheetData sheetId="16820"/>
      <sheetData sheetId="16821"/>
      <sheetData sheetId="16822" refreshError="1"/>
      <sheetData sheetId="16823" refreshError="1"/>
      <sheetData sheetId="16824"/>
      <sheetData sheetId="16825"/>
      <sheetData sheetId="16826" refreshError="1"/>
      <sheetData sheetId="16827"/>
      <sheetData sheetId="16828"/>
      <sheetData sheetId="16829" refreshError="1"/>
      <sheetData sheetId="16830" refreshError="1"/>
      <sheetData sheetId="16831" refreshError="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 refreshError="1"/>
      <sheetData sheetId="16853" refreshError="1"/>
      <sheetData sheetId="16854"/>
      <sheetData sheetId="16855"/>
      <sheetData sheetId="16856"/>
      <sheetData sheetId="16857" refreshError="1"/>
      <sheetData sheetId="16858"/>
      <sheetData sheetId="16859"/>
      <sheetData sheetId="16860" refreshError="1"/>
      <sheetData sheetId="16861" refreshError="1"/>
      <sheetData sheetId="16862"/>
      <sheetData sheetId="16863"/>
      <sheetData sheetId="16864"/>
      <sheetData sheetId="16865" refreshError="1"/>
      <sheetData sheetId="16866" refreshError="1"/>
      <sheetData sheetId="16867" refreshError="1"/>
      <sheetData sheetId="16868"/>
      <sheetData sheetId="16869" refreshError="1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 refreshError="1"/>
      <sheetData sheetId="16893" refreshError="1"/>
      <sheetData sheetId="16894"/>
      <sheetData sheetId="16895"/>
      <sheetData sheetId="16896" refreshError="1"/>
      <sheetData sheetId="16897"/>
      <sheetData sheetId="16898"/>
      <sheetData sheetId="16899" refreshError="1"/>
      <sheetData sheetId="16900" refreshError="1"/>
      <sheetData sheetId="16901" refreshError="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 refreshError="1"/>
      <sheetData sheetId="16923" refreshError="1"/>
      <sheetData sheetId="16924"/>
      <sheetData sheetId="16925"/>
      <sheetData sheetId="16926"/>
      <sheetData sheetId="16927" refreshError="1"/>
      <sheetData sheetId="16928" refreshError="1"/>
      <sheetData sheetId="16929" refreshError="1"/>
      <sheetData sheetId="16930"/>
      <sheetData sheetId="16931" refreshError="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 refreshError="1"/>
      <sheetData sheetId="16955" refreshError="1"/>
      <sheetData sheetId="16956"/>
      <sheetData sheetId="16957"/>
      <sheetData sheetId="16958" refreshError="1"/>
      <sheetData sheetId="16959"/>
      <sheetData sheetId="16960"/>
      <sheetData sheetId="16961" refreshError="1"/>
      <sheetData sheetId="16962" refreshError="1"/>
      <sheetData sheetId="16963"/>
      <sheetData sheetId="16964"/>
      <sheetData sheetId="16965" refreshError="1"/>
      <sheetData sheetId="16966"/>
      <sheetData sheetId="16967"/>
      <sheetData sheetId="16968"/>
      <sheetData sheetId="16969" refreshError="1"/>
      <sheetData sheetId="16970" refreshError="1"/>
      <sheetData sheetId="16971"/>
      <sheetData sheetId="16972"/>
      <sheetData sheetId="16973"/>
      <sheetData sheetId="16974" refreshError="1"/>
      <sheetData sheetId="16975"/>
      <sheetData sheetId="16976"/>
      <sheetData sheetId="16977"/>
      <sheetData sheetId="16978" refreshError="1"/>
      <sheetData sheetId="16979" refreshError="1"/>
      <sheetData sheetId="16980"/>
      <sheetData sheetId="16981"/>
      <sheetData sheetId="16982" refreshError="1"/>
      <sheetData sheetId="16983"/>
      <sheetData sheetId="16984"/>
      <sheetData sheetId="16985" refreshError="1"/>
      <sheetData sheetId="16986" refreshError="1"/>
      <sheetData sheetId="16987"/>
      <sheetData sheetId="16988"/>
      <sheetData sheetId="16989" refreshError="1"/>
      <sheetData sheetId="16990"/>
      <sheetData sheetId="16991"/>
      <sheetData sheetId="16992"/>
      <sheetData sheetId="16993" refreshError="1"/>
      <sheetData sheetId="16994" refreshError="1"/>
      <sheetData sheetId="16995"/>
      <sheetData sheetId="16996"/>
      <sheetData sheetId="16997" refreshError="1"/>
      <sheetData sheetId="16998"/>
      <sheetData sheetId="16999"/>
      <sheetData sheetId="17000" refreshError="1"/>
      <sheetData sheetId="17001"/>
      <sheetData sheetId="17002"/>
      <sheetData sheetId="17003"/>
      <sheetData sheetId="17004" refreshError="1"/>
      <sheetData sheetId="17005" refreshError="1"/>
      <sheetData sheetId="17006" refreshError="1"/>
      <sheetData sheetId="17007" refreshError="1"/>
      <sheetData sheetId="17008"/>
      <sheetData sheetId="17009" refreshError="1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 refreshError="1"/>
      <sheetData sheetId="17032" refreshError="1"/>
      <sheetData sheetId="17033" refreshError="1"/>
      <sheetData sheetId="17034" refreshError="1"/>
      <sheetData sheetId="17035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/>
      <sheetData sheetId="17081"/>
      <sheetData sheetId="17082"/>
      <sheetData sheetId="17083" refreshError="1"/>
      <sheetData sheetId="17084"/>
      <sheetData sheetId="17085"/>
      <sheetData sheetId="17086"/>
      <sheetData sheetId="17087" refreshError="1"/>
      <sheetData sheetId="17088"/>
      <sheetData sheetId="17089" refreshError="1"/>
      <sheetData sheetId="17090" refreshError="1"/>
      <sheetData sheetId="17091" refreshError="1"/>
      <sheetData sheetId="17092" refreshError="1"/>
      <sheetData sheetId="17093"/>
      <sheetData sheetId="17094" refreshError="1"/>
      <sheetData sheetId="17095" refreshError="1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 refreshError="1"/>
      <sheetData sheetId="17120" refreshError="1"/>
      <sheetData sheetId="17121"/>
      <sheetData sheetId="17122"/>
      <sheetData sheetId="17123" refreshError="1"/>
      <sheetData sheetId="17124" refreshError="1"/>
      <sheetData sheetId="17125" refreshError="1"/>
      <sheetData sheetId="17126"/>
      <sheetData sheetId="17127" refreshError="1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 refreshError="1"/>
      <sheetData sheetId="17151"/>
      <sheetData sheetId="17152"/>
      <sheetData sheetId="17153" refreshError="1"/>
      <sheetData sheetId="17154"/>
      <sheetData sheetId="17155" refreshError="1"/>
      <sheetData sheetId="17156"/>
      <sheetData sheetId="17157"/>
      <sheetData sheetId="17158"/>
      <sheetData sheetId="17159" refreshError="1"/>
      <sheetData sheetId="17160" refreshError="1"/>
      <sheetData sheetId="17161" refreshError="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 refreshError="1"/>
      <sheetData sheetId="17183"/>
      <sheetData sheetId="17184"/>
      <sheetData sheetId="17185"/>
      <sheetData sheetId="17186" refreshError="1"/>
      <sheetData sheetId="17187"/>
      <sheetData sheetId="17188" refreshError="1"/>
      <sheetData sheetId="17189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/>
      <sheetData sheetId="17197" refreshError="1"/>
      <sheetData sheetId="17198" refreshError="1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 refreshError="1"/>
      <sheetData sheetId="17224"/>
      <sheetData sheetId="17225" refreshError="1"/>
      <sheetData sheetId="17226" refreshError="1"/>
      <sheetData sheetId="17227"/>
      <sheetData sheetId="17228" refreshError="1"/>
      <sheetData sheetId="17229" refreshError="1"/>
      <sheetData sheetId="17230"/>
      <sheetData sheetId="17231" refreshError="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 refreshError="1"/>
      <sheetData sheetId="17256"/>
      <sheetData sheetId="17257" refreshError="1"/>
      <sheetData sheetId="17258" refreshError="1"/>
      <sheetData sheetId="17259"/>
      <sheetData sheetId="17260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 refreshError="1"/>
      <sheetData sheetId="17294"/>
      <sheetData sheetId="17295" refreshError="1"/>
      <sheetData sheetId="17296" refreshError="1"/>
      <sheetData sheetId="17297"/>
      <sheetData sheetId="17298"/>
      <sheetData sheetId="17299" refreshError="1"/>
      <sheetData sheetId="17300"/>
      <sheetData sheetId="17301" refreshError="1"/>
      <sheetData sheetId="17302" refreshError="1"/>
      <sheetData sheetId="17303"/>
      <sheetData sheetId="17304"/>
      <sheetData sheetId="17305" refreshError="1"/>
      <sheetData sheetId="17306" refreshError="1"/>
      <sheetData sheetId="17307"/>
      <sheetData sheetId="17308"/>
      <sheetData sheetId="17309" refreshError="1"/>
      <sheetData sheetId="17310"/>
      <sheetData sheetId="17311"/>
      <sheetData sheetId="17312" refreshError="1"/>
      <sheetData sheetId="17313" refreshError="1"/>
      <sheetData sheetId="17314" refreshError="1"/>
      <sheetData sheetId="17315"/>
      <sheetData sheetId="17316"/>
      <sheetData sheetId="17317"/>
      <sheetData sheetId="17318" refreshError="1"/>
      <sheetData sheetId="17319"/>
      <sheetData sheetId="17320" refreshError="1"/>
      <sheetData sheetId="17321" refreshError="1"/>
      <sheetData sheetId="17322" refreshError="1"/>
      <sheetData sheetId="17323"/>
      <sheetData sheetId="17324"/>
      <sheetData sheetId="17325"/>
      <sheetData sheetId="17326" refreshError="1"/>
      <sheetData sheetId="17327"/>
      <sheetData sheetId="17328" refreshError="1"/>
      <sheetData sheetId="17329" refreshError="1"/>
      <sheetData sheetId="17330"/>
      <sheetData sheetId="17331"/>
      <sheetData sheetId="17332"/>
      <sheetData sheetId="17333" refreshError="1"/>
      <sheetData sheetId="17334"/>
      <sheetData sheetId="17335" refreshError="1"/>
      <sheetData sheetId="17336" refreshError="1"/>
      <sheetData sheetId="17337" refreshError="1"/>
      <sheetData sheetId="17338"/>
      <sheetData sheetId="17339"/>
      <sheetData sheetId="17340"/>
      <sheetData sheetId="17341" refreshError="1"/>
      <sheetData sheetId="17342"/>
      <sheetData sheetId="17343"/>
      <sheetData sheetId="17344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 refreshError="1"/>
      <sheetData sheetId="17373" refreshError="1"/>
      <sheetData sheetId="17374" refreshError="1"/>
      <sheetData sheetId="17375"/>
      <sheetData sheetId="17376"/>
      <sheetData sheetId="17377" refreshError="1"/>
      <sheetData sheetId="17378"/>
      <sheetData sheetId="17379"/>
      <sheetData sheetId="17380"/>
      <sheetData sheetId="17381" refreshError="1"/>
      <sheetData sheetId="17382" refreshError="1"/>
      <sheetData sheetId="17383"/>
      <sheetData sheetId="17384"/>
      <sheetData sheetId="17385" refreshError="1"/>
      <sheetData sheetId="17386"/>
      <sheetData sheetId="17387"/>
      <sheetData sheetId="17388"/>
      <sheetData sheetId="17389"/>
      <sheetData sheetId="17390"/>
      <sheetData sheetId="17391" refreshError="1"/>
      <sheetData sheetId="17392" refreshError="1"/>
      <sheetData sheetId="17393"/>
      <sheetData sheetId="17394"/>
      <sheetData sheetId="17395"/>
      <sheetData sheetId="17396" refreshError="1"/>
      <sheetData sheetId="17397" refreshError="1"/>
      <sheetData sheetId="17398" refreshError="1"/>
      <sheetData sheetId="17399"/>
      <sheetData sheetId="17400" refreshError="1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 refreshError="1"/>
      <sheetData sheetId="17424" refreshError="1"/>
      <sheetData sheetId="17425"/>
      <sheetData sheetId="17426"/>
      <sheetData sheetId="17427"/>
      <sheetData sheetId="17428" refreshError="1"/>
      <sheetData sheetId="17429" refreshError="1"/>
      <sheetData sheetId="17430"/>
      <sheetData sheetId="17431" refreshError="1"/>
      <sheetData sheetId="17432" refreshError="1"/>
      <sheetData sheetId="17433"/>
      <sheetData sheetId="17434"/>
      <sheetData sheetId="17435"/>
      <sheetData sheetId="17436" refreshError="1"/>
      <sheetData sheetId="17437" refreshError="1"/>
      <sheetData sheetId="17438" refreshError="1"/>
      <sheetData sheetId="17439"/>
      <sheetData sheetId="17440" refreshError="1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 refreshError="1"/>
      <sheetData sheetId="17463" refreshError="1"/>
      <sheetData sheetId="17464"/>
      <sheetData sheetId="17465"/>
      <sheetData sheetId="17466"/>
      <sheetData sheetId="17467" refreshError="1"/>
      <sheetData sheetId="17468"/>
      <sheetData sheetId="17469"/>
      <sheetData sheetId="17470"/>
      <sheetData sheetId="17471"/>
      <sheetData sheetId="17472" refreshError="1"/>
      <sheetData sheetId="17473" refreshError="1"/>
      <sheetData sheetId="17474"/>
      <sheetData sheetId="17475"/>
      <sheetData sheetId="17476"/>
      <sheetData sheetId="17477" refreshError="1"/>
      <sheetData sheetId="17478"/>
      <sheetData sheetId="17479"/>
      <sheetData sheetId="17480"/>
      <sheetData sheetId="17481"/>
      <sheetData sheetId="17482"/>
      <sheetData sheetId="17483" refreshError="1"/>
      <sheetData sheetId="17484" refreshError="1"/>
      <sheetData sheetId="17485"/>
      <sheetData sheetId="17486"/>
      <sheetData sheetId="17487"/>
      <sheetData sheetId="17488" refreshError="1"/>
      <sheetData sheetId="17489"/>
      <sheetData sheetId="17490" refreshError="1"/>
      <sheetData sheetId="17491"/>
      <sheetData sheetId="17492" refreshError="1"/>
      <sheetData sheetId="17493" refreshError="1"/>
      <sheetData sheetId="17494"/>
      <sheetData sheetId="17495"/>
      <sheetData sheetId="17496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/>
      <sheetData sheetId="17504"/>
      <sheetData sheetId="17505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 refreshError="1"/>
      <sheetData sheetId="17536" refreshError="1"/>
      <sheetData sheetId="17537"/>
      <sheetData sheetId="17538"/>
      <sheetData sheetId="17539"/>
      <sheetData sheetId="17540" refreshError="1"/>
      <sheetData sheetId="17541"/>
      <sheetData sheetId="17542"/>
      <sheetData sheetId="17543"/>
      <sheetData sheetId="17544" refreshError="1"/>
      <sheetData sheetId="17545" refreshError="1"/>
      <sheetData sheetId="17546"/>
      <sheetData sheetId="17547"/>
      <sheetData sheetId="17548"/>
      <sheetData sheetId="17549" refreshError="1"/>
      <sheetData sheetId="17550"/>
      <sheetData sheetId="17551"/>
      <sheetData sheetId="17552" refreshError="1"/>
      <sheetData sheetId="17553" refreshError="1"/>
      <sheetData sheetId="17554"/>
      <sheetData sheetId="17555"/>
      <sheetData sheetId="17556"/>
      <sheetData sheetId="17557" refreshError="1"/>
      <sheetData sheetId="17558" refreshError="1"/>
      <sheetData sheetId="17559" refreshError="1"/>
      <sheetData sheetId="17560"/>
      <sheetData sheetId="17561" refreshError="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 refreshError="1"/>
      <sheetData sheetId="17585" refreshError="1"/>
      <sheetData sheetId="17586"/>
      <sheetData sheetId="17587"/>
      <sheetData sheetId="17588" refreshError="1"/>
      <sheetData sheetId="17589"/>
      <sheetData sheetId="17590"/>
      <sheetData sheetId="17591"/>
      <sheetData sheetId="17592" refreshError="1"/>
      <sheetData sheetId="17593"/>
      <sheetData sheetId="17594" refreshError="1"/>
      <sheetData sheetId="17595" refreshError="1"/>
      <sheetData sheetId="17596"/>
      <sheetData sheetId="17597"/>
      <sheetData sheetId="17598" refreshError="1"/>
      <sheetData sheetId="17599" refreshError="1"/>
      <sheetData sheetId="17600"/>
      <sheetData sheetId="17601"/>
      <sheetData sheetId="17602"/>
      <sheetData sheetId="17603"/>
      <sheetData sheetId="17604"/>
      <sheetData sheetId="17605" refreshError="1"/>
      <sheetData sheetId="17606" refreshError="1"/>
      <sheetData sheetId="17607"/>
      <sheetData sheetId="17608"/>
      <sheetData sheetId="17609" refreshError="1"/>
      <sheetData sheetId="17610" refreshError="1"/>
      <sheetData sheetId="17611" refreshError="1"/>
      <sheetData sheetId="17612"/>
      <sheetData sheetId="17613"/>
      <sheetData sheetId="17614" refreshError="1"/>
      <sheetData sheetId="17615" refreshError="1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 refreshError="1"/>
      <sheetData sheetId="17663" refreshError="1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 refreshError="1"/>
      <sheetData sheetId="17685" refreshError="1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 refreshError="1"/>
      <sheetData sheetId="17707" refreshError="1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 refreshError="1"/>
      <sheetData sheetId="17729" refreshError="1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 refreshError="1"/>
      <sheetData sheetId="17751" refreshError="1"/>
      <sheetData sheetId="17752" refreshError="1"/>
      <sheetData sheetId="17753"/>
      <sheetData sheetId="17754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/>
      <sheetData sheetId="17761"/>
      <sheetData sheetId="17762"/>
      <sheetData sheetId="17763"/>
      <sheetData sheetId="17764" refreshError="1"/>
      <sheetData sheetId="17765" refreshError="1"/>
      <sheetData sheetId="17766" refreshError="1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 refreshError="1"/>
      <sheetData sheetId="17795" refreshError="1"/>
      <sheetData sheetId="17796"/>
      <sheetData sheetId="17797" refreshError="1"/>
      <sheetData sheetId="17798"/>
      <sheetData sheetId="17799" refreshError="1"/>
      <sheetData sheetId="17800"/>
      <sheetData sheetId="17801"/>
      <sheetData sheetId="17802" refreshError="1"/>
      <sheetData sheetId="17803" refreshError="1"/>
      <sheetData sheetId="17804" refreshError="1"/>
      <sheetData sheetId="17805" refreshError="1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 refreshError="1"/>
      <sheetData sheetId="17831" refreshError="1"/>
      <sheetData sheetId="17832"/>
      <sheetData sheetId="17833"/>
      <sheetData sheetId="17834"/>
      <sheetData sheetId="17835" refreshError="1"/>
      <sheetData sheetId="17836"/>
      <sheetData sheetId="17837"/>
      <sheetData sheetId="17838"/>
      <sheetData sheetId="17839" refreshError="1"/>
      <sheetData sheetId="17840" refreshError="1"/>
      <sheetData sheetId="17841"/>
      <sheetData sheetId="17842"/>
      <sheetData sheetId="17843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/>
      <sheetData sheetId="17850"/>
      <sheetData sheetId="17851"/>
      <sheetData sheetId="17852"/>
      <sheetData sheetId="17853" refreshError="1"/>
      <sheetData sheetId="17854" refreshError="1"/>
      <sheetData sheetId="17855"/>
      <sheetData sheetId="17856" refreshError="1"/>
      <sheetData sheetId="17857"/>
      <sheetData sheetId="17858" refreshError="1"/>
      <sheetData sheetId="17859" refreshError="1"/>
      <sheetData sheetId="17860"/>
      <sheetData sheetId="17861"/>
      <sheetData sheetId="17862"/>
      <sheetData sheetId="17863"/>
      <sheetData sheetId="17864" refreshError="1"/>
      <sheetData sheetId="17865" refreshError="1"/>
      <sheetData sheetId="17866" refreshError="1"/>
      <sheetData sheetId="17867"/>
      <sheetData sheetId="17868"/>
      <sheetData sheetId="17869"/>
      <sheetData sheetId="17870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/>
      <sheetData sheetId="17884" refreshError="1"/>
      <sheetData sheetId="17885" refreshError="1"/>
      <sheetData sheetId="17886"/>
      <sheetData sheetId="17887"/>
      <sheetData sheetId="17888" refreshError="1"/>
      <sheetData sheetId="17889"/>
      <sheetData sheetId="17890"/>
      <sheetData sheetId="17891" refreshError="1"/>
      <sheetData sheetId="17892" refreshError="1"/>
      <sheetData sheetId="17893"/>
      <sheetData sheetId="17894"/>
      <sheetData sheetId="17895"/>
      <sheetData sheetId="17896" refreshError="1"/>
      <sheetData sheetId="17897"/>
      <sheetData sheetId="17898"/>
      <sheetData sheetId="17899"/>
      <sheetData sheetId="17900" refreshError="1"/>
      <sheetData sheetId="17901" refreshError="1"/>
      <sheetData sheetId="17902"/>
      <sheetData sheetId="17903"/>
      <sheetData sheetId="17904"/>
      <sheetData sheetId="17905" refreshError="1"/>
      <sheetData sheetId="17906" refreshError="1"/>
      <sheetData sheetId="17907" refreshError="1"/>
      <sheetData sheetId="17908"/>
      <sheetData sheetId="17909"/>
      <sheetData sheetId="17910" refreshError="1"/>
      <sheetData sheetId="17911" refreshError="1"/>
      <sheetData sheetId="17912" refreshError="1"/>
      <sheetData sheetId="17913" refreshError="1"/>
      <sheetData sheetId="17914"/>
      <sheetData sheetId="17915" refreshError="1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 refreshError="1"/>
      <sheetData sheetId="17939" refreshError="1"/>
      <sheetData sheetId="17940"/>
      <sheetData sheetId="17941"/>
      <sheetData sheetId="17942"/>
      <sheetData sheetId="17943" refreshError="1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/>
      <sheetData sheetId="17957"/>
      <sheetData sheetId="17958"/>
      <sheetData sheetId="17959" refreshError="1"/>
      <sheetData sheetId="17960" refreshError="1"/>
      <sheetData sheetId="17961" refreshError="1"/>
      <sheetData sheetId="17962"/>
      <sheetData sheetId="17963" refreshError="1"/>
      <sheetData sheetId="17964" refreshError="1"/>
      <sheetData sheetId="17965" refreshError="1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 refreshError="1"/>
      <sheetData sheetId="17994"/>
      <sheetData sheetId="17995"/>
      <sheetData sheetId="17996" refreshError="1"/>
      <sheetData sheetId="17997"/>
      <sheetData sheetId="17998"/>
      <sheetData sheetId="17999"/>
      <sheetData sheetId="18000" refreshError="1"/>
      <sheetData sheetId="1800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 refreshError="1"/>
      <sheetData sheetId="18032" refreshError="1"/>
      <sheetData sheetId="18033"/>
      <sheetData sheetId="18034"/>
      <sheetData sheetId="18035" refreshError="1"/>
      <sheetData sheetId="18036" refreshError="1"/>
      <sheetData sheetId="18037" refreshError="1"/>
      <sheetData sheetId="18038"/>
      <sheetData sheetId="18039" refreshError="1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 refreshError="1"/>
      <sheetData sheetId="18065"/>
      <sheetData sheetId="18066"/>
      <sheetData sheetId="18067" refreshError="1"/>
      <sheetData sheetId="18068" refreshError="1"/>
      <sheetData sheetId="18069"/>
      <sheetData sheetId="18070"/>
      <sheetData sheetId="18071" refreshError="1"/>
      <sheetData sheetId="18072" refreshError="1"/>
      <sheetData sheetId="18073"/>
      <sheetData sheetId="18074" refreshError="1"/>
      <sheetData sheetId="18075" refreshError="1"/>
      <sheetData sheetId="18076" refreshError="1"/>
      <sheetData sheetId="18077" refreshError="1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 refreshError="1"/>
      <sheetData sheetId="18097"/>
      <sheetData sheetId="18098"/>
      <sheetData sheetId="18099"/>
      <sheetData sheetId="18100" refreshError="1"/>
      <sheetData sheetId="18101"/>
      <sheetData sheetId="18102" refreshError="1"/>
      <sheetData sheetId="18103"/>
      <sheetData sheetId="18104"/>
      <sheetData sheetId="18105"/>
      <sheetData sheetId="18106"/>
      <sheetData sheetId="18107" refreshError="1"/>
      <sheetData sheetId="18108" refreshError="1"/>
      <sheetData sheetId="18109" refreshError="1"/>
      <sheetData sheetId="18110" refreshError="1"/>
      <sheetData sheetId="18111"/>
      <sheetData sheetId="18112"/>
      <sheetData sheetId="18113" refreshError="1"/>
      <sheetData sheetId="18114" refreshError="1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/>
      <sheetData sheetId="18144"/>
      <sheetData sheetId="18145"/>
      <sheetData sheetId="18146" refreshError="1"/>
      <sheetData sheetId="18147" refreshError="1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 refreshError="1"/>
      <sheetData sheetId="18178" refreshError="1"/>
      <sheetData sheetId="18179" refreshError="1"/>
      <sheetData sheetId="18180" refreshError="1"/>
      <sheetData sheetId="18181"/>
      <sheetData sheetId="18182" refreshError="1"/>
      <sheetData sheetId="18183" refreshError="1"/>
      <sheetData sheetId="18184" refreshError="1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 refreshError="1"/>
      <sheetData sheetId="18206" refreshError="1"/>
      <sheetData sheetId="18207" refreshError="1"/>
      <sheetData sheetId="18208" refreshError="1"/>
      <sheetData sheetId="18209"/>
      <sheetData sheetId="18210"/>
      <sheetData sheetId="18211" refreshError="1"/>
      <sheetData sheetId="18212" refreshError="1"/>
      <sheetData sheetId="18213" refreshError="1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 refreshError="1"/>
      <sheetData sheetId="18235" refreshError="1"/>
      <sheetData sheetId="18236"/>
      <sheetData sheetId="18237" refreshError="1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 refreshError="1"/>
      <sheetData sheetId="18269" refreshError="1"/>
      <sheetData sheetId="18270"/>
      <sheetData sheetId="18271"/>
      <sheetData sheetId="18272"/>
      <sheetData sheetId="18273" refreshError="1"/>
      <sheetData sheetId="18274"/>
      <sheetData sheetId="18275"/>
      <sheetData sheetId="18276" refreshError="1"/>
      <sheetData sheetId="18277" refreshError="1"/>
      <sheetData sheetId="18278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/>
      <sheetData sheetId="18285" refreshError="1"/>
      <sheetData sheetId="18286" refreshError="1"/>
      <sheetData sheetId="18287" refreshError="1"/>
      <sheetData sheetId="18288"/>
      <sheetData sheetId="18289"/>
      <sheetData sheetId="18290" refreshError="1"/>
      <sheetData sheetId="18291"/>
      <sheetData sheetId="18292"/>
      <sheetData sheetId="18293" refreshError="1"/>
      <sheetData sheetId="18294" refreshError="1"/>
      <sheetData sheetId="18295"/>
      <sheetData sheetId="18296"/>
      <sheetData sheetId="18297"/>
      <sheetData sheetId="18298" refreshError="1"/>
      <sheetData sheetId="18299" refreshError="1"/>
      <sheetData sheetId="18300" refreshError="1"/>
      <sheetData sheetId="18301"/>
      <sheetData sheetId="18302"/>
      <sheetData sheetId="18303"/>
      <sheetData sheetId="18304" refreshError="1"/>
      <sheetData sheetId="18305" refreshError="1"/>
      <sheetData sheetId="18306" refreshError="1"/>
      <sheetData sheetId="18307"/>
      <sheetData sheetId="18308"/>
      <sheetData sheetId="18309" refreshError="1"/>
      <sheetData sheetId="18310" refreshError="1"/>
      <sheetData sheetId="18311"/>
      <sheetData sheetId="18312" refreshError="1"/>
      <sheetData sheetId="18313"/>
      <sheetData sheetId="18314" refreshError="1"/>
      <sheetData sheetId="18315" refreshError="1"/>
      <sheetData sheetId="18316" refreshError="1"/>
      <sheetData sheetId="18317" refreshError="1"/>
      <sheetData sheetId="18318"/>
      <sheetData sheetId="18319"/>
      <sheetData sheetId="18320" refreshError="1"/>
      <sheetData sheetId="18321"/>
      <sheetData sheetId="18322"/>
      <sheetData sheetId="18323" refreshError="1"/>
      <sheetData sheetId="18324"/>
      <sheetData sheetId="18325" refreshError="1"/>
      <sheetData sheetId="18326"/>
      <sheetData sheetId="18327" refreshError="1"/>
      <sheetData sheetId="18328"/>
      <sheetData sheetId="18329"/>
      <sheetData sheetId="18330" refreshError="1"/>
      <sheetData sheetId="18331"/>
      <sheetData sheetId="18332" refreshError="1"/>
      <sheetData sheetId="18333" refreshError="1"/>
      <sheetData sheetId="18334"/>
      <sheetData sheetId="18335" refreshError="1"/>
      <sheetData sheetId="18336" refreshError="1"/>
      <sheetData sheetId="18337" refreshError="1"/>
      <sheetData sheetId="18338"/>
      <sheetData sheetId="18339"/>
      <sheetData sheetId="18340" refreshError="1"/>
      <sheetData sheetId="18341"/>
      <sheetData sheetId="18342"/>
      <sheetData sheetId="18343"/>
      <sheetData sheetId="18344" refreshError="1"/>
      <sheetData sheetId="18345"/>
      <sheetData sheetId="18346" refreshError="1"/>
      <sheetData sheetId="18347"/>
      <sheetData sheetId="18348" refreshError="1"/>
      <sheetData sheetId="18349"/>
      <sheetData sheetId="18350"/>
      <sheetData sheetId="18351" refreshError="1"/>
      <sheetData sheetId="18352" refreshError="1"/>
      <sheetData sheetId="18353" refreshError="1"/>
      <sheetData sheetId="18354"/>
      <sheetData sheetId="18355"/>
      <sheetData sheetId="18356"/>
      <sheetData sheetId="18357" refreshError="1"/>
      <sheetData sheetId="18358" refreshError="1"/>
      <sheetData sheetId="18359" refreshError="1"/>
      <sheetData sheetId="18360" refreshError="1"/>
      <sheetData sheetId="18361"/>
      <sheetData sheetId="18362" refreshError="1"/>
      <sheetData sheetId="18363" refreshError="1"/>
      <sheetData sheetId="18364" refreshError="1"/>
      <sheetData sheetId="18365"/>
      <sheetData sheetId="18366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/>
      <sheetData sheetId="18373"/>
      <sheetData sheetId="18374"/>
      <sheetData sheetId="18375"/>
      <sheetData sheetId="18376" refreshError="1"/>
      <sheetData sheetId="18377"/>
      <sheetData sheetId="18378"/>
      <sheetData sheetId="18379" refreshError="1"/>
      <sheetData sheetId="18380"/>
      <sheetData sheetId="18381" refreshError="1"/>
      <sheetData sheetId="18382"/>
      <sheetData sheetId="18383"/>
      <sheetData sheetId="18384" refreshError="1"/>
      <sheetData sheetId="18385" refreshError="1"/>
      <sheetData sheetId="18386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/>
      <sheetData sheetId="18393"/>
      <sheetData sheetId="18394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/>
      <sheetData sheetId="18401" refreshError="1"/>
      <sheetData sheetId="18402"/>
      <sheetData sheetId="18403" refreshError="1"/>
      <sheetData sheetId="18404" refreshError="1"/>
      <sheetData sheetId="18405"/>
      <sheetData sheetId="18406" refreshError="1"/>
      <sheetData sheetId="18407" refreshError="1"/>
      <sheetData sheetId="18408"/>
      <sheetData sheetId="18409"/>
      <sheetData sheetId="18410"/>
      <sheetData sheetId="18411" refreshError="1"/>
      <sheetData sheetId="18412" refreshError="1"/>
      <sheetData sheetId="18413" refreshError="1"/>
      <sheetData sheetId="18414"/>
      <sheetData sheetId="18415"/>
      <sheetData sheetId="18416"/>
      <sheetData sheetId="18417"/>
      <sheetData sheetId="18418" refreshError="1"/>
      <sheetData sheetId="18419"/>
      <sheetData sheetId="18420" refreshError="1"/>
      <sheetData sheetId="18421" refreshError="1"/>
      <sheetData sheetId="18422"/>
      <sheetData sheetId="18423"/>
      <sheetData sheetId="18424" refreshError="1"/>
      <sheetData sheetId="18425"/>
      <sheetData sheetId="18426" refreshError="1"/>
      <sheetData sheetId="18427"/>
      <sheetData sheetId="18428" refreshError="1"/>
      <sheetData sheetId="18429" refreshError="1"/>
      <sheetData sheetId="18430"/>
      <sheetData sheetId="18431" refreshError="1"/>
      <sheetData sheetId="18432"/>
      <sheetData sheetId="18433" refreshError="1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 refreshError="1"/>
      <sheetData sheetId="18461" refreshError="1"/>
      <sheetData sheetId="18462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/>
      <sheetData sheetId="18469" refreshError="1"/>
      <sheetData sheetId="18470" refreshError="1"/>
      <sheetData sheetId="18471"/>
      <sheetData sheetId="18472" refreshError="1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 refreshError="1"/>
      <sheetData sheetId="18489"/>
      <sheetData sheetId="18490"/>
      <sheetData sheetId="18491"/>
      <sheetData sheetId="18492"/>
      <sheetData sheetId="18493"/>
      <sheetData sheetId="18494" refreshError="1"/>
      <sheetData sheetId="18495" refreshError="1"/>
      <sheetData sheetId="18496"/>
      <sheetData sheetId="18497" refreshError="1"/>
      <sheetData sheetId="18498"/>
      <sheetData sheetId="18499"/>
      <sheetData sheetId="18500" refreshError="1"/>
      <sheetData sheetId="18501" refreshError="1"/>
      <sheetData sheetId="18502"/>
      <sheetData sheetId="18503"/>
      <sheetData sheetId="18504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/>
      <sheetData sheetId="18512"/>
      <sheetData sheetId="18513" refreshError="1"/>
      <sheetData sheetId="18514"/>
      <sheetData sheetId="18515" refreshError="1"/>
      <sheetData sheetId="18516" refreshError="1"/>
      <sheetData sheetId="18517"/>
      <sheetData sheetId="18518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/>
      <sheetData sheetId="18526"/>
      <sheetData sheetId="18527"/>
      <sheetData sheetId="18528"/>
      <sheetData sheetId="18529"/>
      <sheetData sheetId="18530" refreshError="1"/>
      <sheetData sheetId="18531" refreshError="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 refreshError="1"/>
      <sheetData sheetId="18557" refreshError="1"/>
      <sheetData sheetId="18558"/>
      <sheetData sheetId="18559"/>
      <sheetData sheetId="18560"/>
      <sheetData sheetId="18561" refreshError="1"/>
      <sheetData sheetId="18562"/>
      <sheetData sheetId="18563"/>
      <sheetData sheetId="18564"/>
      <sheetData sheetId="18565" refreshError="1"/>
      <sheetData sheetId="18566"/>
      <sheetData sheetId="18567"/>
      <sheetData sheetId="18568"/>
      <sheetData sheetId="18569"/>
      <sheetData sheetId="18570" refreshError="1"/>
      <sheetData sheetId="18571"/>
      <sheetData sheetId="18572"/>
      <sheetData sheetId="18573" refreshError="1"/>
      <sheetData sheetId="18574"/>
      <sheetData sheetId="18575" refreshError="1"/>
      <sheetData sheetId="18576" refreshError="1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 refreshError="1"/>
      <sheetData sheetId="18587" refreshError="1"/>
      <sheetData sheetId="18588"/>
      <sheetData sheetId="18589"/>
      <sheetData sheetId="18590" refreshError="1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 refreshError="1"/>
      <sheetData sheetId="18601" refreshError="1"/>
      <sheetData sheetId="18602"/>
      <sheetData sheetId="18603"/>
      <sheetData sheetId="18604"/>
      <sheetData sheetId="18605" refreshError="1"/>
      <sheetData sheetId="18606" refreshError="1"/>
      <sheetData sheetId="18607" refreshError="1"/>
      <sheetData sheetId="18608"/>
      <sheetData sheetId="18609"/>
      <sheetData sheetId="18610"/>
      <sheetData sheetId="18611"/>
      <sheetData sheetId="18612" refreshError="1"/>
      <sheetData sheetId="18613"/>
      <sheetData sheetId="18614" refreshError="1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 refreshError="1"/>
      <sheetData sheetId="18631" refreshError="1"/>
      <sheetData sheetId="18632" refreshError="1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 refreshError="1"/>
      <sheetData sheetId="18641"/>
      <sheetData sheetId="18642" refreshError="1"/>
      <sheetData sheetId="18643" refreshError="1"/>
      <sheetData sheetId="18644" refreshError="1"/>
      <sheetData sheetId="18645"/>
      <sheetData sheetId="18646"/>
      <sheetData sheetId="18647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 refreshError="1"/>
      <sheetData sheetId="18678" refreshError="1"/>
      <sheetData sheetId="18679"/>
      <sheetData sheetId="18680"/>
      <sheetData sheetId="18681" refreshError="1"/>
      <sheetData sheetId="18682" refreshError="1"/>
      <sheetData sheetId="18683" refreshError="1"/>
      <sheetData sheetId="18684"/>
      <sheetData sheetId="18685" refreshError="1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 refreshError="1"/>
      <sheetData sheetId="18709"/>
      <sheetData sheetId="18710"/>
      <sheetData sheetId="18711" refreshError="1"/>
      <sheetData sheetId="18712"/>
      <sheetData sheetId="18713" refreshError="1"/>
      <sheetData sheetId="18714" refreshError="1"/>
      <sheetData sheetId="18715" refreshError="1"/>
      <sheetData sheetId="18716" refreshError="1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 refreshError="1"/>
      <sheetData sheetId="18741" refreshError="1"/>
      <sheetData sheetId="18742"/>
      <sheetData sheetId="18743"/>
      <sheetData sheetId="18744" refreshError="1"/>
      <sheetData sheetId="18745"/>
      <sheetData sheetId="18746"/>
      <sheetData sheetId="18747" refreshError="1"/>
      <sheetData sheetId="18748" refreshError="1"/>
      <sheetData sheetId="18749"/>
      <sheetData sheetId="18750"/>
      <sheetData sheetId="18751" refreshError="1"/>
      <sheetData sheetId="18752"/>
      <sheetData sheetId="18753" refreshError="1"/>
      <sheetData sheetId="18754" refreshError="1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 refreshError="1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 refreshError="1"/>
      <sheetData sheetId="18797" refreshError="1"/>
      <sheetData sheetId="18798"/>
      <sheetData sheetId="18799"/>
      <sheetData sheetId="18800" refreshError="1"/>
      <sheetData sheetId="18801"/>
      <sheetData sheetId="18802"/>
      <sheetData sheetId="18803"/>
      <sheetData sheetId="18804" refreshError="1"/>
      <sheetData sheetId="18805" refreshError="1"/>
      <sheetData sheetId="18806"/>
      <sheetData sheetId="18807"/>
      <sheetData sheetId="18808"/>
      <sheetData sheetId="18809" refreshError="1"/>
      <sheetData sheetId="18810"/>
      <sheetData sheetId="18811"/>
      <sheetData sheetId="18812" refreshError="1"/>
      <sheetData sheetId="18813" refreshError="1"/>
      <sheetData sheetId="18814"/>
      <sheetData sheetId="18815"/>
      <sheetData sheetId="18816" refreshError="1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 refreshError="1"/>
      <sheetData sheetId="18829" refreshError="1"/>
      <sheetData sheetId="18830"/>
      <sheetData sheetId="18831"/>
      <sheetData sheetId="18832"/>
      <sheetData sheetId="18833" refreshError="1"/>
      <sheetData sheetId="18834" refreshError="1"/>
      <sheetData sheetId="18835"/>
      <sheetData sheetId="18836" refreshError="1"/>
      <sheetData sheetId="18837" refreshError="1"/>
      <sheetData sheetId="18838"/>
      <sheetData sheetId="18839"/>
      <sheetData sheetId="18840"/>
      <sheetData sheetId="18841" refreshError="1"/>
      <sheetData sheetId="18842" refreshError="1"/>
      <sheetData sheetId="18843" refreshError="1"/>
      <sheetData sheetId="18844"/>
      <sheetData sheetId="18845" refreshError="1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 refreshError="1"/>
      <sheetData sheetId="18868"/>
      <sheetData sheetId="18869"/>
      <sheetData sheetId="18870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 refreshError="1"/>
      <sheetData sheetId="18901" refreshError="1"/>
      <sheetData sheetId="18902"/>
      <sheetData sheetId="18903" refreshError="1"/>
      <sheetData sheetId="18904" refreshError="1"/>
      <sheetData sheetId="18905"/>
      <sheetData sheetId="18906"/>
      <sheetData sheetId="18907" refreshError="1"/>
      <sheetData sheetId="18908" refreshError="1"/>
      <sheetData sheetId="18909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/>
      <sheetData sheetId="18916" refreshError="1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 refreshError="1"/>
      <sheetData sheetId="18939" refreshError="1"/>
      <sheetData sheetId="18940"/>
      <sheetData sheetId="18941"/>
      <sheetData sheetId="18942" refreshError="1"/>
      <sheetData sheetId="18943" refreshError="1"/>
      <sheetData sheetId="18944"/>
      <sheetData sheetId="18945" refreshError="1"/>
      <sheetData sheetId="18946" refreshError="1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 refreshError="1"/>
      <sheetData sheetId="18971" refreshError="1"/>
      <sheetData sheetId="18972"/>
      <sheetData sheetId="18973"/>
      <sheetData sheetId="18974"/>
      <sheetData sheetId="18975" refreshError="1"/>
      <sheetData sheetId="18976"/>
      <sheetData sheetId="18977"/>
      <sheetData sheetId="18978" refreshError="1"/>
      <sheetData sheetId="18979" refreshError="1"/>
      <sheetData sheetId="18980"/>
      <sheetData sheetId="18981"/>
      <sheetData sheetId="18982"/>
      <sheetData sheetId="18983" refreshError="1"/>
      <sheetData sheetId="18984"/>
      <sheetData sheetId="18985"/>
      <sheetData sheetId="18986"/>
      <sheetData sheetId="18987" refreshError="1"/>
      <sheetData sheetId="18988" refreshError="1"/>
      <sheetData sheetId="18989"/>
      <sheetData sheetId="18990"/>
      <sheetData sheetId="18991" refreshError="1"/>
      <sheetData sheetId="18992"/>
      <sheetData sheetId="18993"/>
      <sheetData sheetId="18994"/>
      <sheetData sheetId="18995"/>
      <sheetData sheetId="18996"/>
      <sheetData sheetId="18997" refreshError="1"/>
      <sheetData sheetId="18998"/>
      <sheetData sheetId="18999" refreshError="1"/>
      <sheetData sheetId="19000" refreshError="1"/>
      <sheetData sheetId="19001"/>
      <sheetData sheetId="19002"/>
      <sheetData sheetId="19003" refreshError="1"/>
      <sheetData sheetId="19004" refreshError="1"/>
      <sheetData sheetId="19005"/>
      <sheetData sheetId="19006" refreshError="1"/>
      <sheetData sheetId="19007"/>
      <sheetData sheetId="19008"/>
      <sheetData sheetId="19009" refreshError="1"/>
      <sheetData sheetId="19010"/>
      <sheetData sheetId="19011"/>
      <sheetData sheetId="19012" refreshError="1"/>
      <sheetData sheetId="19013" refreshError="1"/>
      <sheetData sheetId="19014" refreshError="1"/>
      <sheetData sheetId="19015"/>
      <sheetData sheetId="19016"/>
      <sheetData sheetId="19017" refreshError="1"/>
      <sheetData sheetId="19018"/>
      <sheetData sheetId="19019" refreshError="1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/>
      <sheetData sheetId="19238"/>
      <sheetData sheetId="19239"/>
      <sheetData sheetId="19240"/>
      <sheetData sheetId="19241"/>
      <sheetData sheetId="19242" refreshError="1"/>
      <sheetData sheetId="19243" refreshError="1"/>
      <sheetData sheetId="19244" refreshError="1"/>
      <sheetData sheetId="19245" refreshError="1"/>
      <sheetData sheetId="19246"/>
      <sheetData sheetId="19247" refreshError="1"/>
      <sheetData sheetId="19248" refreshError="1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 refreshError="1"/>
      <sheetData sheetId="19271" refreshError="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 refreshError="1"/>
      <sheetData sheetId="19295" refreshError="1"/>
      <sheetData sheetId="19296"/>
      <sheetData sheetId="19297"/>
      <sheetData sheetId="19298" refreshError="1"/>
      <sheetData sheetId="19299"/>
      <sheetData sheetId="19300"/>
      <sheetData sheetId="19301"/>
      <sheetData sheetId="19302" refreshError="1"/>
      <sheetData sheetId="19303" refreshError="1"/>
      <sheetData sheetId="19304" refreshError="1"/>
      <sheetData sheetId="19305" refreshError="1"/>
      <sheetData sheetId="19306"/>
      <sheetData sheetId="19307"/>
      <sheetData sheetId="19308" refreshError="1"/>
      <sheetData sheetId="19309" refreshError="1"/>
      <sheetData sheetId="19310"/>
      <sheetData sheetId="1931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 refreshError="1"/>
      <sheetData sheetId="19344"/>
      <sheetData sheetId="19345"/>
      <sheetData sheetId="19346" refreshError="1"/>
      <sheetData sheetId="19347" refreshError="1"/>
      <sheetData sheetId="19348" refreshError="1"/>
      <sheetData sheetId="19349" refreshError="1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 refreshError="1"/>
      <sheetData sheetId="19376"/>
      <sheetData sheetId="19377"/>
      <sheetData sheetId="19378" refreshError="1"/>
      <sheetData sheetId="19379" refreshError="1"/>
      <sheetData sheetId="19380"/>
      <sheetData sheetId="19381"/>
      <sheetData sheetId="19382"/>
      <sheetData sheetId="19383"/>
      <sheetData sheetId="19384" refreshError="1"/>
      <sheetData sheetId="19385"/>
      <sheetData sheetId="19386" refreshError="1"/>
      <sheetData sheetId="19387"/>
      <sheetData sheetId="19388" refreshError="1"/>
      <sheetData sheetId="19389" refreshError="1"/>
      <sheetData sheetId="19390"/>
      <sheetData sheetId="19391" refreshError="1"/>
      <sheetData sheetId="19392" refreshError="1"/>
      <sheetData sheetId="19393" refreshError="1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/>
      <sheetData sheetId="19421"/>
      <sheetData sheetId="19422" refreshError="1"/>
      <sheetData sheetId="19423" refreshError="1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 refreshError="1"/>
      <sheetData sheetId="19448" refreshError="1"/>
      <sheetData sheetId="19449" refreshError="1"/>
      <sheetData sheetId="19450"/>
      <sheetData sheetId="19451"/>
      <sheetData sheetId="19452" refreshError="1"/>
      <sheetData sheetId="19453" refreshError="1"/>
      <sheetData sheetId="19454"/>
      <sheetData sheetId="19455"/>
      <sheetData sheetId="19456"/>
      <sheetData sheetId="19457" refreshError="1"/>
      <sheetData sheetId="19458" refreshError="1"/>
      <sheetData sheetId="19459" refreshError="1"/>
      <sheetData sheetId="19460" refreshError="1"/>
      <sheetData sheetId="19461"/>
      <sheetData sheetId="19462" refreshError="1"/>
      <sheetData sheetId="19463" refreshError="1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 refreshError="1"/>
      <sheetData sheetId="19487" refreshError="1"/>
      <sheetData sheetId="19488"/>
      <sheetData sheetId="19489"/>
      <sheetData sheetId="19490"/>
      <sheetData sheetId="19491" refreshError="1"/>
      <sheetData sheetId="19492"/>
      <sheetData sheetId="19493"/>
      <sheetData sheetId="19494" refreshError="1"/>
      <sheetData sheetId="19495" refreshError="1"/>
      <sheetData sheetId="19496"/>
      <sheetData sheetId="19497"/>
      <sheetData sheetId="19498"/>
      <sheetData sheetId="19499" refreshError="1"/>
      <sheetData sheetId="19500" refreshError="1"/>
      <sheetData sheetId="19501" refreshError="1"/>
      <sheetData sheetId="19502"/>
      <sheetData sheetId="19503"/>
      <sheetData sheetId="19504"/>
      <sheetData sheetId="19505" refreshError="1"/>
      <sheetData sheetId="19506"/>
      <sheetData sheetId="19507"/>
      <sheetData sheetId="19508" refreshError="1"/>
      <sheetData sheetId="19509" refreshError="1"/>
      <sheetData sheetId="19510"/>
      <sheetData sheetId="19511" refreshError="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 refreshError="1"/>
      <sheetData sheetId="19535" refreshError="1"/>
      <sheetData sheetId="19536"/>
      <sheetData sheetId="19537"/>
      <sheetData sheetId="19538"/>
      <sheetData sheetId="19539" refreshError="1"/>
      <sheetData sheetId="19540" refreshError="1"/>
      <sheetData sheetId="19541"/>
      <sheetData sheetId="19542"/>
      <sheetData sheetId="19543"/>
      <sheetData sheetId="19544" refreshError="1"/>
      <sheetData sheetId="19545" refreshError="1"/>
      <sheetData sheetId="19546"/>
      <sheetData sheetId="19547"/>
      <sheetData sheetId="19548"/>
      <sheetData sheetId="19549"/>
      <sheetData sheetId="19550"/>
      <sheetData sheetId="19551"/>
      <sheetData sheetId="19552" refreshError="1"/>
      <sheetData sheetId="19553" refreshError="1"/>
      <sheetData sheetId="19554" refreshError="1"/>
      <sheetData sheetId="19555" refreshError="1"/>
      <sheetData sheetId="19556"/>
      <sheetData sheetId="19557" refreshError="1"/>
      <sheetData sheetId="19558"/>
      <sheetData sheetId="19559" refreshError="1"/>
      <sheetData sheetId="19560" refreshError="1"/>
      <sheetData sheetId="19561"/>
      <sheetData sheetId="19562"/>
      <sheetData sheetId="19563"/>
      <sheetData sheetId="19564" refreshError="1"/>
      <sheetData sheetId="19565" refreshError="1"/>
      <sheetData sheetId="19566"/>
      <sheetData sheetId="19567" refreshError="1"/>
      <sheetData sheetId="19568" refreshError="1"/>
      <sheetData sheetId="19569"/>
      <sheetData sheetId="19570"/>
      <sheetData sheetId="19571" refreshError="1"/>
      <sheetData sheetId="19572" refreshError="1"/>
      <sheetData sheetId="19573"/>
      <sheetData sheetId="19574"/>
      <sheetData sheetId="19575"/>
      <sheetData sheetId="19576" refreshError="1"/>
      <sheetData sheetId="19577"/>
      <sheetData sheetId="19578"/>
      <sheetData sheetId="19579" refreshError="1"/>
      <sheetData sheetId="19580" refreshError="1"/>
      <sheetData sheetId="19581"/>
      <sheetData sheetId="19582"/>
      <sheetData sheetId="19583"/>
      <sheetData sheetId="19584"/>
      <sheetData sheetId="19585" refreshError="1"/>
      <sheetData sheetId="19586"/>
      <sheetData sheetId="19587"/>
      <sheetData sheetId="19588" refreshError="1"/>
      <sheetData sheetId="19589" refreshError="1"/>
      <sheetData sheetId="19590"/>
      <sheetData sheetId="19591"/>
      <sheetData sheetId="19592" refreshError="1"/>
      <sheetData sheetId="19593" refreshError="1"/>
      <sheetData sheetId="19594" refreshError="1"/>
      <sheetData sheetId="19595" refreshError="1"/>
      <sheetData sheetId="19596"/>
      <sheetData sheetId="19597"/>
      <sheetData sheetId="19598"/>
      <sheetData sheetId="19599"/>
      <sheetData sheetId="19600" refreshError="1"/>
      <sheetData sheetId="19601" refreshError="1"/>
      <sheetData sheetId="19602" refreshError="1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 refreshError="1"/>
      <sheetData sheetId="19613"/>
      <sheetData sheetId="19614"/>
      <sheetData sheetId="19615"/>
      <sheetData sheetId="19616"/>
      <sheetData sheetId="19617"/>
      <sheetData sheetId="19618"/>
      <sheetData sheetId="19619" refreshError="1"/>
      <sheetData sheetId="19620" refreshError="1"/>
      <sheetData sheetId="19621" refreshError="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 refreshError="1"/>
      <sheetData sheetId="19643" refreshError="1"/>
      <sheetData sheetId="19644"/>
      <sheetData sheetId="19645"/>
      <sheetData sheetId="19646" refreshError="1"/>
      <sheetData sheetId="19647"/>
      <sheetData sheetId="19648"/>
      <sheetData sheetId="19649"/>
      <sheetData sheetId="19650" refreshError="1"/>
      <sheetData sheetId="19651" refreshError="1"/>
      <sheetData sheetId="19652" refreshError="1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 refreshError="1"/>
      <sheetData sheetId="19674" refreshError="1"/>
      <sheetData sheetId="19675"/>
      <sheetData sheetId="19676"/>
      <sheetData sheetId="19677"/>
      <sheetData sheetId="19678" refreshError="1"/>
      <sheetData sheetId="19679"/>
      <sheetData sheetId="19680"/>
      <sheetData sheetId="19681" refreshError="1"/>
      <sheetData sheetId="19682" refreshError="1"/>
      <sheetData sheetId="19683"/>
      <sheetData sheetId="19684"/>
      <sheetData sheetId="19685"/>
      <sheetData sheetId="19686" refreshError="1"/>
      <sheetData sheetId="19687" refreshError="1"/>
      <sheetData sheetId="19688" refreshError="1"/>
      <sheetData sheetId="19689"/>
      <sheetData sheetId="19690"/>
      <sheetData sheetId="19691"/>
      <sheetData sheetId="19692" refreshError="1"/>
      <sheetData sheetId="19693"/>
      <sheetData sheetId="19694" refreshError="1"/>
      <sheetData sheetId="19695" refreshError="1"/>
      <sheetData sheetId="19696"/>
      <sheetData sheetId="19697" refreshError="1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 refreshError="1"/>
      <sheetData sheetId="19722" refreshError="1"/>
      <sheetData sheetId="19723"/>
      <sheetData sheetId="19724"/>
      <sheetData sheetId="19725" refreshError="1"/>
      <sheetData sheetId="19726"/>
      <sheetData sheetId="19727"/>
      <sheetData sheetId="19728" refreshError="1"/>
      <sheetData sheetId="19729" refreshError="1"/>
      <sheetData sheetId="19730" refreshError="1"/>
      <sheetData sheetId="19731" refreshError="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 refreshError="1"/>
      <sheetData sheetId="19753" refreshError="1"/>
      <sheetData sheetId="19754"/>
      <sheetData sheetId="19755"/>
      <sheetData sheetId="19756"/>
      <sheetData sheetId="19757" refreshError="1"/>
      <sheetData sheetId="19758"/>
      <sheetData sheetId="19759"/>
      <sheetData sheetId="19760"/>
      <sheetData sheetId="19761"/>
      <sheetData sheetId="19762" refreshError="1"/>
      <sheetData sheetId="19763" refreshError="1"/>
      <sheetData sheetId="19764" refreshError="1"/>
      <sheetData sheetId="19765"/>
      <sheetData sheetId="19766"/>
      <sheetData sheetId="19767" refreshError="1"/>
      <sheetData sheetId="19768"/>
      <sheetData sheetId="19769" refreshError="1"/>
      <sheetData sheetId="19770" refreshError="1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/>
      <sheetData sheetId="19799"/>
      <sheetData sheetId="19800" refreshError="1"/>
      <sheetData sheetId="19801" refreshError="1"/>
      <sheetData sheetId="19802" refreshError="1"/>
      <sheetData sheetId="19803"/>
      <sheetData sheetId="19804" refreshError="1"/>
      <sheetData sheetId="19805" refreshError="1"/>
      <sheetData sheetId="19806"/>
      <sheetData sheetId="19807"/>
      <sheetData sheetId="19808"/>
      <sheetData sheetId="19809" refreshError="1"/>
      <sheetData sheetId="19810"/>
      <sheetData sheetId="19811"/>
      <sheetData sheetId="19812"/>
      <sheetData sheetId="19813" refreshError="1"/>
      <sheetData sheetId="19814" refreshError="1"/>
      <sheetData sheetId="19815" refreshError="1"/>
      <sheetData sheetId="19816" refreshError="1"/>
      <sheetData sheetId="19817"/>
      <sheetData sheetId="19818" refreshError="1"/>
      <sheetData sheetId="19819" refreshError="1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 refreshError="1"/>
      <sheetData sheetId="19846" refreshError="1"/>
      <sheetData sheetId="19847"/>
      <sheetData sheetId="19848"/>
      <sheetData sheetId="19849"/>
      <sheetData sheetId="19850" refreshError="1"/>
      <sheetData sheetId="19851" refreshError="1"/>
      <sheetData sheetId="19852"/>
      <sheetData sheetId="19853"/>
      <sheetData sheetId="19854" refreshError="1"/>
      <sheetData sheetId="19855"/>
      <sheetData sheetId="19856"/>
      <sheetData sheetId="19857" refreshError="1"/>
      <sheetData sheetId="19858" refreshError="1"/>
      <sheetData sheetId="19859" refreshError="1"/>
      <sheetData sheetId="19860" refreshError="1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 refreshError="1"/>
      <sheetData sheetId="19886"/>
      <sheetData sheetId="19887"/>
      <sheetData sheetId="19888" refreshError="1"/>
      <sheetData sheetId="19889"/>
      <sheetData sheetId="19890"/>
      <sheetData sheetId="19891" refreshError="1"/>
      <sheetData sheetId="19892"/>
      <sheetData sheetId="19893"/>
      <sheetData sheetId="19894" refreshError="1"/>
      <sheetData sheetId="19895" refreshError="1"/>
      <sheetData sheetId="19896"/>
      <sheetData sheetId="19897"/>
      <sheetData sheetId="19898" refreshError="1"/>
      <sheetData sheetId="19899"/>
      <sheetData sheetId="19900"/>
      <sheetData sheetId="19901"/>
      <sheetData sheetId="19902" refreshError="1"/>
      <sheetData sheetId="19903" refreshError="1"/>
      <sheetData sheetId="19904"/>
      <sheetData sheetId="19905"/>
      <sheetData sheetId="19906"/>
      <sheetData sheetId="19907" refreshError="1"/>
      <sheetData sheetId="19908" refreshError="1"/>
      <sheetData sheetId="19909" refreshError="1"/>
      <sheetData sheetId="19910"/>
      <sheetData sheetId="19911"/>
      <sheetData sheetId="19912" refreshError="1"/>
      <sheetData sheetId="19913" refreshError="1"/>
      <sheetData sheetId="19914" refreshError="1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 refreshError="1"/>
      <sheetData sheetId="19939"/>
      <sheetData sheetId="19940"/>
      <sheetData sheetId="19941"/>
      <sheetData sheetId="19942" refreshError="1"/>
      <sheetData sheetId="19943"/>
      <sheetData sheetId="19944" refreshError="1"/>
      <sheetData sheetId="19945"/>
      <sheetData sheetId="19946"/>
      <sheetData sheetId="19947" refreshError="1"/>
      <sheetData sheetId="19948" refreshError="1"/>
      <sheetData sheetId="19949"/>
      <sheetData sheetId="19950"/>
      <sheetData sheetId="19951"/>
      <sheetData sheetId="19952" refreshError="1"/>
      <sheetData sheetId="19953"/>
      <sheetData sheetId="19954" refreshError="1"/>
      <sheetData sheetId="19955" refreshError="1"/>
      <sheetData sheetId="19956"/>
      <sheetData sheetId="19957" refreshError="1"/>
      <sheetData sheetId="19958" refreshError="1"/>
      <sheetData sheetId="19959" refreshError="1"/>
      <sheetData sheetId="19960"/>
      <sheetData sheetId="19961"/>
      <sheetData sheetId="19962" refreshError="1"/>
      <sheetData sheetId="19963" refreshError="1"/>
      <sheetData sheetId="19964" refreshError="1"/>
      <sheetData sheetId="19965"/>
      <sheetData sheetId="19966" refreshError="1"/>
      <sheetData sheetId="19967" refreshError="1"/>
      <sheetData sheetId="19968"/>
      <sheetData sheetId="19969"/>
      <sheetData sheetId="19970"/>
      <sheetData sheetId="19971" refreshError="1"/>
      <sheetData sheetId="19972"/>
      <sheetData sheetId="19973"/>
      <sheetData sheetId="19974"/>
      <sheetData sheetId="19975" refreshError="1"/>
      <sheetData sheetId="19976" refreshError="1"/>
      <sheetData sheetId="19977" refreshError="1"/>
      <sheetData sheetId="19978" refreshError="1"/>
      <sheetData sheetId="19979"/>
      <sheetData sheetId="19980" refreshError="1"/>
      <sheetData sheetId="19981" refreshError="1"/>
      <sheetData sheetId="19982" refreshError="1"/>
      <sheetData sheetId="19983" refreshError="1"/>
      <sheetData sheetId="19984"/>
      <sheetData sheetId="19985"/>
      <sheetData sheetId="19986" refreshError="1"/>
      <sheetData sheetId="19987"/>
      <sheetData sheetId="19988"/>
      <sheetData sheetId="19989" refreshError="1"/>
      <sheetData sheetId="19990" refreshError="1"/>
      <sheetData sheetId="19991" refreshError="1"/>
      <sheetData sheetId="19992"/>
      <sheetData sheetId="19993"/>
      <sheetData sheetId="19994" refreshError="1"/>
      <sheetData sheetId="19995" refreshError="1"/>
      <sheetData sheetId="19996" refreshError="1"/>
      <sheetData sheetId="19997"/>
      <sheetData sheetId="19998"/>
      <sheetData sheetId="19999"/>
      <sheetData sheetId="20000" refreshError="1"/>
      <sheetData sheetId="20001" refreshError="1"/>
      <sheetData sheetId="20002" refreshError="1"/>
      <sheetData sheetId="20003"/>
      <sheetData sheetId="20004" refreshError="1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 refreshError="1"/>
      <sheetData sheetId="20029" refreshError="1"/>
      <sheetData sheetId="20030"/>
      <sheetData sheetId="20031"/>
      <sheetData sheetId="20032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 refreshError="1"/>
      <sheetData sheetId="20060" refreshError="1"/>
      <sheetData sheetId="20061"/>
      <sheetData sheetId="20062"/>
      <sheetData sheetId="20063"/>
      <sheetData sheetId="20064" refreshError="1"/>
      <sheetData sheetId="20065"/>
      <sheetData sheetId="20066"/>
      <sheetData sheetId="20067" refreshError="1"/>
      <sheetData sheetId="20068" refreshError="1"/>
      <sheetData sheetId="20069" refreshError="1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 refreshError="1"/>
      <sheetData sheetId="20091" refreshError="1"/>
      <sheetData sheetId="20092"/>
      <sheetData sheetId="20093"/>
      <sheetData sheetId="20094"/>
      <sheetData sheetId="20095" refreshError="1"/>
      <sheetData sheetId="20096" refreshError="1"/>
      <sheetData sheetId="20097" refreshError="1"/>
      <sheetData sheetId="20098"/>
      <sheetData sheetId="20099" refreshError="1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 refreshError="1"/>
      <sheetData sheetId="20123" refreshError="1"/>
      <sheetData sheetId="20124"/>
      <sheetData sheetId="20125"/>
      <sheetData sheetId="20126" refreshError="1"/>
      <sheetData sheetId="20127"/>
      <sheetData sheetId="20128"/>
      <sheetData sheetId="20129"/>
      <sheetData sheetId="20130"/>
      <sheetData sheetId="20131" refreshError="1"/>
      <sheetData sheetId="20132" refreshError="1"/>
      <sheetData sheetId="20133"/>
      <sheetData sheetId="20134"/>
      <sheetData sheetId="20135" refreshError="1"/>
      <sheetData sheetId="20136"/>
      <sheetData sheetId="20137"/>
      <sheetData sheetId="20138" refreshError="1"/>
      <sheetData sheetId="20139" refreshError="1"/>
      <sheetData sheetId="20140"/>
      <sheetData sheetId="20141"/>
      <sheetData sheetId="20142"/>
      <sheetData sheetId="20143" refreshError="1"/>
      <sheetData sheetId="20144"/>
      <sheetData sheetId="20145"/>
      <sheetData sheetId="20146" refreshError="1"/>
      <sheetData sheetId="20147" refreshError="1"/>
      <sheetData sheetId="20148"/>
      <sheetData sheetId="20149"/>
      <sheetData sheetId="20150"/>
      <sheetData sheetId="20151" refreshError="1"/>
      <sheetData sheetId="20152" refreshError="1"/>
      <sheetData sheetId="20153" refreshError="1"/>
      <sheetData sheetId="20154"/>
      <sheetData sheetId="20155"/>
      <sheetData sheetId="20156"/>
      <sheetData sheetId="20157"/>
      <sheetData sheetId="20158"/>
      <sheetData sheetId="20159"/>
      <sheetData sheetId="20160" refreshError="1"/>
      <sheetData sheetId="20161" refreshError="1"/>
      <sheetData sheetId="20162" refreshError="1"/>
      <sheetData sheetId="20163"/>
      <sheetData sheetId="20164"/>
      <sheetData sheetId="20165"/>
      <sheetData sheetId="20166" refreshError="1"/>
      <sheetData sheetId="20167" refreshError="1"/>
      <sheetData sheetId="20168"/>
      <sheetData sheetId="20169"/>
      <sheetData sheetId="20170" refreshError="1"/>
      <sheetData sheetId="20171"/>
      <sheetData sheetId="20172"/>
      <sheetData sheetId="20173" refreshError="1"/>
      <sheetData sheetId="20174" refreshError="1"/>
      <sheetData sheetId="20175"/>
      <sheetData sheetId="20176"/>
      <sheetData sheetId="20177"/>
      <sheetData sheetId="20178" refreshError="1"/>
      <sheetData sheetId="20179" refreshError="1"/>
      <sheetData sheetId="20180" refreshError="1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 refreshError="1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 refreshError="1"/>
      <sheetData sheetId="20207" refreshError="1"/>
      <sheetData sheetId="20208"/>
      <sheetData sheetId="20209"/>
      <sheetData sheetId="20210" refreshError="1"/>
      <sheetData sheetId="20211"/>
      <sheetData sheetId="20212" refreshError="1"/>
      <sheetData sheetId="20213" refreshError="1"/>
      <sheetData sheetId="20214"/>
      <sheetData sheetId="20215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/>
      <sheetData sheetId="20222"/>
      <sheetData sheetId="20223"/>
      <sheetData sheetId="20224" refreshError="1"/>
      <sheetData sheetId="20225"/>
      <sheetData sheetId="20226" refreshError="1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 refreshError="1"/>
      <sheetData sheetId="20252" refreshError="1"/>
      <sheetData sheetId="20253" refreshError="1"/>
      <sheetData sheetId="20254" refreshError="1"/>
      <sheetData sheetId="20255"/>
      <sheetData sheetId="20256"/>
      <sheetData sheetId="20257" refreshError="1"/>
      <sheetData sheetId="20258" refreshError="1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 refreshError="1"/>
      <sheetData sheetId="20283" refreshError="1"/>
      <sheetData sheetId="20284"/>
      <sheetData sheetId="20285"/>
      <sheetData sheetId="20286"/>
      <sheetData sheetId="20287" refreshError="1"/>
      <sheetData sheetId="20288" refreshError="1"/>
      <sheetData sheetId="20289" refreshError="1"/>
      <sheetData sheetId="20290"/>
      <sheetData sheetId="20291" refreshError="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 refreshError="1"/>
      <sheetData sheetId="20316" refreshError="1"/>
      <sheetData sheetId="20317"/>
      <sheetData sheetId="20318"/>
      <sheetData sheetId="20319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/>
      <sheetData sheetId="20326"/>
      <sheetData sheetId="20327"/>
      <sheetData sheetId="20328"/>
      <sheetData sheetId="20329" refreshError="1"/>
      <sheetData sheetId="20330" refreshError="1"/>
      <sheetData sheetId="20331" refreshError="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 refreshError="1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 refreshError="1"/>
      <sheetData sheetId="20356" refreshError="1"/>
      <sheetData sheetId="20357"/>
      <sheetData sheetId="20358"/>
      <sheetData sheetId="20359" refreshError="1"/>
      <sheetData sheetId="20360"/>
      <sheetData sheetId="20361"/>
      <sheetData sheetId="20362" refreshError="1"/>
      <sheetData sheetId="20363"/>
      <sheetData sheetId="20364"/>
      <sheetData sheetId="20365"/>
      <sheetData sheetId="20366" refreshError="1"/>
      <sheetData sheetId="20367" refreshError="1"/>
      <sheetData sheetId="20368" refreshError="1"/>
      <sheetData sheetId="20369" refreshError="1"/>
      <sheetData sheetId="20370"/>
      <sheetData sheetId="20371" refreshError="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 refreshError="1"/>
      <sheetData sheetId="20394" refreshError="1"/>
      <sheetData sheetId="20395"/>
      <sheetData sheetId="20396"/>
      <sheetData sheetId="20397"/>
      <sheetData sheetId="20398" refreshError="1"/>
      <sheetData sheetId="20399"/>
      <sheetData sheetId="20400"/>
      <sheetData sheetId="20401"/>
      <sheetData sheetId="20402" refreshError="1"/>
      <sheetData sheetId="20403" refreshError="1"/>
      <sheetData sheetId="20404"/>
      <sheetData sheetId="20405"/>
      <sheetData sheetId="20406" refreshError="1"/>
      <sheetData sheetId="20407"/>
      <sheetData sheetId="20408"/>
      <sheetData sheetId="20409"/>
      <sheetData sheetId="20410" refreshError="1"/>
      <sheetData sheetId="20411" refreshError="1"/>
      <sheetData sheetId="20412"/>
      <sheetData sheetId="20413"/>
      <sheetData sheetId="20414" refreshError="1"/>
      <sheetData sheetId="20415"/>
      <sheetData sheetId="20416"/>
      <sheetData sheetId="20417"/>
      <sheetData sheetId="20418" refreshError="1"/>
      <sheetData sheetId="20419" refreshError="1"/>
      <sheetData sheetId="20420"/>
      <sheetData sheetId="20421"/>
      <sheetData sheetId="20422" refreshError="1"/>
      <sheetData sheetId="20423"/>
      <sheetData sheetId="20424"/>
      <sheetData sheetId="20425" refreshError="1"/>
      <sheetData sheetId="20426" refreshError="1"/>
      <sheetData sheetId="20427"/>
      <sheetData sheetId="20428"/>
      <sheetData sheetId="20429"/>
      <sheetData sheetId="20430" refreshError="1"/>
      <sheetData sheetId="20431" refreshError="1"/>
      <sheetData sheetId="20432" refreshError="1"/>
      <sheetData sheetId="20433"/>
      <sheetData sheetId="20434" refreshError="1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 refreshError="1"/>
      <sheetData sheetId="20458" refreshError="1"/>
      <sheetData sheetId="20459"/>
      <sheetData sheetId="20460"/>
      <sheetData sheetId="20461" refreshError="1"/>
      <sheetData sheetId="20462"/>
      <sheetData sheetId="20463"/>
      <sheetData sheetId="20464" refreshError="1"/>
      <sheetData sheetId="20465" refreshError="1"/>
      <sheetData sheetId="20466" refreshError="1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 refreshError="1"/>
      <sheetData sheetId="20488" refreshError="1"/>
      <sheetData sheetId="20489"/>
      <sheetData sheetId="20490"/>
      <sheetData sheetId="2049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 refreshError="1"/>
      <sheetData sheetId="20519"/>
      <sheetData sheetId="20520"/>
      <sheetData sheetId="20521"/>
      <sheetData sheetId="20522" refreshError="1"/>
      <sheetData sheetId="20523" refreshError="1"/>
      <sheetData sheetId="20524" refreshError="1"/>
      <sheetData sheetId="20525"/>
      <sheetData sheetId="20526" refreshError="1"/>
      <sheetData sheetId="20527" refreshError="1"/>
      <sheetData sheetId="20528" refreshError="1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 refreshError="1"/>
      <sheetData sheetId="20551" refreshError="1"/>
      <sheetData sheetId="20552"/>
      <sheetData sheetId="20553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 refreshError="1"/>
      <sheetData sheetId="20584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 refreshError="1"/>
      <sheetData sheetId="20612"/>
      <sheetData sheetId="20613"/>
      <sheetData sheetId="20614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/>
      <sheetData sheetId="20622"/>
      <sheetData sheetId="20623"/>
      <sheetData sheetId="20624" refreshError="1"/>
      <sheetData sheetId="20625" refreshError="1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 refreshError="1"/>
      <sheetData sheetId="20643" refreshError="1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 refreshError="1"/>
      <sheetData sheetId="20653"/>
      <sheetData sheetId="20654"/>
      <sheetData sheetId="20655"/>
      <sheetData sheetId="20656" refreshError="1"/>
      <sheetData sheetId="20657" refreshError="1"/>
      <sheetData sheetId="20658"/>
      <sheetData sheetId="20659" refreshError="1"/>
      <sheetData sheetId="20660"/>
      <sheetData sheetId="20661"/>
      <sheetData sheetId="20662" refreshError="1"/>
      <sheetData sheetId="20663" refreshError="1"/>
      <sheetData sheetId="20664" refreshError="1"/>
      <sheetData sheetId="20665" refreshError="1"/>
      <sheetData sheetId="20666"/>
      <sheetData sheetId="20667"/>
      <sheetData sheetId="20668" refreshError="1"/>
      <sheetData sheetId="20669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/>
      <sheetData sheetId="20677"/>
      <sheetData sheetId="20678" refreshError="1"/>
      <sheetData sheetId="20679"/>
      <sheetData sheetId="20680" refreshError="1"/>
      <sheetData sheetId="20681" refreshError="1"/>
      <sheetData sheetId="20682" refreshError="1"/>
      <sheetData sheetId="20683"/>
      <sheetData sheetId="20684" refreshError="1"/>
      <sheetData sheetId="20685"/>
      <sheetData sheetId="20686" refreshError="1"/>
      <sheetData sheetId="20687"/>
      <sheetData sheetId="20688" refreshError="1"/>
      <sheetData sheetId="20689" refreshError="1"/>
      <sheetData sheetId="20690"/>
      <sheetData sheetId="2069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/>
      <sheetData sheetId="20698"/>
      <sheetData sheetId="20699"/>
      <sheetData sheetId="20700"/>
      <sheetData sheetId="20701"/>
      <sheetData sheetId="20702" refreshError="1"/>
      <sheetData sheetId="20703" refreshError="1"/>
      <sheetData sheetId="20704"/>
      <sheetData sheetId="20705" refreshError="1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 refreshError="1"/>
      <sheetData sheetId="20729"/>
      <sheetData sheetId="20730"/>
      <sheetData sheetId="20731" refreshError="1"/>
      <sheetData sheetId="20732"/>
      <sheetData sheetId="20733" refreshError="1"/>
      <sheetData sheetId="20734"/>
      <sheetData sheetId="20735" refreshError="1"/>
      <sheetData sheetId="20736" refreshError="1"/>
      <sheetData sheetId="20737" refreshError="1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 refreshError="1"/>
      <sheetData sheetId="20762"/>
      <sheetData sheetId="20763" refreshError="1"/>
      <sheetData sheetId="20764" refreshError="1"/>
      <sheetData sheetId="20765"/>
      <sheetData sheetId="20766"/>
      <sheetData sheetId="20767"/>
      <sheetData sheetId="20768"/>
      <sheetData sheetId="20769" refreshError="1"/>
      <sheetData sheetId="20770"/>
      <sheetData sheetId="20771" refreshError="1"/>
      <sheetData sheetId="20772" refreshError="1"/>
      <sheetData sheetId="20773"/>
      <sheetData sheetId="20774" refreshError="1"/>
      <sheetData sheetId="20775"/>
      <sheetData sheetId="20776"/>
      <sheetData sheetId="20777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/>
      <sheetData sheetId="20784"/>
      <sheetData sheetId="20785" refreshError="1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 refreshError="1"/>
      <sheetData sheetId="20809"/>
      <sheetData sheetId="20810"/>
      <sheetData sheetId="2081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/>
      <sheetData sheetId="20819"/>
      <sheetData sheetId="20820"/>
      <sheetData sheetId="20821"/>
      <sheetData sheetId="20822" refreshError="1"/>
      <sheetData sheetId="20823" refreshError="1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 refreshError="1"/>
      <sheetData sheetId="20848" refreshError="1"/>
      <sheetData sheetId="20849"/>
      <sheetData sheetId="20850"/>
      <sheetData sheetId="20851" refreshError="1"/>
      <sheetData sheetId="20852"/>
      <sheetData sheetId="20853"/>
      <sheetData sheetId="20854"/>
      <sheetData sheetId="20855" refreshError="1"/>
      <sheetData sheetId="20856" refreshError="1"/>
      <sheetData sheetId="20857"/>
      <sheetData sheetId="20858"/>
      <sheetData sheetId="20859" refreshError="1"/>
      <sheetData sheetId="20860" refreshError="1"/>
      <sheetData sheetId="20861"/>
      <sheetData sheetId="20862"/>
      <sheetData sheetId="20863" refreshError="1"/>
      <sheetData sheetId="20864" refreshError="1"/>
      <sheetData sheetId="20865" refreshError="1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 refreshError="1"/>
      <sheetData sheetId="20888"/>
      <sheetData sheetId="20889" refreshError="1"/>
      <sheetData sheetId="20890"/>
      <sheetData sheetId="20891" refreshError="1"/>
      <sheetData sheetId="20892" refreshError="1"/>
      <sheetData sheetId="20893"/>
      <sheetData sheetId="20894" refreshError="1"/>
      <sheetData sheetId="20895" refreshError="1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 refreshError="1"/>
      <sheetData sheetId="20918" refreshError="1"/>
      <sheetData sheetId="20919"/>
      <sheetData sheetId="20920"/>
      <sheetData sheetId="20921"/>
      <sheetData sheetId="20922" refreshError="1"/>
      <sheetData sheetId="20923" refreshError="1"/>
      <sheetData sheetId="20924" refreshError="1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 refreshError="1"/>
      <sheetData sheetId="20950"/>
      <sheetData sheetId="20951"/>
      <sheetData sheetId="20952"/>
      <sheetData sheetId="20953" refreshError="1"/>
      <sheetData sheetId="20954" refreshError="1"/>
      <sheetData sheetId="20955"/>
      <sheetData sheetId="20956"/>
      <sheetData sheetId="20957" refreshError="1"/>
      <sheetData sheetId="20958" refreshError="1"/>
      <sheetData sheetId="20959"/>
      <sheetData sheetId="20960"/>
      <sheetData sheetId="20961" refreshError="1"/>
      <sheetData sheetId="20962"/>
      <sheetData sheetId="20963"/>
      <sheetData sheetId="20964"/>
      <sheetData sheetId="20965"/>
      <sheetData sheetId="20966"/>
      <sheetData sheetId="20967" refreshError="1"/>
      <sheetData sheetId="20968" refreshError="1"/>
      <sheetData sheetId="20969"/>
      <sheetData sheetId="20970"/>
      <sheetData sheetId="20971"/>
      <sheetData sheetId="20972" refreshError="1"/>
      <sheetData sheetId="20973"/>
      <sheetData sheetId="20974"/>
      <sheetData sheetId="20975" refreshError="1"/>
      <sheetData sheetId="20976" refreshError="1"/>
      <sheetData sheetId="20977"/>
      <sheetData sheetId="20978"/>
      <sheetData sheetId="20979"/>
      <sheetData sheetId="20980" refreshError="1"/>
      <sheetData sheetId="20981" refreshError="1"/>
      <sheetData sheetId="20982" refreshError="1"/>
      <sheetData sheetId="20983"/>
      <sheetData sheetId="20984" refreshError="1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 refreshError="1"/>
      <sheetData sheetId="21007" refreshError="1"/>
      <sheetData sheetId="21008" refreshError="1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 refreshError="1"/>
      <sheetData sheetId="21030"/>
      <sheetData sheetId="21031"/>
      <sheetData sheetId="21032" refreshError="1"/>
      <sheetData sheetId="21033"/>
      <sheetData sheetId="21034"/>
      <sheetData sheetId="21035" refreshError="1"/>
      <sheetData sheetId="21036" refreshError="1"/>
      <sheetData sheetId="21037" refreshError="1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 refreshError="1"/>
      <sheetData sheetId="21059" refreshError="1"/>
      <sheetData sheetId="21060"/>
      <sheetData sheetId="21061"/>
      <sheetData sheetId="21062" refreshError="1"/>
      <sheetData sheetId="21063"/>
      <sheetData sheetId="21064"/>
      <sheetData sheetId="21065" refreshError="1"/>
      <sheetData sheetId="21066" refreshError="1"/>
      <sheetData sheetId="21067" refreshError="1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 refreshError="1"/>
      <sheetData sheetId="21090" refreshError="1"/>
      <sheetData sheetId="21091"/>
      <sheetData sheetId="21092"/>
      <sheetData sheetId="21093" refreshError="1"/>
      <sheetData sheetId="21094"/>
      <sheetData sheetId="21095"/>
      <sheetData sheetId="21096" refreshError="1"/>
      <sheetData sheetId="21097" refreshError="1"/>
      <sheetData sheetId="21098" refreshError="1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 refreshError="1"/>
      <sheetData sheetId="21120" refreshError="1"/>
      <sheetData sheetId="21121"/>
      <sheetData sheetId="21122"/>
      <sheetData sheetId="21123"/>
      <sheetData sheetId="21124" refreshError="1"/>
      <sheetData sheetId="21125"/>
      <sheetData sheetId="21126"/>
      <sheetData sheetId="21127"/>
      <sheetData sheetId="21128" refreshError="1"/>
      <sheetData sheetId="21129" refreshError="1"/>
      <sheetData sheetId="21130"/>
      <sheetData sheetId="21131"/>
      <sheetData sheetId="21132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/>
      <sheetData sheetId="21139"/>
      <sheetData sheetId="21140"/>
      <sheetData sheetId="21141"/>
      <sheetData sheetId="21142"/>
      <sheetData sheetId="21143" refreshError="1"/>
      <sheetData sheetId="21144" refreshError="1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 refreshError="1"/>
      <sheetData sheetId="21169" refreshError="1"/>
      <sheetData sheetId="21170" refreshError="1"/>
      <sheetData sheetId="21171" refreshError="1"/>
      <sheetData sheetId="21172"/>
      <sheetData sheetId="21173"/>
      <sheetData sheetId="21174"/>
      <sheetData sheetId="21175" refreshError="1"/>
      <sheetData sheetId="21176" refreshError="1"/>
      <sheetData sheetId="21177" refreshError="1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 refreshError="1"/>
      <sheetData sheetId="21193"/>
      <sheetData sheetId="21194"/>
      <sheetData sheetId="21195"/>
      <sheetData sheetId="21196"/>
      <sheetData sheetId="21197"/>
      <sheetData sheetId="21198"/>
      <sheetData sheetId="21199" refreshError="1"/>
      <sheetData sheetId="21200" refreshError="1"/>
      <sheetData sheetId="21201" refreshError="1"/>
      <sheetData sheetId="21202" refreshError="1"/>
      <sheetData sheetId="21203"/>
      <sheetData sheetId="21204"/>
      <sheetData sheetId="21205"/>
      <sheetData sheetId="21206" refreshError="1"/>
      <sheetData sheetId="21207" refreshError="1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 refreshError="1"/>
      <sheetData sheetId="21231" refreshError="1"/>
      <sheetData sheetId="21232" refreshError="1"/>
      <sheetData sheetId="21233" refreshError="1"/>
      <sheetData sheetId="21234"/>
      <sheetData sheetId="21235"/>
      <sheetData sheetId="21236"/>
      <sheetData sheetId="21237" refreshError="1"/>
      <sheetData sheetId="21238" refreshError="1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 refreshError="1"/>
      <sheetData sheetId="21262" refreshError="1"/>
      <sheetData sheetId="21263"/>
      <sheetData sheetId="21264"/>
      <sheetData sheetId="21265"/>
      <sheetData sheetId="21266" refreshError="1"/>
      <sheetData sheetId="21267"/>
      <sheetData sheetId="21268"/>
      <sheetData sheetId="21269"/>
      <sheetData sheetId="21270" refreshError="1"/>
      <sheetData sheetId="21271" refreshError="1"/>
      <sheetData sheetId="21272"/>
      <sheetData sheetId="21273"/>
      <sheetData sheetId="21274"/>
      <sheetData sheetId="21275" refreshError="1"/>
      <sheetData sheetId="21276"/>
      <sheetData sheetId="21277"/>
      <sheetData sheetId="21278"/>
      <sheetData sheetId="21279"/>
      <sheetData sheetId="21280"/>
      <sheetData sheetId="21281" refreshError="1"/>
      <sheetData sheetId="21282" refreshError="1"/>
      <sheetData sheetId="21283"/>
      <sheetData sheetId="21284"/>
      <sheetData sheetId="21285"/>
      <sheetData sheetId="21286" refreshError="1"/>
      <sheetData sheetId="21287" refreshError="1"/>
      <sheetData sheetId="21288"/>
      <sheetData sheetId="21289"/>
      <sheetData sheetId="21290"/>
      <sheetData sheetId="21291" refreshError="1"/>
      <sheetData sheetId="21292" refreshError="1"/>
      <sheetData sheetId="21293" refreshError="1"/>
      <sheetData sheetId="21294"/>
      <sheetData sheetId="21295"/>
      <sheetData sheetId="21296" refreshError="1"/>
      <sheetData sheetId="21297" refreshError="1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 refreshError="1"/>
      <sheetData sheetId="21328" refreshError="1"/>
      <sheetData sheetId="21329"/>
      <sheetData sheetId="21330"/>
      <sheetData sheetId="21331" refreshError="1"/>
      <sheetData sheetId="21332"/>
      <sheetData sheetId="21333" refreshError="1"/>
      <sheetData sheetId="21334" refreshError="1"/>
      <sheetData sheetId="21335"/>
      <sheetData sheetId="21336"/>
      <sheetData sheetId="21337"/>
      <sheetData sheetId="21338" refreshError="1"/>
      <sheetData sheetId="21339" refreshError="1"/>
      <sheetData sheetId="21340" refreshError="1"/>
      <sheetData sheetId="21341"/>
      <sheetData sheetId="21342" refreshError="1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 refreshError="1"/>
      <sheetData sheetId="21364" refreshError="1"/>
      <sheetData sheetId="21365"/>
      <sheetData sheetId="21366"/>
      <sheetData sheetId="21367"/>
      <sheetData sheetId="21368" refreshError="1"/>
      <sheetData sheetId="21369" refreshError="1"/>
      <sheetData sheetId="21370"/>
      <sheetData sheetId="21371"/>
      <sheetData sheetId="21372"/>
      <sheetData sheetId="21373" refreshError="1"/>
      <sheetData sheetId="21374"/>
      <sheetData sheetId="21375"/>
      <sheetData sheetId="21376" refreshError="1"/>
      <sheetData sheetId="21377" refreshError="1"/>
      <sheetData sheetId="21378"/>
      <sheetData sheetId="21379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/>
      <sheetData sheetId="21386"/>
      <sheetData sheetId="21387"/>
      <sheetData sheetId="21388"/>
      <sheetData sheetId="21389"/>
      <sheetData sheetId="21390" refreshError="1"/>
      <sheetData sheetId="21391" refreshError="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 refreshError="1"/>
      <sheetData sheetId="21408" refreshError="1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 refreshError="1"/>
      <sheetData sheetId="21417" refreshError="1"/>
      <sheetData sheetId="21418"/>
      <sheetData sheetId="21419"/>
      <sheetData sheetId="21420" refreshError="1"/>
      <sheetData sheetId="21421"/>
      <sheetData sheetId="21422"/>
      <sheetData sheetId="21423"/>
      <sheetData sheetId="21424" refreshError="1"/>
      <sheetData sheetId="21425" refreshError="1"/>
      <sheetData sheetId="21426"/>
      <sheetData sheetId="21427"/>
      <sheetData sheetId="21428" refreshError="1"/>
      <sheetData sheetId="21429" refreshError="1"/>
      <sheetData sheetId="21430"/>
      <sheetData sheetId="21431" refreshError="1"/>
      <sheetData sheetId="21432" refreshError="1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/>
      <sheetData sheetId="21654"/>
      <sheetData sheetId="21655"/>
      <sheetData sheetId="21656" refreshError="1"/>
      <sheetData sheetId="21657"/>
      <sheetData sheetId="21658" refreshError="1"/>
      <sheetData sheetId="21659" refreshError="1"/>
      <sheetData sheetId="21660"/>
      <sheetData sheetId="21661"/>
      <sheetData sheetId="21662"/>
      <sheetData sheetId="21663" refreshError="1"/>
      <sheetData sheetId="21664"/>
      <sheetData sheetId="21665"/>
      <sheetData sheetId="21666"/>
      <sheetData sheetId="21667" refreshError="1"/>
      <sheetData sheetId="21668" refreshError="1"/>
      <sheetData sheetId="21669"/>
      <sheetData sheetId="21670"/>
      <sheetData sheetId="21671"/>
      <sheetData sheetId="21672" refreshError="1"/>
      <sheetData sheetId="21673"/>
      <sheetData sheetId="21674"/>
      <sheetData sheetId="21675" refreshError="1"/>
      <sheetData sheetId="21676"/>
      <sheetData sheetId="21677" refreshError="1"/>
      <sheetData sheetId="21678" refreshError="1"/>
      <sheetData sheetId="21679"/>
      <sheetData sheetId="21680"/>
      <sheetData sheetId="21681"/>
      <sheetData sheetId="21682" refreshError="1"/>
      <sheetData sheetId="21683"/>
      <sheetData sheetId="21684"/>
      <sheetData sheetId="21685" refreshError="1"/>
      <sheetData sheetId="21686" refreshError="1"/>
      <sheetData sheetId="21687" refreshError="1"/>
      <sheetData sheetId="21688"/>
      <sheetData sheetId="21689"/>
      <sheetData sheetId="21690" refreshError="1"/>
      <sheetData sheetId="21691" refreshError="1"/>
      <sheetData sheetId="21692"/>
      <sheetData sheetId="21693"/>
      <sheetData sheetId="21694"/>
      <sheetData sheetId="21695" refreshError="1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 refreshError="1"/>
      <sheetData sheetId="21707"/>
      <sheetData sheetId="21708" refreshError="1"/>
      <sheetData sheetId="21709" refreshError="1"/>
      <sheetData sheetId="21710" refreshError="1"/>
      <sheetData sheetId="21711" refreshError="1"/>
      <sheetData sheetId="21712"/>
      <sheetData sheetId="21713"/>
      <sheetData sheetId="21714" refreshError="1"/>
      <sheetData sheetId="21715" refreshError="1"/>
      <sheetData sheetId="21716" refreshError="1"/>
      <sheetData sheetId="21717"/>
      <sheetData sheetId="21718"/>
      <sheetData sheetId="21719"/>
      <sheetData sheetId="21720" refreshError="1"/>
      <sheetData sheetId="21721"/>
      <sheetData sheetId="21722"/>
      <sheetData sheetId="21723"/>
      <sheetData sheetId="21724"/>
      <sheetData sheetId="21725"/>
      <sheetData sheetId="21726"/>
      <sheetData sheetId="21727"/>
      <sheetData sheetId="21728"/>
      <sheetData sheetId="21729"/>
      <sheetData sheetId="21730"/>
      <sheetData sheetId="21731"/>
      <sheetData sheetId="21732"/>
      <sheetData sheetId="21733"/>
      <sheetData sheetId="21734"/>
      <sheetData sheetId="21735"/>
      <sheetData sheetId="21736"/>
      <sheetData sheetId="21737"/>
      <sheetData sheetId="21738"/>
      <sheetData sheetId="21739"/>
      <sheetData sheetId="21740"/>
      <sheetData sheetId="21741"/>
      <sheetData sheetId="21742"/>
      <sheetData sheetId="21743"/>
      <sheetData sheetId="21744"/>
      <sheetData sheetId="21745"/>
      <sheetData sheetId="21746"/>
      <sheetData sheetId="21747"/>
      <sheetData sheetId="21748"/>
      <sheetData sheetId="21749"/>
      <sheetData sheetId="21750"/>
      <sheetData sheetId="21751"/>
      <sheetData sheetId="21752"/>
      <sheetData sheetId="21753"/>
      <sheetData sheetId="21754"/>
      <sheetData sheetId="21755"/>
      <sheetData sheetId="21756"/>
      <sheetData sheetId="21757"/>
      <sheetData sheetId="21758"/>
      <sheetData sheetId="21759"/>
      <sheetData sheetId="21760"/>
      <sheetData sheetId="21761"/>
      <sheetData sheetId="21762"/>
      <sheetData sheetId="21763"/>
      <sheetData sheetId="21764"/>
      <sheetData sheetId="21765"/>
      <sheetData sheetId="21766"/>
      <sheetData sheetId="21767"/>
      <sheetData sheetId="21768"/>
      <sheetData sheetId="21769"/>
      <sheetData sheetId="21770"/>
      <sheetData sheetId="21771"/>
      <sheetData sheetId="21772"/>
      <sheetData sheetId="21773"/>
      <sheetData sheetId="21774"/>
      <sheetData sheetId="21775"/>
      <sheetData sheetId="21776"/>
      <sheetData sheetId="21777"/>
      <sheetData sheetId="21778"/>
      <sheetData sheetId="21779"/>
      <sheetData sheetId="21780"/>
      <sheetData sheetId="21781"/>
      <sheetData sheetId="21782"/>
      <sheetData sheetId="21783"/>
      <sheetData sheetId="21784" refreshError="1"/>
      <sheetData sheetId="21785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/>
      <sheetData sheetId="21795" refreshError="1"/>
      <sheetData sheetId="21796" refreshError="1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/>
      <sheetData sheetId="21816"/>
      <sheetData sheetId="21817"/>
      <sheetData sheetId="21818" refreshError="1"/>
      <sheetData sheetId="21819" refreshError="1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 refreshError="1"/>
      <sheetData sheetId="21842" refreshError="1"/>
      <sheetData sheetId="21843"/>
      <sheetData sheetId="21844" refreshError="1"/>
      <sheetData sheetId="21845" refreshError="1"/>
      <sheetData sheetId="21846" refreshError="1"/>
      <sheetData sheetId="21847"/>
      <sheetData sheetId="21848" refreshError="1"/>
      <sheetData sheetId="21849" refreshError="1"/>
      <sheetData sheetId="21850" refreshError="1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/>
      <sheetData sheetId="21878"/>
      <sheetData sheetId="21879"/>
      <sheetData sheetId="21880" refreshError="1"/>
      <sheetData sheetId="21881"/>
      <sheetData sheetId="21882"/>
      <sheetData sheetId="21883" refreshError="1"/>
      <sheetData sheetId="21884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/>
      <sheetData sheetId="21896" refreshError="1"/>
      <sheetData sheetId="21897"/>
      <sheetData sheetId="21898"/>
      <sheetData sheetId="21899"/>
      <sheetData sheetId="21900" refreshError="1"/>
      <sheetData sheetId="21901"/>
      <sheetData sheetId="21902" refreshError="1"/>
      <sheetData sheetId="21903"/>
      <sheetData sheetId="21904"/>
      <sheetData sheetId="21905" refreshError="1"/>
      <sheetData sheetId="21906"/>
      <sheetData sheetId="21907"/>
      <sheetData sheetId="21908" refreshError="1"/>
      <sheetData sheetId="21909" refreshError="1"/>
      <sheetData sheetId="21910" refreshError="1"/>
      <sheetData sheetId="21911" refreshError="1"/>
      <sheetData sheetId="21912"/>
      <sheetData sheetId="21913" refreshError="1"/>
      <sheetData sheetId="21914" refreshError="1"/>
      <sheetData sheetId="21915"/>
      <sheetData sheetId="21916"/>
      <sheetData sheetId="21917" refreshError="1"/>
      <sheetData sheetId="21918"/>
      <sheetData sheetId="21919" refreshError="1"/>
      <sheetData sheetId="21920"/>
      <sheetData sheetId="21921"/>
      <sheetData sheetId="21922"/>
      <sheetData sheetId="21923"/>
      <sheetData sheetId="21924"/>
      <sheetData sheetId="21925"/>
      <sheetData sheetId="21926"/>
      <sheetData sheetId="21927"/>
      <sheetData sheetId="21928"/>
      <sheetData sheetId="21929"/>
      <sheetData sheetId="21930"/>
      <sheetData sheetId="21931"/>
      <sheetData sheetId="21932"/>
      <sheetData sheetId="21933"/>
      <sheetData sheetId="21934"/>
      <sheetData sheetId="21935"/>
      <sheetData sheetId="21936"/>
      <sheetData sheetId="21937"/>
      <sheetData sheetId="21938"/>
      <sheetData sheetId="21939"/>
      <sheetData sheetId="21940"/>
      <sheetData sheetId="21941"/>
      <sheetData sheetId="21942"/>
      <sheetData sheetId="21943"/>
      <sheetData sheetId="21944"/>
      <sheetData sheetId="21945" refreshError="1"/>
      <sheetData sheetId="21946"/>
      <sheetData sheetId="21947" refreshError="1"/>
      <sheetData sheetId="21948"/>
      <sheetData sheetId="21949"/>
      <sheetData sheetId="21950" refreshError="1"/>
      <sheetData sheetId="21951" refreshError="1"/>
      <sheetData sheetId="21952"/>
      <sheetData sheetId="21953"/>
      <sheetData sheetId="21954"/>
      <sheetData sheetId="21955" refreshError="1"/>
      <sheetData sheetId="21956"/>
      <sheetData sheetId="21957" refreshError="1"/>
      <sheetData sheetId="21958" refreshError="1"/>
      <sheetData sheetId="21959" refreshError="1"/>
      <sheetData sheetId="21960" refreshError="1"/>
      <sheetData sheetId="21961"/>
      <sheetData sheetId="21962"/>
      <sheetData sheetId="21963" refreshError="1"/>
      <sheetData sheetId="21964" refreshError="1"/>
      <sheetData sheetId="21965"/>
      <sheetData sheetId="21966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/>
      <sheetData sheetId="21974"/>
      <sheetData sheetId="21975" refreshError="1"/>
      <sheetData sheetId="21976" refreshError="1"/>
      <sheetData sheetId="21977" refreshError="1"/>
      <sheetData sheetId="21978"/>
      <sheetData sheetId="21979"/>
      <sheetData sheetId="21980"/>
      <sheetData sheetId="21981"/>
      <sheetData sheetId="21982"/>
      <sheetData sheetId="21983"/>
      <sheetData sheetId="21984"/>
      <sheetData sheetId="21985"/>
      <sheetData sheetId="21986"/>
      <sheetData sheetId="21987"/>
      <sheetData sheetId="21988"/>
      <sheetData sheetId="21989"/>
      <sheetData sheetId="21990"/>
      <sheetData sheetId="21991"/>
      <sheetData sheetId="21992"/>
      <sheetData sheetId="21993"/>
      <sheetData sheetId="21994"/>
      <sheetData sheetId="21995"/>
      <sheetData sheetId="21996"/>
      <sheetData sheetId="21997"/>
      <sheetData sheetId="21998"/>
      <sheetData sheetId="21999"/>
      <sheetData sheetId="22000" refreshError="1"/>
      <sheetData sheetId="22001" refreshError="1"/>
      <sheetData sheetId="22002"/>
      <sheetData sheetId="22003"/>
      <sheetData sheetId="22004"/>
      <sheetData sheetId="22005" refreshError="1"/>
      <sheetData sheetId="22006" refreshError="1"/>
      <sheetData sheetId="22007" refreshError="1"/>
      <sheetData sheetId="22008"/>
      <sheetData sheetId="22009" refreshError="1"/>
      <sheetData sheetId="22010"/>
      <sheetData sheetId="22011"/>
      <sheetData sheetId="22012"/>
      <sheetData sheetId="22013"/>
      <sheetData sheetId="22014"/>
      <sheetData sheetId="22015"/>
      <sheetData sheetId="22016"/>
      <sheetData sheetId="22017"/>
      <sheetData sheetId="22018"/>
      <sheetData sheetId="22019"/>
      <sheetData sheetId="22020"/>
      <sheetData sheetId="22021"/>
      <sheetData sheetId="22022"/>
      <sheetData sheetId="22023"/>
      <sheetData sheetId="22024"/>
      <sheetData sheetId="22025"/>
      <sheetData sheetId="22026"/>
      <sheetData sheetId="22027"/>
      <sheetData sheetId="22028"/>
      <sheetData sheetId="22029"/>
      <sheetData sheetId="22030"/>
      <sheetData sheetId="22031" refreshError="1"/>
      <sheetData sheetId="22032" refreshError="1"/>
      <sheetData sheetId="22033"/>
      <sheetData sheetId="22034"/>
      <sheetData sheetId="22035"/>
      <sheetData sheetId="22036" refreshError="1"/>
      <sheetData sheetId="22037"/>
      <sheetData sheetId="22038"/>
      <sheetData sheetId="22039"/>
      <sheetData sheetId="22040" refreshError="1"/>
      <sheetData sheetId="22041" refreshError="1"/>
      <sheetData sheetId="22042"/>
      <sheetData sheetId="22043"/>
      <sheetData sheetId="22044"/>
      <sheetData sheetId="22045" refreshError="1"/>
      <sheetData sheetId="22046"/>
      <sheetData sheetId="22047"/>
      <sheetData sheetId="22048" refreshError="1"/>
      <sheetData sheetId="22049" refreshError="1"/>
      <sheetData sheetId="22050"/>
      <sheetData sheetId="22051"/>
      <sheetData sheetId="22052" refreshError="1"/>
      <sheetData sheetId="22053"/>
      <sheetData sheetId="22054"/>
      <sheetData sheetId="22055"/>
      <sheetData sheetId="22056" refreshError="1"/>
      <sheetData sheetId="22057" refreshError="1"/>
      <sheetData sheetId="22058"/>
      <sheetData sheetId="22059"/>
      <sheetData sheetId="22060" refreshError="1"/>
      <sheetData sheetId="22061"/>
      <sheetData sheetId="22062"/>
      <sheetData sheetId="22063"/>
      <sheetData sheetId="22064" refreshError="1"/>
      <sheetData sheetId="22065" refreshError="1"/>
      <sheetData sheetId="22066" refreshError="1"/>
      <sheetData sheetId="22067" refreshError="1"/>
      <sheetData sheetId="22068"/>
      <sheetData sheetId="22069"/>
      <sheetData sheetId="22070" refreshError="1"/>
      <sheetData sheetId="22071"/>
      <sheetData sheetId="22072"/>
      <sheetData sheetId="22073" refreshError="1"/>
      <sheetData sheetId="22074" refreshError="1"/>
      <sheetData sheetId="22075"/>
      <sheetData sheetId="22076"/>
      <sheetData sheetId="22077" refreshError="1"/>
      <sheetData sheetId="22078"/>
      <sheetData sheetId="22079"/>
      <sheetData sheetId="22080"/>
      <sheetData sheetId="22081"/>
      <sheetData sheetId="22082" refreshError="1"/>
      <sheetData sheetId="22083" refreshError="1"/>
      <sheetData sheetId="22084" refreshError="1"/>
      <sheetData sheetId="22085" refreshError="1"/>
      <sheetData sheetId="22086"/>
      <sheetData sheetId="22087"/>
      <sheetData sheetId="22088" refreshError="1"/>
      <sheetData sheetId="22089"/>
      <sheetData sheetId="22090"/>
      <sheetData sheetId="22091" refreshError="1"/>
      <sheetData sheetId="22092" refreshError="1"/>
      <sheetData sheetId="22093" refreshError="1"/>
      <sheetData sheetId="22094"/>
      <sheetData sheetId="22095"/>
      <sheetData sheetId="22096"/>
      <sheetData sheetId="22097"/>
      <sheetData sheetId="22098"/>
      <sheetData sheetId="22099"/>
      <sheetData sheetId="22100"/>
      <sheetData sheetId="22101"/>
      <sheetData sheetId="22102"/>
      <sheetData sheetId="22103"/>
      <sheetData sheetId="22104"/>
      <sheetData sheetId="22105"/>
      <sheetData sheetId="22106"/>
      <sheetData sheetId="22107"/>
      <sheetData sheetId="22108"/>
      <sheetData sheetId="22109"/>
      <sheetData sheetId="22110"/>
      <sheetData sheetId="22111"/>
      <sheetData sheetId="22112"/>
      <sheetData sheetId="22113"/>
      <sheetData sheetId="22114"/>
      <sheetData sheetId="22115" refreshError="1"/>
      <sheetData sheetId="22116" refreshError="1"/>
      <sheetData sheetId="22117"/>
      <sheetData sheetId="22118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/>
      <sheetData sheetId="22135"/>
      <sheetData sheetId="22136"/>
      <sheetData sheetId="22137"/>
      <sheetData sheetId="22138"/>
      <sheetData sheetId="22139"/>
      <sheetData sheetId="22140"/>
      <sheetData sheetId="22141"/>
      <sheetData sheetId="22142"/>
      <sheetData sheetId="22143"/>
      <sheetData sheetId="22144"/>
      <sheetData sheetId="22145"/>
      <sheetData sheetId="22146" refreshError="1"/>
      <sheetData sheetId="22147" refreshError="1"/>
      <sheetData sheetId="22148"/>
      <sheetData sheetId="22149"/>
      <sheetData sheetId="22150" refreshError="1"/>
      <sheetData sheetId="22151"/>
      <sheetData sheetId="22152"/>
      <sheetData sheetId="22153" refreshError="1"/>
      <sheetData sheetId="22154" refreshError="1"/>
      <sheetData sheetId="22155" refreshError="1"/>
      <sheetData sheetId="22156" refreshError="1"/>
      <sheetData sheetId="22157"/>
      <sheetData sheetId="22158"/>
      <sheetData sheetId="22159" refreshError="1"/>
      <sheetData sheetId="22160"/>
      <sheetData sheetId="22161"/>
      <sheetData sheetId="22162" refreshError="1"/>
      <sheetData sheetId="22163"/>
      <sheetData sheetId="22164"/>
      <sheetData sheetId="22165" refreshError="1"/>
      <sheetData sheetId="22166"/>
      <sheetData sheetId="22167"/>
      <sheetData sheetId="22168"/>
      <sheetData sheetId="22169"/>
      <sheetData sheetId="22170"/>
      <sheetData sheetId="22171"/>
      <sheetData sheetId="22172"/>
      <sheetData sheetId="22173"/>
      <sheetData sheetId="22174"/>
      <sheetData sheetId="22175"/>
      <sheetData sheetId="22176"/>
      <sheetData sheetId="22177"/>
      <sheetData sheetId="22178"/>
      <sheetData sheetId="22179"/>
      <sheetData sheetId="22180"/>
      <sheetData sheetId="22181"/>
      <sheetData sheetId="22182"/>
      <sheetData sheetId="22183"/>
      <sheetData sheetId="22184"/>
      <sheetData sheetId="22185"/>
      <sheetData sheetId="22186"/>
      <sheetData sheetId="22187"/>
      <sheetData sheetId="22188"/>
      <sheetData sheetId="22189"/>
      <sheetData sheetId="22190" refreshError="1"/>
      <sheetData sheetId="22191" refreshError="1"/>
      <sheetData sheetId="22192"/>
      <sheetData sheetId="22193"/>
      <sheetData sheetId="22194" refreshError="1"/>
      <sheetData sheetId="22195"/>
      <sheetData sheetId="22196"/>
      <sheetData sheetId="22197" refreshError="1"/>
      <sheetData sheetId="22198" refreshError="1"/>
      <sheetData sheetId="22199"/>
      <sheetData sheetId="22200"/>
      <sheetData sheetId="22201"/>
      <sheetData sheetId="22202"/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/>
      <sheetData sheetId="22216"/>
      <sheetData sheetId="22217"/>
      <sheetData sheetId="22218"/>
      <sheetData sheetId="22219"/>
      <sheetData sheetId="22220"/>
      <sheetData sheetId="22221"/>
      <sheetData sheetId="22222" refreshError="1"/>
      <sheetData sheetId="22223"/>
      <sheetData sheetId="22224"/>
      <sheetData sheetId="22225"/>
      <sheetData sheetId="22226"/>
      <sheetData sheetId="22227"/>
      <sheetData sheetId="22228"/>
      <sheetData sheetId="22229" refreshError="1"/>
      <sheetData sheetId="22230"/>
      <sheetData sheetId="22231"/>
      <sheetData sheetId="22232"/>
      <sheetData sheetId="22233" refreshError="1"/>
      <sheetData sheetId="22234" refreshError="1"/>
      <sheetData sheetId="22235" refreshError="1"/>
      <sheetData sheetId="22236" refreshError="1"/>
      <sheetData sheetId="22237"/>
      <sheetData sheetId="22238"/>
      <sheetData sheetId="22239"/>
      <sheetData sheetId="22240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/>
      <sheetData sheetId="22250" refreshError="1"/>
      <sheetData sheetId="22251"/>
      <sheetData sheetId="22252"/>
      <sheetData sheetId="22253"/>
      <sheetData sheetId="22254"/>
      <sheetData sheetId="22255"/>
      <sheetData sheetId="22256"/>
      <sheetData sheetId="22257"/>
      <sheetData sheetId="22258"/>
      <sheetData sheetId="22259"/>
      <sheetData sheetId="22260"/>
      <sheetData sheetId="22261"/>
      <sheetData sheetId="22262"/>
      <sheetData sheetId="22263"/>
      <sheetData sheetId="22264"/>
      <sheetData sheetId="22265"/>
      <sheetData sheetId="22266"/>
      <sheetData sheetId="22267"/>
      <sheetData sheetId="22268" refreshError="1"/>
      <sheetData sheetId="22269"/>
      <sheetData sheetId="22270" refreshError="1"/>
      <sheetData sheetId="22271"/>
      <sheetData sheetId="22272" refreshError="1"/>
      <sheetData sheetId="22273" refreshError="1"/>
      <sheetData sheetId="22274" refreshError="1"/>
      <sheetData sheetId="22275" refreshError="1"/>
      <sheetData sheetId="22276"/>
      <sheetData sheetId="22277"/>
      <sheetData sheetId="22278"/>
      <sheetData sheetId="22279" refreshError="1"/>
      <sheetData sheetId="22280" refreshError="1"/>
      <sheetData sheetId="22281" refreshError="1"/>
      <sheetData sheetId="22282"/>
      <sheetData sheetId="22283" refreshError="1"/>
      <sheetData sheetId="22284" refreshError="1"/>
      <sheetData sheetId="22285"/>
      <sheetData sheetId="22286"/>
      <sheetData sheetId="22287"/>
      <sheetData sheetId="22288" refreshError="1"/>
      <sheetData sheetId="22289" refreshError="1"/>
      <sheetData sheetId="22290" refreshError="1"/>
      <sheetData sheetId="22291"/>
      <sheetData sheetId="22292" refreshError="1"/>
      <sheetData sheetId="22293"/>
      <sheetData sheetId="22294" refreshError="1"/>
      <sheetData sheetId="22295"/>
      <sheetData sheetId="22296"/>
      <sheetData sheetId="22297" refreshError="1"/>
      <sheetData sheetId="22298"/>
      <sheetData sheetId="22299"/>
      <sheetData sheetId="22300" refreshError="1"/>
      <sheetData sheetId="22301"/>
      <sheetData sheetId="22302"/>
      <sheetData sheetId="22303" refreshError="1"/>
      <sheetData sheetId="22304" refreshError="1"/>
      <sheetData sheetId="22305"/>
      <sheetData sheetId="22306"/>
      <sheetData sheetId="22307"/>
      <sheetData sheetId="22308"/>
      <sheetData sheetId="22309"/>
      <sheetData sheetId="22310" refreshError="1"/>
      <sheetData sheetId="22311" refreshError="1"/>
      <sheetData sheetId="22312"/>
      <sheetData sheetId="22313"/>
      <sheetData sheetId="22314"/>
      <sheetData sheetId="22315"/>
      <sheetData sheetId="22316"/>
      <sheetData sheetId="22317"/>
      <sheetData sheetId="22318"/>
      <sheetData sheetId="22319"/>
      <sheetData sheetId="22320"/>
      <sheetData sheetId="22321"/>
      <sheetData sheetId="22322"/>
      <sheetData sheetId="22323"/>
      <sheetData sheetId="22324"/>
      <sheetData sheetId="22325"/>
      <sheetData sheetId="22326"/>
      <sheetData sheetId="22327"/>
      <sheetData sheetId="22328"/>
      <sheetData sheetId="22329"/>
      <sheetData sheetId="22330"/>
      <sheetData sheetId="22331"/>
      <sheetData sheetId="22332"/>
      <sheetData sheetId="22333"/>
      <sheetData sheetId="22334"/>
      <sheetData sheetId="22335"/>
      <sheetData sheetId="22336"/>
      <sheetData sheetId="22337"/>
      <sheetData sheetId="22338"/>
      <sheetData sheetId="22339"/>
      <sheetData sheetId="22340"/>
      <sheetData sheetId="22341"/>
      <sheetData sheetId="22342"/>
      <sheetData sheetId="22343"/>
      <sheetData sheetId="22344"/>
      <sheetData sheetId="22345"/>
      <sheetData sheetId="22346"/>
      <sheetData sheetId="22347"/>
      <sheetData sheetId="22348"/>
      <sheetData sheetId="22349"/>
      <sheetData sheetId="22350"/>
      <sheetData sheetId="22351"/>
      <sheetData sheetId="22352"/>
      <sheetData sheetId="22353"/>
      <sheetData sheetId="22354"/>
      <sheetData sheetId="22355"/>
      <sheetData sheetId="22356"/>
      <sheetData sheetId="22357"/>
      <sheetData sheetId="22358"/>
      <sheetData sheetId="22359"/>
      <sheetData sheetId="22360"/>
      <sheetData sheetId="22361"/>
      <sheetData sheetId="22362"/>
      <sheetData sheetId="22363"/>
      <sheetData sheetId="22364"/>
      <sheetData sheetId="22365" refreshError="1"/>
      <sheetData sheetId="22366"/>
      <sheetData sheetId="22367"/>
      <sheetData sheetId="22368"/>
      <sheetData sheetId="22369"/>
      <sheetData sheetId="22370"/>
      <sheetData sheetId="22371"/>
      <sheetData sheetId="22372"/>
      <sheetData sheetId="22373"/>
      <sheetData sheetId="22374" refreshError="1"/>
      <sheetData sheetId="22375" refreshError="1"/>
      <sheetData sheetId="22376"/>
      <sheetData sheetId="22377"/>
      <sheetData sheetId="22378"/>
      <sheetData sheetId="22379" refreshError="1"/>
      <sheetData sheetId="22380"/>
      <sheetData sheetId="22381"/>
      <sheetData sheetId="22382"/>
      <sheetData sheetId="22383" refreshError="1"/>
      <sheetData sheetId="22384" refreshError="1"/>
      <sheetData sheetId="22385"/>
      <sheetData sheetId="22386"/>
      <sheetData sheetId="22387"/>
      <sheetData sheetId="22388" refreshError="1"/>
      <sheetData sheetId="22389" refreshError="1"/>
      <sheetData sheetId="22390"/>
      <sheetData sheetId="22391"/>
      <sheetData sheetId="22392"/>
      <sheetData sheetId="22393" refreshError="1"/>
      <sheetData sheetId="22394"/>
      <sheetData sheetId="22395"/>
      <sheetData sheetId="22396"/>
      <sheetData sheetId="22397"/>
      <sheetData sheetId="22398" refreshError="1"/>
      <sheetData sheetId="22399" refreshError="1"/>
      <sheetData sheetId="22400"/>
      <sheetData sheetId="22401"/>
      <sheetData sheetId="22402" refreshError="1"/>
      <sheetData sheetId="22403" refreshError="1"/>
      <sheetData sheetId="22404"/>
      <sheetData sheetId="22405"/>
      <sheetData sheetId="22406"/>
      <sheetData sheetId="22407"/>
      <sheetData sheetId="22408" refreshError="1"/>
      <sheetData sheetId="22409" refreshError="1"/>
      <sheetData sheetId="22410"/>
      <sheetData sheetId="22411"/>
      <sheetData sheetId="22412" refreshError="1"/>
      <sheetData sheetId="22413"/>
      <sheetData sheetId="22414" refreshError="1"/>
      <sheetData sheetId="22415" refreshError="1"/>
      <sheetData sheetId="22416" refreshError="1"/>
      <sheetData sheetId="22417" refreshError="1"/>
      <sheetData sheetId="22418"/>
      <sheetData sheetId="22419"/>
      <sheetData sheetId="22420"/>
      <sheetData sheetId="22421"/>
      <sheetData sheetId="22422"/>
      <sheetData sheetId="22423"/>
      <sheetData sheetId="22424"/>
      <sheetData sheetId="22425"/>
      <sheetData sheetId="22426"/>
      <sheetData sheetId="22427"/>
      <sheetData sheetId="22428"/>
      <sheetData sheetId="22429"/>
      <sheetData sheetId="22430"/>
      <sheetData sheetId="22431"/>
      <sheetData sheetId="22432"/>
      <sheetData sheetId="22433"/>
      <sheetData sheetId="22434"/>
      <sheetData sheetId="22435"/>
      <sheetData sheetId="22436"/>
      <sheetData sheetId="22437"/>
      <sheetData sheetId="22438"/>
      <sheetData sheetId="22439" refreshError="1"/>
      <sheetData sheetId="22440" refreshError="1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 refreshError="1"/>
      <sheetData sheetId="22449" refreshError="1"/>
      <sheetData sheetId="22450" refreshError="1"/>
      <sheetData sheetId="22451" refreshError="1"/>
      <sheetData sheetId="22452"/>
      <sheetData sheetId="22453" refreshError="1"/>
      <sheetData sheetId="22454" refreshError="1"/>
      <sheetData sheetId="22455"/>
      <sheetData sheetId="22456"/>
      <sheetData sheetId="22457" refreshError="1"/>
      <sheetData sheetId="22458"/>
      <sheetData sheetId="22459"/>
      <sheetData sheetId="22460"/>
      <sheetData sheetId="22461" refreshError="1"/>
      <sheetData sheetId="22462" refreshError="1"/>
      <sheetData sheetId="22463"/>
      <sheetData sheetId="22464"/>
      <sheetData sheetId="22465" refreshError="1"/>
      <sheetData sheetId="22466"/>
      <sheetData sheetId="22467"/>
      <sheetData sheetId="22468"/>
      <sheetData sheetId="22469" refreshError="1"/>
      <sheetData sheetId="22470" refreshError="1"/>
      <sheetData sheetId="22471"/>
      <sheetData sheetId="22472"/>
      <sheetData sheetId="22473" refreshError="1"/>
      <sheetData sheetId="22474"/>
      <sheetData sheetId="22475"/>
      <sheetData sheetId="22476"/>
      <sheetData sheetId="22477" refreshError="1"/>
      <sheetData sheetId="22478" refreshError="1"/>
      <sheetData sheetId="22479"/>
      <sheetData sheetId="22480"/>
      <sheetData sheetId="22481" refreshError="1"/>
      <sheetData sheetId="22482"/>
      <sheetData sheetId="22483"/>
      <sheetData sheetId="22484" refreshError="1"/>
      <sheetData sheetId="22485" refreshError="1"/>
      <sheetData sheetId="22486"/>
      <sheetData sheetId="22487"/>
      <sheetData sheetId="22488"/>
      <sheetData sheetId="22489" refreshError="1"/>
      <sheetData sheetId="22490"/>
      <sheetData sheetId="22491"/>
      <sheetData sheetId="22492" refreshError="1"/>
      <sheetData sheetId="22493" refreshError="1"/>
      <sheetData sheetId="22494"/>
      <sheetData sheetId="22495"/>
      <sheetData sheetId="22496"/>
      <sheetData sheetId="22497" refreshError="1"/>
      <sheetData sheetId="22498"/>
      <sheetData sheetId="22499"/>
      <sheetData sheetId="22500"/>
      <sheetData sheetId="22501" refreshError="1"/>
      <sheetData sheetId="22502" refreshError="1"/>
      <sheetData sheetId="22503"/>
      <sheetData sheetId="22504"/>
      <sheetData sheetId="22505" refreshError="1"/>
      <sheetData sheetId="22506"/>
      <sheetData sheetId="22507"/>
      <sheetData sheetId="22508"/>
      <sheetData sheetId="22509" refreshError="1"/>
      <sheetData sheetId="22510" refreshError="1"/>
      <sheetData sheetId="22511"/>
      <sheetData sheetId="22512"/>
      <sheetData sheetId="22513" refreshError="1"/>
      <sheetData sheetId="22514"/>
      <sheetData sheetId="22515"/>
      <sheetData sheetId="22516"/>
      <sheetData sheetId="22517" refreshError="1"/>
      <sheetData sheetId="22518" refreshError="1"/>
      <sheetData sheetId="22519"/>
      <sheetData sheetId="22520"/>
      <sheetData sheetId="22521" refreshError="1"/>
      <sheetData sheetId="22522"/>
      <sheetData sheetId="22523"/>
      <sheetData sheetId="22524"/>
      <sheetData sheetId="22525"/>
      <sheetData sheetId="22526"/>
      <sheetData sheetId="22527"/>
      <sheetData sheetId="22528"/>
      <sheetData sheetId="22529"/>
      <sheetData sheetId="22530"/>
      <sheetData sheetId="22531" refreshError="1"/>
      <sheetData sheetId="22532" refreshError="1"/>
      <sheetData sheetId="22533" refreshError="1"/>
      <sheetData sheetId="22534"/>
      <sheetData sheetId="22535"/>
      <sheetData sheetId="22536" refreshError="1"/>
      <sheetData sheetId="22537"/>
      <sheetData sheetId="22538"/>
      <sheetData sheetId="22539"/>
      <sheetData sheetId="22540"/>
      <sheetData sheetId="22541"/>
      <sheetData sheetId="22542" refreshError="1"/>
      <sheetData sheetId="22543"/>
      <sheetData sheetId="22544" refreshError="1"/>
      <sheetData sheetId="22545" refreshError="1"/>
      <sheetData sheetId="22546" refreshError="1"/>
      <sheetData sheetId="22547" refreshError="1"/>
      <sheetData sheetId="22548"/>
      <sheetData sheetId="22549"/>
      <sheetData sheetId="22550" refreshError="1"/>
      <sheetData sheetId="22551"/>
      <sheetData sheetId="22552" refreshError="1"/>
      <sheetData sheetId="22553" refreshError="1"/>
      <sheetData sheetId="22554"/>
      <sheetData sheetId="22555"/>
      <sheetData sheetId="22556"/>
      <sheetData sheetId="22557"/>
      <sheetData sheetId="22558"/>
      <sheetData sheetId="22559"/>
      <sheetData sheetId="22560"/>
      <sheetData sheetId="22561"/>
      <sheetData sheetId="22562"/>
      <sheetData sheetId="22563"/>
      <sheetData sheetId="22564"/>
      <sheetData sheetId="22565"/>
      <sheetData sheetId="22566"/>
      <sheetData sheetId="22567"/>
      <sheetData sheetId="22568"/>
      <sheetData sheetId="22569"/>
      <sheetData sheetId="22570"/>
      <sheetData sheetId="22571"/>
      <sheetData sheetId="22572"/>
      <sheetData sheetId="22573" refreshError="1"/>
      <sheetData sheetId="22574"/>
      <sheetData sheetId="22575"/>
      <sheetData sheetId="22576"/>
      <sheetData sheetId="22577"/>
      <sheetData sheetId="22578"/>
      <sheetData sheetId="22579"/>
      <sheetData sheetId="22580"/>
      <sheetData sheetId="22581" refreshError="1"/>
      <sheetData sheetId="22582"/>
      <sheetData sheetId="22583"/>
      <sheetData sheetId="22584"/>
      <sheetData sheetId="22585" refreshError="1"/>
      <sheetData sheetId="22586" refreshError="1"/>
      <sheetData sheetId="22587" refreshError="1"/>
      <sheetData sheetId="22588"/>
      <sheetData sheetId="22589" refreshError="1"/>
      <sheetData sheetId="22590" refreshError="1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/>
      <sheetData sheetId="22605"/>
      <sheetData sheetId="22606"/>
      <sheetData sheetId="22607"/>
      <sheetData sheetId="22608"/>
      <sheetData sheetId="22609"/>
      <sheetData sheetId="22610"/>
      <sheetData sheetId="22611"/>
      <sheetData sheetId="22612"/>
      <sheetData sheetId="22613"/>
      <sheetData sheetId="22614" refreshError="1"/>
      <sheetData sheetId="22615"/>
      <sheetData sheetId="22616" refreshError="1"/>
      <sheetData sheetId="22617"/>
      <sheetData sheetId="22618"/>
      <sheetData sheetId="22619" refreshError="1"/>
      <sheetData sheetId="22620"/>
      <sheetData sheetId="22621" refreshError="1"/>
      <sheetData sheetId="22622" refreshError="1"/>
      <sheetData sheetId="22623"/>
      <sheetData sheetId="22624"/>
      <sheetData sheetId="22625" refreshError="1"/>
      <sheetData sheetId="22626" refreshError="1"/>
      <sheetData sheetId="22627" refreshError="1"/>
      <sheetData sheetId="22628"/>
      <sheetData sheetId="22629"/>
      <sheetData sheetId="22630" refreshError="1"/>
      <sheetData sheetId="22631"/>
      <sheetData sheetId="22632"/>
      <sheetData sheetId="22633"/>
      <sheetData sheetId="22634"/>
      <sheetData sheetId="22635"/>
      <sheetData sheetId="22636"/>
      <sheetData sheetId="22637"/>
      <sheetData sheetId="22638"/>
      <sheetData sheetId="22639"/>
      <sheetData sheetId="22640"/>
      <sheetData sheetId="22641"/>
      <sheetData sheetId="22642"/>
      <sheetData sheetId="22643"/>
      <sheetData sheetId="22644"/>
      <sheetData sheetId="22645"/>
      <sheetData sheetId="22646"/>
      <sheetData sheetId="22647"/>
      <sheetData sheetId="22648"/>
      <sheetData sheetId="22649"/>
      <sheetData sheetId="22650"/>
      <sheetData sheetId="22651" refreshError="1"/>
      <sheetData sheetId="22652" refreshError="1"/>
      <sheetData sheetId="22653" refreshError="1"/>
      <sheetData sheetId="22654"/>
      <sheetData sheetId="22655"/>
      <sheetData sheetId="22656"/>
      <sheetData sheetId="22657"/>
      <sheetData sheetId="22658"/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 refreshError="1"/>
      <sheetData sheetId="22675" refreshError="1"/>
      <sheetData sheetId="22676"/>
      <sheetData sheetId="22677"/>
      <sheetData sheetId="22678"/>
      <sheetData sheetId="22679" refreshError="1"/>
      <sheetData sheetId="22680" refreshError="1"/>
      <sheetData sheetId="22681" refreshError="1"/>
      <sheetData sheetId="22682"/>
      <sheetData sheetId="22683" refreshError="1"/>
      <sheetData sheetId="22684"/>
      <sheetData sheetId="22685"/>
      <sheetData sheetId="22686"/>
      <sheetData sheetId="22687"/>
      <sheetData sheetId="22688"/>
      <sheetData sheetId="22689"/>
      <sheetData sheetId="22690"/>
      <sheetData sheetId="22691"/>
      <sheetData sheetId="22692"/>
      <sheetData sheetId="22693"/>
      <sheetData sheetId="22694"/>
      <sheetData sheetId="22695"/>
      <sheetData sheetId="22696"/>
      <sheetData sheetId="22697"/>
      <sheetData sheetId="22698"/>
      <sheetData sheetId="22699"/>
      <sheetData sheetId="22700"/>
      <sheetData sheetId="22701"/>
      <sheetData sheetId="22702"/>
      <sheetData sheetId="22703"/>
      <sheetData sheetId="22704"/>
      <sheetData sheetId="22705"/>
      <sheetData sheetId="22706" refreshError="1"/>
      <sheetData sheetId="22707" refreshError="1"/>
      <sheetData sheetId="22708"/>
      <sheetData sheetId="22709"/>
      <sheetData sheetId="22710" refreshError="1"/>
      <sheetData sheetId="22711"/>
      <sheetData sheetId="22712"/>
      <sheetData sheetId="22713" refreshError="1"/>
      <sheetData sheetId="22714" refreshError="1"/>
      <sheetData sheetId="22715"/>
      <sheetData sheetId="22716"/>
      <sheetData sheetId="22717"/>
      <sheetData sheetId="22718" refreshError="1"/>
      <sheetData sheetId="22719"/>
      <sheetData sheetId="22720"/>
      <sheetData sheetId="22721"/>
      <sheetData sheetId="22722"/>
      <sheetData sheetId="22723"/>
      <sheetData sheetId="22724" refreshError="1"/>
      <sheetData sheetId="22725" refreshError="1"/>
      <sheetData sheetId="22726"/>
      <sheetData sheetId="22727"/>
      <sheetData sheetId="22728"/>
      <sheetData sheetId="22729" refreshError="1"/>
      <sheetData sheetId="22730"/>
      <sheetData sheetId="22731"/>
      <sheetData sheetId="22732"/>
      <sheetData sheetId="22733" refreshError="1"/>
      <sheetData sheetId="22734" refreshError="1"/>
      <sheetData sheetId="22735"/>
      <sheetData sheetId="22736"/>
      <sheetData sheetId="22737" refreshError="1"/>
      <sheetData sheetId="22738"/>
      <sheetData sheetId="22739"/>
      <sheetData sheetId="22740"/>
      <sheetData sheetId="22741" refreshError="1"/>
      <sheetData sheetId="22742" refreshError="1"/>
      <sheetData sheetId="22743"/>
      <sheetData sheetId="22744"/>
      <sheetData sheetId="22745" refreshError="1"/>
      <sheetData sheetId="22746"/>
      <sheetData sheetId="22747"/>
      <sheetData sheetId="22748"/>
      <sheetData sheetId="22749" refreshError="1"/>
      <sheetData sheetId="22750" refreshError="1"/>
      <sheetData sheetId="22751"/>
      <sheetData sheetId="22752"/>
      <sheetData sheetId="22753" refreshError="1"/>
      <sheetData sheetId="22754"/>
      <sheetData sheetId="22755"/>
      <sheetData sheetId="22756"/>
      <sheetData sheetId="22757"/>
      <sheetData sheetId="22758" refreshError="1"/>
      <sheetData sheetId="22759" refreshError="1"/>
      <sheetData sheetId="22760"/>
      <sheetData sheetId="22761"/>
      <sheetData sheetId="22762"/>
      <sheetData sheetId="22763" refreshError="1"/>
      <sheetData sheetId="22764" refreshError="1"/>
      <sheetData sheetId="22765"/>
      <sheetData sheetId="22766"/>
      <sheetData sheetId="22767"/>
      <sheetData sheetId="22768" refreshError="1"/>
      <sheetData sheetId="22769"/>
      <sheetData sheetId="22770"/>
      <sheetData sheetId="22771"/>
      <sheetData sheetId="22772" refreshError="1"/>
      <sheetData sheetId="22773" refreshError="1"/>
      <sheetData sheetId="22774"/>
      <sheetData sheetId="22775"/>
      <sheetData sheetId="22776" refreshError="1"/>
      <sheetData sheetId="22777"/>
      <sheetData sheetId="22778"/>
      <sheetData sheetId="22779" refreshError="1"/>
      <sheetData sheetId="22780" refreshError="1"/>
      <sheetData sheetId="22781"/>
      <sheetData sheetId="22782"/>
      <sheetData sheetId="22783"/>
      <sheetData sheetId="22784" refreshError="1"/>
      <sheetData sheetId="22785" refreshError="1"/>
      <sheetData sheetId="22786"/>
      <sheetData sheetId="22787"/>
      <sheetData sheetId="22788"/>
      <sheetData sheetId="22789"/>
      <sheetData sheetId="22790" refreshError="1"/>
      <sheetData sheetId="22791" refreshError="1"/>
      <sheetData sheetId="22792"/>
      <sheetData sheetId="22793"/>
      <sheetData sheetId="22794"/>
      <sheetData sheetId="22795"/>
      <sheetData sheetId="22796"/>
      <sheetData sheetId="22797" refreshError="1"/>
      <sheetData sheetId="22798"/>
      <sheetData sheetId="22799" refreshError="1"/>
      <sheetData sheetId="22800" refreshError="1"/>
      <sheetData sheetId="22801"/>
      <sheetData sheetId="22802" refreshError="1"/>
      <sheetData sheetId="22803" refreshError="1"/>
      <sheetData sheetId="22804"/>
      <sheetData sheetId="22805" refreshError="1"/>
      <sheetData sheetId="22806"/>
      <sheetData sheetId="22807"/>
      <sheetData sheetId="22808" refreshError="1"/>
      <sheetData sheetId="22809" refreshError="1"/>
      <sheetData sheetId="22810" refreshError="1"/>
      <sheetData sheetId="22811" refreshError="1"/>
      <sheetData sheetId="22812"/>
      <sheetData sheetId="22813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/>
      <sheetData sheetId="22820"/>
      <sheetData sheetId="2282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/>
      <sheetData sheetId="22828"/>
      <sheetData sheetId="22829"/>
      <sheetData sheetId="22830" refreshError="1"/>
      <sheetData sheetId="22831"/>
      <sheetData sheetId="22832" refreshError="1"/>
      <sheetData sheetId="22833" refreshError="1"/>
      <sheetData sheetId="22834"/>
      <sheetData sheetId="22835" refreshError="1"/>
      <sheetData sheetId="22836"/>
      <sheetData sheetId="22837"/>
      <sheetData sheetId="22838"/>
      <sheetData sheetId="22839"/>
      <sheetData sheetId="22840" refreshError="1"/>
      <sheetData sheetId="22841" refreshError="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/>
      <sheetData sheetId="22852"/>
      <sheetData sheetId="22853"/>
      <sheetData sheetId="22854"/>
      <sheetData sheetId="22855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/>
      <sheetData sheetId="22876"/>
      <sheetData sheetId="22877"/>
      <sheetData sheetId="22878"/>
      <sheetData sheetId="22879"/>
      <sheetData sheetId="22880"/>
      <sheetData sheetId="22881"/>
      <sheetData sheetId="22882"/>
      <sheetData sheetId="22883"/>
      <sheetData sheetId="22884"/>
      <sheetData sheetId="22885" refreshError="1"/>
      <sheetData sheetId="22886"/>
      <sheetData sheetId="22887"/>
      <sheetData sheetId="22888" refreshError="1"/>
      <sheetData sheetId="22889" refreshError="1"/>
      <sheetData sheetId="22890" refreshError="1"/>
      <sheetData sheetId="22891"/>
      <sheetData sheetId="22892"/>
      <sheetData sheetId="22893"/>
      <sheetData sheetId="22894" refreshError="1"/>
      <sheetData sheetId="22895"/>
      <sheetData sheetId="22896"/>
      <sheetData sheetId="22897"/>
      <sheetData sheetId="22898"/>
      <sheetData sheetId="22899"/>
      <sheetData sheetId="22900"/>
      <sheetData sheetId="22901" refreshError="1"/>
      <sheetData sheetId="22902" refreshError="1"/>
      <sheetData sheetId="22903"/>
      <sheetData sheetId="22904" refreshError="1"/>
      <sheetData sheetId="22905"/>
      <sheetData sheetId="22906"/>
      <sheetData sheetId="22907"/>
      <sheetData sheetId="22908" refreshError="1"/>
      <sheetData sheetId="22909"/>
      <sheetData sheetId="22910"/>
      <sheetData sheetId="22911" refreshError="1"/>
      <sheetData sheetId="22912"/>
      <sheetData sheetId="22913" refreshError="1"/>
      <sheetData sheetId="22914"/>
      <sheetData sheetId="22915"/>
      <sheetData sheetId="22916" refreshError="1"/>
      <sheetData sheetId="22917"/>
      <sheetData sheetId="22918"/>
      <sheetData sheetId="22919" refreshError="1"/>
      <sheetData sheetId="22920"/>
      <sheetData sheetId="22921" refreshError="1"/>
      <sheetData sheetId="22922"/>
      <sheetData sheetId="22923"/>
      <sheetData sheetId="22924"/>
      <sheetData sheetId="22925" refreshError="1"/>
      <sheetData sheetId="22926"/>
      <sheetData sheetId="22927" refreshError="1"/>
      <sheetData sheetId="22928" refreshError="1"/>
      <sheetData sheetId="22929"/>
      <sheetData sheetId="22930"/>
      <sheetData sheetId="22931"/>
      <sheetData sheetId="22932" refreshError="1"/>
      <sheetData sheetId="22933" refreshError="1"/>
      <sheetData sheetId="22934" refreshError="1"/>
      <sheetData sheetId="22935"/>
      <sheetData sheetId="22936"/>
      <sheetData sheetId="22937"/>
      <sheetData sheetId="22938"/>
      <sheetData sheetId="22939"/>
      <sheetData sheetId="22940"/>
      <sheetData sheetId="22941"/>
      <sheetData sheetId="22942"/>
      <sheetData sheetId="22943"/>
      <sheetData sheetId="22944"/>
      <sheetData sheetId="22945"/>
      <sheetData sheetId="22946"/>
      <sheetData sheetId="22947"/>
      <sheetData sheetId="22948"/>
      <sheetData sheetId="22949"/>
      <sheetData sheetId="22950"/>
      <sheetData sheetId="22951"/>
      <sheetData sheetId="22952"/>
      <sheetData sheetId="22953"/>
      <sheetData sheetId="22954"/>
      <sheetData sheetId="22955"/>
      <sheetData sheetId="22956"/>
      <sheetData sheetId="22957"/>
      <sheetData sheetId="22958"/>
      <sheetData sheetId="22959"/>
      <sheetData sheetId="22960"/>
      <sheetData sheetId="22961"/>
      <sheetData sheetId="22962" refreshError="1"/>
      <sheetData sheetId="22963" refreshError="1"/>
      <sheetData sheetId="22964"/>
      <sheetData sheetId="22965"/>
      <sheetData sheetId="22966" refreshError="1"/>
      <sheetData sheetId="22967" refreshError="1"/>
      <sheetData sheetId="22968" refreshError="1"/>
      <sheetData sheetId="22969"/>
      <sheetData sheetId="22970"/>
      <sheetData sheetId="22971"/>
      <sheetData sheetId="22972" refreshError="1"/>
      <sheetData sheetId="22973" refreshError="1"/>
      <sheetData sheetId="22974" refreshError="1"/>
      <sheetData sheetId="22975"/>
      <sheetData sheetId="22976" refreshError="1"/>
      <sheetData sheetId="22977"/>
      <sheetData sheetId="22978" refreshError="1"/>
      <sheetData sheetId="22979"/>
      <sheetData sheetId="22980"/>
      <sheetData sheetId="22981"/>
      <sheetData sheetId="22982"/>
      <sheetData sheetId="22983"/>
      <sheetData sheetId="22984"/>
      <sheetData sheetId="22985"/>
      <sheetData sheetId="22986"/>
      <sheetData sheetId="22987"/>
      <sheetData sheetId="22988"/>
      <sheetData sheetId="22989"/>
      <sheetData sheetId="22990"/>
      <sheetData sheetId="22991"/>
      <sheetData sheetId="22992"/>
      <sheetData sheetId="22993"/>
      <sheetData sheetId="22994"/>
      <sheetData sheetId="22995"/>
      <sheetData sheetId="22996"/>
      <sheetData sheetId="22997"/>
      <sheetData sheetId="22998"/>
      <sheetData sheetId="22999"/>
      <sheetData sheetId="23000" refreshError="1"/>
      <sheetData sheetId="23001"/>
      <sheetData sheetId="23002" refreshError="1"/>
      <sheetData sheetId="23003"/>
      <sheetData sheetId="23004" refreshError="1"/>
      <sheetData sheetId="23005"/>
      <sheetData sheetId="23006"/>
      <sheetData sheetId="23007" refreshError="1"/>
      <sheetData sheetId="23008"/>
      <sheetData sheetId="23009"/>
      <sheetData sheetId="23010"/>
      <sheetData sheetId="23011" refreshError="1"/>
      <sheetData sheetId="23012"/>
      <sheetData sheetId="23013" refreshError="1"/>
      <sheetData sheetId="23014"/>
      <sheetData sheetId="23015" refreshError="1"/>
      <sheetData sheetId="23016"/>
      <sheetData sheetId="23017"/>
      <sheetData sheetId="23018"/>
      <sheetData sheetId="23019" refreshError="1"/>
      <sheetData sheetId="23020"/>
      <sheetData sheetId="23021"/>
      <sheetData sheetId="23022" refreshError="1"/>
      <sheetData sheetId="23023"/>
      <sheetData sheetId="23024"/>
      <sheetData sheetId="23025"/>
      <sheetData sheetId="23026"/>
      <sheetData sheetId="23027" refreshError="1"/>
      <sheetData sheetId="23028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/>
      <sheetData sheetId="23035"/>
      <sheetData sheetId="23036"/>
      <sheetData sheetId="23037"/>
      <sheetData sheetId="23038"/>
      <sheetData sheetId="23039"/>
      <sheetData sheetId="23040"/>
      <sheetData sheetId="23041"/>
      <sheetData sheetId="23042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 refreshError="1"/>
      <sheetData sheetId="23061"/>
      <sheetData sheetId="23062"/>
      <sheetData sheetId="23063" refreshError="1"/>
      <sheetData sheetId="23064" refreshError="1"/>
      <sheetData sheetId="23065"/>
      <sheetData sheetId="23066"/>
      <sheetData sheetId="23067" refreshError="1"/>
      <sheetData sheetId="23068"/>
      <sheetData sheetId="23069"/>
      <sheetData sheetId="23070" refreshError="1"/>
      <sheetData sheetId="23071" refreshError="1"/>
      <sheetData sheetId="23072"/>
      <sheetData sheetId="23073" refreshError="1"/>
      <sheetData sheetId="23074" refreshError="1"/>
      <sheetData sheetId="23075"/>
      <sheetData sheetId="23076" refreshError="1"/>
      <sheetData sheetId="23077" refreshError="1"/>
      <sheetData sheetId="23078"/>
      <sheetData sheetId="23079" refreshError="1"/>
      <sheetData sheetId="23080" refreshError="1"/>
      <sheetData sheetId="23081"/>
      <sheetData sheetId="23082" refreshError="1"/>
      <sheetData sheetId="23083"/>
      <sheetData sheetId="23084"/>
      <sheetData sheetId="23085"/>
      <sheetData sheetId="23086"/>
      <sheetData sheetId="23087"/>
      <sheetData sheetId="23088"/>
      <sheetData sheetId="23089"/>
      <sheetData sheetId="23090"/>
      <sheetData sheetId="23091"/>
      <sheetData sheetId="23092"/>
      <sheetData sheetId="23093"/>
      <sheetData sheetId="23094"/>
      <sheetData sheetId="23095"/>
      <sheetData sheetId="23096"/>
      <sheetData sheetId="23097"/>
      <sheetData sheetId="23098"/>
      <sheetData sheetId="23099"/>
      <sheetData sheetId="23100" refreshError="1"/>
      <sheetData sheetId="23101"/>
      <sheetData sheetId="23102"/>
      <sheetData sheetId="23103"/>
      <sheetData sheetId="23104"/>
      <sheetData sheetId="23105"/>
      <sheetData sheetId="23106"/>
      <sheetData sheetId="23107"/>
      <sheetData sheetId="23108"/>
      <sheetData sheetId="23109" refreshError="1"/>
      <sheetData sheetId="23110" refreshError="1"/>
      <sheetData sheetId="23111"/>
      <sheetData sheetId="23112"/>
      <sheetData sheetId="23113"/>
      <sheetData sheetId="23114" refreshError="1"/>
      <sheetData sheetId="23115"/>
      <sheetData sheetId="23116" refreshError="1"/>
      <sheetData sheetId="23117" refreshError="1"/>
      <sheetData sheetId="23118"/>
      <sheetData sheetId="23119"/>
      <sheetData sheetId="23120"/>
      <sheetData sheetId="23121" refreshError="1"/>
      <sheetData sheetId="23122"/>
      <sheetData sheetId="23123"/>
      <sheetData sheetId="23124" refreshError="1"/>
      <sheetData sheetId="23125" refreshError="1"/>
      <sheetData sheetId="23126"/>
      <sheetData sheetId="23127"/>
      <sheetData sheetId="23128"/>
      <sheetData sheetId="23129" refreshError="1"/>
      <sheetData sheetId="23130"/>
      <sheetData sheetId="23131" refreshError="1"/>
      <sheetData sheetId="23132" refreshError="1"/>
      <sheetData sheetId="23133"/>
      <sheetData sheetId="23134"/>
      <sheetData sheetId="23135"/>
      <sheetData sheetId="23136" refreshError="1"/>
      <sheetData sheetId="23137"/>
      <sheetData sheetId="23138" refreshError="1"/>
      <sheetData sheetId="23139" refreshError="1"/>
      <sheetData sheetId="23140"/>
      <sheetData sheetId="23141"/>
      <sheetData sheetId="23142"/>
      <sheetData sheetId="23143" refreshError="1"/>
      <sheetData sheetId="23144"/>
      <sheetData sheetId="23145"/>
      <sheetData sheetId="23146" refreshError="1"/>
      <sheetData sheetId="23147" refreshError="1"/>
      <sheetData sheetId="23148" refreshError="1"/>
      <sheetData sheetId="23149"/>
      <sheetData sheetId="23150" refreshError="1"/>
      <sheetData sheetId="23151" refreshError="1"/>
      <sheetData sheetId="23152"/>
      <sheetData sheetId="23153"/>
      <sheetData sheetId="23154" refreshError="1"/>
      <sheetData sheetId="23155"/>
      <sheetData sheetId="23156"/>
      <sheetData sheetId="23157" refreshError="1"/>
      <sheetData sheetId="23158" refreshError="1"/>
      <sheetData sheetId="23159"/>
      <sheetData sheetId="23160"/>
      <sheetData sheetId="23161" refreshError="1"/>
      <sheetData sheetId="23162"/>
      <sheetData sheetId="23163"/>
      <sheetData sheetId="23164" refreshError="1"/>
      <sheetData sheetId="23165" refreshError="1"/>
      <sheetData sheetId="23166"/>
      <sheetData sheetId="23167"/>
      <sheetData sheetId="23168" refreshError="1"/>
      <sheetData sheetId="23169"/>
      <sheetData sheetId="23170"/>
      <sheetData sheetId="23171" refreshError="1"/>
      <sheetData sheetId="23172" refreshError="1"/>
      <sheetData sheetId="23173"/>
      <sheetData sheetId="23174"/>
      <sheetData sheetId="23175" refreshError="1"/>
      <sheetData sheetId="23176"/>
      <sheetData sheetId="23177"/>
      <sheetData sheetId="23178" refreshError="1"/>
      <sheetData sheetId="23179" refreshError="1"/>
      <sheetData sheetId="23180"/>
      <sheetData sheetId="23181"/>
      <sheetData sheetId="23182" refreshError="1"/>
      <sheetData sheetId="23183"/>
      <sheetData sheetId="23184"/>
      <sheetData sheetId="23185" refreshError="1"/>
      <sheetData sheetId="23186"/>
      <sheetData sheetId="23187" refreshError="1"/>
      <sheetData sheetId="23188" refreshError="1"/>
      <sheetData sheetId="23189"/>
      <sheetData sheetId="23190"/>
      <sheetData sheetId="23191"/>
      <sheetData sheetId="23192" refreshError="1"/>
      <sheetData sheetId="23193"/>
      <sheetData sheetId="23194"/>
      <sheetData sheetId="23195"/>
      <sheetData sheetId="23196" refreshError="1"/>
      <sheetData sheetId="23197" refreshError="1"/>
      <sheetData sheetId="23198" refreshError="1"/>
      <sheetData sheetId="23199" refreshError="1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 refreshError="1"/>
      <sheetData sheetId="23212" refreshError="1"/>
      <sheetData sheetId="23213"/>
      <sheetData sheetId="23214"/>
      <sheetData sheetId="23215"/>
      <sheetData sheetId="23216"/>
      <sheetData sheetId="23217"/>
      <sheetData sheetId="23218"/>
      <sheetData sheetId="23219"/>
      <sheetData sheetId="23220"/>
      <sheetData sheetId="23221"/>
      <sheetData sheetId="23222"/>
      <sheetData sheetId="23223"/>
      <sheetData sheetId="23224"/>
      <sheetData sheetId="23225"/>
      <sheetData sheetId="23226"/>
      <sheetData sheetId="23227"/>
      <sheetData sheetId="23228"/>
      <sheetData sheetId="23229"/>
      <sheetData sheetId="23230"/>
      <sheetData sheetId="23231"/>
      <sheetData sheetId="23232"/>
      <sheetData sheetId="23233" refreshError="1"/>
      <sheetData sheetId="23234" refreshError="1"/>
      <sheetData sheetId="23235"/>
      <sheetData sheetId="23236"/>
      <sheetData sheetId="23237"/>
      <sheetData sheetId="23238"/>
      <sheetData sheetId="23239"/>
      <sheetData sheetId="23240"/>
      <sheetData sheetId="23241"/>
      <sheetData sheetId="23242"/>
      <sheetData sheetId="23243"/>
      <sheetData sheetId="23244"/>
      <sheetData sheetId="23245"/>
      <sheetData sheetId="23246"/>
      <sheetData sheetId="23247"/>
      <sheetData sheetId="23248"/>
      <sheetData sheetId="23249"/>
      <sheetData sheetId="23250"/>
      <sheetData sheetId="23251"/>
      <sheetData sheetId="23252"/>
      <sheetData sheetId="23253"/>
      <sheetData sheetId="23254"/>
      <sheetData sheetId="23255"/>
      <sheetData sheetId="23256" refreshError="1"/>
      <sheetData sheetId="23257" refreshError="1"/>
      <sheetData sheetId="23258"/>
      <sheetData sheetId="23259"/>
      <sheetData sheetId="23260" refreshError="1"/>
      <sheetData sheetId="23261" refreshError="1"/>
      <sheetData sheetId="23262"/>
      <sheetData sheetId="23263"/>
      <sheetData sheetId="23264"/>
      <sheetData sheetId="23265" refreshError="1"/>
      <sheetData sheetId="23266" refreshError="1"/>
      <sheetData sheetId="23267" refreshError="1"/>
      <sheetData sheetId="23268" refreshError="1"/>
      <sheetData sheetId="23269"/>
      <sheetData sheetId="23270"/>
      <sheetData sheetId="23271"/>
      <sheetData sheetId="23272"/>
      <sheetData sheetId="23273"/>
      <sheetData sheetId="23274"/>
      <sheetData sheetId="23275"/>
      <sheetData sheetId="23276"/>
      <sheetData sheetId="23277"/>
      <sheetData sheetId="23278"/>
      <sheetData sheetId="23279"/>
      <sheetData sheetId="23280"/>
      <sheetData sheetId="23281"/>
      <sheetData sheetId="23282"/>
      <sheetData sheetId="23283"/>
      <sheetData sheetId="23284"/>
      <sheetData sheetId="23285"/>
      <sheetData sheetId="23286"/>
      <sheetData sheetId="23287"/>
      <sheetData sheetId="23288"/>
      <sheetData sheetId="23289"/>
      <sheetData sheetId="23290"/>
      <sheetData sheetId="23291" refreshError="1"/>
      <sheetData sheetId="23292" refreshError="1"/>
      <sheetData sheetId="23293"/>
      <sheetData sheetId="23294"/>
      <sheetData sheetId="23295"/>
      <sheetData sheetId="23296"/>
      <sheetData sheetId="23297"/>
      <sheetData sheetId="23298"/>
      <sheetData sheetId="23299"/>
      <sheetData sheetId="23300"/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/>
      <sheetData sheetId="23311"/>
      <sheetData sheetId="23312"/>
      <sheetData sheetId="23313" refreshError="1"/>
      <sheetData sheetId="23314" refreshError="1"/>
      <sheetData sheetId="23315" refreshError="1"/>
      <sheetData sheetId="23316"/>
      <sheetData sheetId="23317"/>
      <sheetData sheetId="23318"/>
      <sheetData sheetId="23319"/>
      <sheetData sheetId="23320"/>
      <sheetData sheetId="23321"/>
      <sheetData sheetId="23322"/>
      <sheetData sheetId="23323"/>
      <sheetData sheetId="23324"/>
      <sheetData sheetId="23325"/>
      <sheetData sheetId="23326"/>
      <sheetData sheetId="23327"/>
      <sheetData sheetId="23328"/>
      <sheetData sheetId="23329"/>
      <sheetData sheetId="23330"/>
      <sheetData sheetId="23331"/>
      <sheetData sheetId="23332"/>
      <sheetData sheetId="23333"/>
      <sheetData sheetId="23334"/>
      <sheetData sheetId="23335"/>
      <sheetData sheetId="23336"/>
      <sheetData sheetId="23337"/>
      <sheetData sheetId="23338"/>
      <sheetData sheetId="23339" refreshError="1"/>
      <sheetData sheetId="23340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/>
      <sheetData sheetId="23347"/>
      <sheetData sheetId="23348"/>
      <sheetData sheetId="23349"/>
      <sheetData sheetId="23350"/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 refreshError="1"/>
      <sheetData sheetId="23368" refreshError="1"/>
      <sheetData sheetId="23369"/>
      <sheetData sheetId="23370"/>
      <sheetData sheetId="23371" refreshError="1"/>
      <sheetData sheetId="23372"/>
      <sheetData sheetId="23373" refreshError="1"/>
      <sheetData sheetId="23374" refreshError="1"/>
      <sheetData sheetId="23375" refreshError="1"/>
      <sheetData sheetId="23376"/>
      <sheetData sheetId="23377"/>
      <sheetData sheetId="23378"/>
      <sheetData sheetId="23379"/>
      <sheetData sheetId="23380"/>
      <sheetData sheetId="23381"/>
      <sheetData sheetId="23382"/>
      <sheetData sheetId="23383"/>
      <sheetData sheetId="23384"/>
      <sheetData sheetId="23385"/>
      <sheetData sheetId="23386"/>
      <sheetData sheetId="23387"/>
      <sheetData sheetId="23388"/>
      <sheetData sheetId="23389"/>
      <sheetData sheetId="23390"/>
      <sheetData sheetId="23391"/>
      <sheetData sheetId="23392"/>
      <sheetData sheetId="23393"/>
      <sheetData sheetId="23394"/>
      <sheetData sheetId="23395"/>
      <sheetData sheetId="23396" refreshError="1"/>
      <sheetData sheetId="23397"/>
      <sheetData sheetId="23398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/>
      <sheetData sheetId="23406"/>
      <sheetData sheetId="23407"/>
      <sheetData sheetId="23408"/>
      <sheetData sheetId="23409"/>
      <sheetData sheetId="23410"/>
      <sheetData sheetId="23411"/>
      <sheetData sheetId="23412"/>
      <sheetData sheetId="23413"/>
      <sheetData sheetId="23414"/>
      <sheetData sheetId="23415"/>
      <sheetData sheetId="23416"/>
      <sheetData sheetId="23417"/>
      <sheetData sheetId="23418"/>
      <sheetData sheetId="23419"/>
      <sheetData sheetId="23420"/>
      <sheetData sheetId="23421"/>
      <sheetData sheetId="23422"/>
      <sheetData sheetId="23423"/>
      <sheetData sheetId="23424"/>
      <sheetData sheetId="23425"/>
      <sheetData sheetId="23426"/>
      <sheetData sheetId="23427"/>
      <sheetData sheetId="23428" refreshError="1"/>
      <sheetData sheetId="23429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/>
      <sheetData sheetId="23436"/>
      <sheetData sheetId="23437"/>
      <sheetData sheetId="23438"/>
      <sheetData sheetId="23439"/>
      <sheetData sheetId="23440"/>
      <sheetData sheetId="23441"/>
      <sheetData sheetId="23442"/>
      <sheetData sheetId="23443"/>
      <sheetData sheetId="23444"/>
      <sheetData sheetId="23445"/>
      <sheetData sheetId="23446"/>
      <sheetData sheetId="23447"/>
      <sheetData sheetId="23448"/>
      <sheetData sheetId="23449"/>
      <sheetData sheetId="23450"/>
      <sheetData sheetId="23451"/>
      <sheetData sheetId="23452"/>
      <sheetData sheetId="23453"/>
      <sheetData sheetId="23454"/>
      <sheetData sheetId="23455"/>
      <sheetData sheetId="23456" refreshError="1"/>
      <sheetData sheetId="23457"/>
      <sheetData sheetId="23458"/>
      <sheetData sheetId="23459" refreshError="1"/>
      <sheetData sheetId="23460"/>
      <sheetData sheetId="23461" refreshError="1"/>
      <sheetData sheetId="23462" refreshError="1"/>
      <sheetData sheetId="23463" refreshError="1"/>
      <sheetData sheetId="23464" refreshError="1"/>
      <sheetData sheetId="23465"/>
      <sheetData sheetId="23466"/>
      <sheetData sheetId="23467"/>
      <sheetData sheetId="23468"/>
      <sheetData sheetId="23469"/>
      <sheetData sheetId="23470"/>
      <sheetData sheetId="23471"/>
      <sheetData sheetId="23472"/>
      <sheetData sheetId="23473"/>
      <sheetData sheetId="23474"/>
      <sheetData sheetId="23475"/>
      <sheetData sheetId="23476"/>
      <sheetData sheetId="23477"/>
      <sheetData sheetId="23478"/>
      <sheetData sheetId="23479"/>
      <sheetData sheetId="23480"/>
      <sheetData sheetId="23481"/>
      <sheetData sheetId="23482"/>
      <sheetData sheetId="23483"/>
      <sheetData sheetId="23484"/>
      <sheetData sheetId="23485" refreshError="1"/>
      <sheetData sheetId="23486"/>
      <sheetData sheetId="23487"/>
      <sheetData sheetId="23488"/>
      <sheetData sheetId="23489" refreshError="1"/>
      <sheetData sheetId="23490"/>
      <sheetData sheetId="23491"/>
      <sheetData sheetId="23492" refreshError="1"/>
      <sheetData sheetId="23493" refreshError="1"/>
      <sheetData sheetId="23494"/>
      <sheetData sheetId="23495" refreshError="1"/>
      <sheetData sheetId="23496" refreshError="1"/>
      <sheetData sheetId="23497"/>
      <sheetData sheetId="23498"/>
      <sheetData sheetId="23499" refreshError="1"/>
      <sheetData sheetId="23500"/>
      <sheetData sheetId="23501"/>
      <sheetData sheetId="23502"/>
      <sheetData sheetId="23503"/>
      <sheetData sheetId="23504"/>
      <sheetData sheetId="23505"/>
      <sheetData sheetId="23506"/>
      <sheetData sheetId="23507"/>
      <sheetData sheetId="23508"/>
      <sheetData sheetId="23509"/>
      <sheetData sheetId="23510"/>
      <sheetData sheetId="23511"/>
      <sheetData sheetId="23512"/>
      <sheetData sheetId="23513"/>
      <sheetData sheetId="23514"/>
      <sheetData sheetId="23515"/>
      <sheetData sheetId="23516"/>
      <sheetData sheetId="23517"/>
      <sheetData sheetId="23518"/>
      <sheetData sheetId="23519"/>
      <sheetData sheetId="23520"/>
      <sheetData sheetId="23521"/>
      <sheetData sheetId="23522"/>
      <sheetData sheetId="23523" refreshError="1"/>
      <sheetData sheetId="23524" refreshError="1"/>
      <sheetData sheetId="23525" refreshError="1"/>
      <sheetData sheetId="23526" refreshError="1"/>
      <sheetData sheetId="23527"/>
      <sheetData sheetId="23528"/>
      <sheetData sheetId="23529" refreshError="1"/>
      <sheetData sheetId="23530"/>
      <sheetData sheetId="23531" refreshError="1"/>
      <sheetData sheetId="23532"/>
      <sheetData sheetId="23533"/>
      <sheetData sheetId="23534"/>
      <sheetData sheetId="23535"/>
      <sheetData sheetId="23536"/>
      <sheetData sheetId="23537"/>
      <sheetData sheetId="23538"/>
      <sheetData sheetId="23539"/>
      <sheetData sheetId="23540"/>
      <sheetData sheetId="23541"/>
      <sheetData sheetId="23542"/>
      <sheetData sheetId="23543"/>
      <sheetData sheetId="23544"/>
      <sheetData sheetId="23545"/>
      <sheetData sheetId="23546"/>
      <sheetData sheetId="23547"/>
      <sheetData sheetId="23548"/>
      <sheetData sheetId="23549"/>
      <sheetData sheetId="23550"/>
      <sheetData sheetId="23551"/>
      <sheetData sheetId="23552"/>
      <sheetData sheetId="23553"/>
      <sheetData sheetId="23554" refreshError="1"/>
      <sheetData sheetId="23555" refreshError="1"/>
      <sheetData sheetId="23556" refreshError="1"/>
      <sheetData sheetId="23557"/>
      <sheetData sheetId="23558"/>
      <sheetData sheetId="23559" refreshError="1"/>
      <sheetData sheetId="23560"/>
      <sheetData sheetId="23561" refreshError="1"/>
      <sheetData sheetId="23562" refreshError="1"/>
      <sheetData sheetId="23563"/>
      <sheetData sheetId="23564"/>
      <sheetData sheetId="23565"/>
      <sheetData sheetId="23566"/>
      <sheetData sheetId="23567"/>
      <sheetData sheetId="23568"/>
      <sheetData sheetId="23569"/>
      <sheetData sheetId="23570"/>
      <sheetData sheetId="23571"/>
      <sheetData sheetId="23572"/>
      <sheetData sheetId="23573"/>
      <sheetData sheetId="23574"/>
      <sheetData sheetId="23575"/>
      <sheetData sheetId="23576"/>
      <sheetData sheetId="23577"/>
      <sheetData sheetId="23578"/>
      <sheetData sheetId="23579"/>
      <sheetData sheetId="23580"/>
      <sheetData sheetId="23581"/>
      <sheetData sheetId="23582"/>
      <sheetData sheetId="23583"/>
      <sheetData sheetId="23584"/>
      <sheetData sheetId="23585" refreshError="1"/>
      <sheetData sheetId="23586" refreshError="1"/>
      <sheetData sheetId="23587"/>
      <sheetData sheetId="23588"/>
      <sheetData sheetId="23589" refreshError="1"/>
      <sheetData sheetId="23590"/>
      <sheetData sheetId="23591" refreshError="1"/>
      <sheetData sheetId="23592" refreshError="1"/>
      <sheetData sheetId="23593"/>
      <sheetData sheetId="23594"/>
      <sheetData sheetId="23595"/>
      <sheetData sheetId="23596"/>
      <sheetData sheetId="23597"/>
      <sheetData sheetId="23598"/>
      <sheetData sheetId="23599"/>
      <sheetData sheetId="23600"/>
      <sheetData sheetId="23601"/>
      <sheetData sheetId="23602"/>
      <sheetData sheetId="23603"/>
      <sheetData sheetId="23604"/>
      <sheetData sheetId="23605"/>
      <sheetData sheetId="23606"/>
      <sheetData sheetId="23607"/>
      <sheetData sheetId="23608"/>
      <sheetData sheetId="23609"/>
      <sheetData sheetId="23610"/>
      <sheetData sheetId="23611"/>
      <sheetData sheetId="23612"/>
      <sheetData sheetId="23613"/>
      <sheetData sheetId="23614"/>
      <sheetData sheetId="23615"/>
      <sheetData sheetId="23616" refreshError="1"/>
      <sheetData sheetId="23617" refreshError="1"/>
      <sheetData sheetId="23618"/>
      <sheetData sheetId="23619" refreshError="1"/>
      <sheetData sheetId="23620" refreshError="1"/>
      <sheetData sheetId="23621" refreshError="1"/>
      <sheetData sheetId="23622" refreshError="1"/>
      <sheetData sheetId="23623"/>
      <sheetData sheetId="23624"/>
      <sheetData sheetId="23625"/>
      <sheetData sheetId="23626"/>
      <sheetData sheetId="23627"/>
      <sheetData sheetId="23628"/>
      <sheetData sheetId="23629"/>
      <sheetData sheetId="23630"/>
      <sheetData sheetId="23631"/>
      <sheetData sheetId="23632"/>
      <sheetData sheetId="23633"/>
      <sheetData sheetId="23634"/>
      <sheetData sheetId="23635"/>
      <sheetData sheetId="23636"/>
      <sheetData sheetId="23637"/>
      <sheetData sheetId="23638"/>
      <sheetData sheetId="23639"/>
      <sheetData sheetId="23640"/>
      <sheetData sheetId="23641"/>
      <sheetData sheetId="23642"/>
      <sheetData sheetId="23643"/>
      <sheetData sheetId="23644"/>
      <sheetData sheetId="23645"/>
      <sheetData sheetId="23646"/>
      <sheetData sheetId="23647"/>
      <sheetData sheetId="23648"/>
      <sheetData sheetId="23649" refreshError="1"/>
      <sheetData sheetId="23650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/>
      <sheetData sheetId="23657"/>
      <sheetData sheetId="23658"/>
      <sheetData sheetId="23659"/>
      <sheetData sheetId="23660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/>
      <sheetData sheetId="23678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/>
      <sheetData sheetId="23685" refreshError="1"/>
      <sheetData sheetId="23686"/>
      <sheetData sheetId="23687"/>
      <sheetData sheetId="23688" refreshError="1"/>
      <sheetData sheetId="23689" refreshError="1"/>
      <sheetData sheetId="23690"/>
      <sheetData sheetId="23691"/>
      <sheetData sheetId="23692"/>
      <sheetData sheetId="23693" refreshError="1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/>
      <sheetData sheetId="23716"/>
      <sheetData sheetId="23717"/>
      <sheetData sheetId="23718" refreshError="1"/>
      <sheetData sheetId="23719" refreshError="1"/>
      <sheetData sheetId="23720" refreshError="1"/>
      <sheetData sheetId="23721"/>
      <sheetData sheetId="23722"/>
      <sheetData sheetId="23723"/>
      <sheetData sheetId="23724" refreshError="1"/>
      <sheetData sheetId="23725"/>
      <sheetData sheetId="23726"/>
      <sheetData sheetId="23727" refreshError="1"/>
      <sheetData sheetId="23728" refreshError="1"/>
      <sheetData sheetId="23729" refreshError="1"/>
      <sheetData sheetId="23730"/>
      <sheetData sheetId="23731"/>
      <sheetData sheetId="23732"/>
      <sheetData sheetId="23733"/>
      <sheetData sheetId="23734"/>
      <sheetData sheetId="23735"/>
      <sheetData sheetId="23736" refreshError="1"/>
      <sheetData sheetId="23737"/>
      <sheetData sheetId="23738" refreshError="1"/>
      <sheetData sheetId="23739" refreshError="1"/>
      <sheetData sheetId="23740" refreshError="1"/>
      <sheetData sheetId="23741"/>
      <sheetData sheetId="23742"/>
      <sheetData sheetId="23743" refreshError="1"/>
      <sheetData sheetId="23744"/>
      <sheetData sheetId="23745"/>
      <sheetData sheetId="23746"/>
      <sheetData sheetId="23747" refreshError="1"/>
      <sheetData sheetId="23748"/>
      <sheetData sheetId="23749" refreshError="1"/>
      <sheetData sheetId="23750"/>
      <sheetData sheetId="23751"/>
      <sheetData sheetId="23752"/>
      <sheetData sheetId="23753" refreshError="1"/>
      <sheetData sheetId="23754" refreshError="1"/>
      <sheetData sheetId="23755" refreshError="1"/>
      <sheetData sheetId="23756"/>
      <sheetData sheetId="23757"/>
      <sheetData sheetId="23758"/>
      <sheetData sheetId="23759"/>
      <sheetData sheetId="23760"/>
      <sheetData sheetId="23761"/>
      <sheetData sheetId="23762"/>
      <sheetData sheetId="23763"/>
      <sheetData sheetId="23764"/>
      <sheetData sheetId="23765"/>
      <sheetData sheetId="23766"/>
      <sheetData sheetId="23767"/>
      <sheetData sheetId="23768"/>
      <sheetData sheetId="23769"/>
      <sheetData sheetId="23770"/>
      <sheetData sheetId="23771"/>
      <sheetData sheetId="23772"/>
      <sheetData sheetId="23773"/>
      <sheetData sheetId="23774"/>
      <sheetData sheetId="23775"/>
      <sheetData sheetId="23776" refreshError="1"/>
      <sheetData sheetId="23777"/>
      <sheetData sheetId="23778"/>
      <sheetData sheetId="23779"/>
      <sheetData sheetId="23780" refreshError="1"/>
      <sheetData sheetId="23781" refreshError="1"/>
      <sheetData sheetId="23782" refreshError="1"/>
      <sheetData sheetId="23783"/>
      <sheetData sheetId="23784"/>
      <sheetData sheetId="23785" refreshError="1"/>
      <sheetData sheetId="23786"/>
      <sheetData sheetId="23787"/>
      <sheetData sheetId="23788" refreshError="1"/>
      <sheetData sheetId="23789"/>
      <sheetData sheetId="23790"/>
      <sheetData sheetId="23791"/>
      <sheetData sheetId="23792" refreshError="1"/>
      <sheetData sheetId="23793" refreshError="1"/>
      <sheetData sheetId="23794" refreshError="1"/>
      <sheetData sheetId="23795"/>
      <sheetData sheetId="23796" refreshError="1"/>
      <sheetData sheetId="23797"/>
      <sheetData sheetId="23798"/>
      <sheetData sheetId="23799"/>
      <sheetData sheetId="23800" refreshError="1"/>
      <sheetData sheetId="23801"/>
      <sheetData sheetId="23802" refreshError="1"/>
      <sheetData sheetId="23803" refreshError="1"/>
      <sheetData sheetId="23804"/>
      <sheetData sheetId="23805" refreshError="1"/>
      <sheetData sheetId="23806"/>
      <sheetData sheetId="23807"/>
      <sheetData sheetId="23808" refreshError="1"/>
      <sheetData sheetId="23809"/>
      <sheetData sheetId="23810"/>
      <sheetData sheetId="23811" refreshError="1"/>
      <sheetData sheetId="23812"/>
      <sheetData sheetId="23813"/>
      <sheetData sheetId="23814" refreshError="1"/>
      <sheetData sheetId="23815"/>
      <sheetData sheetId="23816" refreshError="1"/>
      <sheetData sheetId="23817" refreshError="1"/>
      <sheetData sheetId="23818"/>
      <sheetData sheetId="23819"/>
      <sheetData sheetId="23820"/>
      <sheetData sheetId="23821"/>
      <sheetData sheetId="23822"/>
      <sheetData sheetId="23823" refreshError="1"/>
      <sheetData sheetId="23824" refreshError="1"/>
      <sheetData sheetId="23825"/>
      <sheetData sheetId="23826"/>
      <sheetData sheetId="23827"/>
      <sheetData sheetId="23828" refreshError="1"/>
      <sheetData sheetId="23829"/>
      <sheetData sheetId="23830" refreshError="1"/>
      <sheetData sheetId="23831" refreshError="1"/>
      <sheetData sheetId="23832" refreshError="1"/>
      <sheetData sheetId="23833"/>
      <sheetData sheetId="23834" refreshError="1"/>
      <sheetData sheetId="23835" refreshError="1"/>
      <sheetData sheetId="23836"/>
      <sheetData sheetId="23837" refreshError="1"/>
      <sheetData sheetId="23838" refreshError="1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/>
      <sheetData sheetId="23852"/>
      <sheetData sheetId="23853"/>
      <sheetData sheetId="23854"/>
      <sheetData sheetId="23855"/>
      <sheetData sheetId="23856"/>
      <sheetData sheetId="23857"/>
      <sheetData sheetId="23858"/>
      <sheetData sheetId="23859"/>
      <sheetData sheetId="23860"/>
      <sheetData sheetId="23861" refreshError="1"/>
      <sheetData sheetId="23862"/>
      <sheetData sheetId="23863"/>
      <sheetData sheetId="23864" refreshError="1"/>
      <sheetData sheetId="23865"/>
      <sheetData sheetId="23866"/>
      <sheetData sheetId="23867"/>
      <sheetData sheetId="23868" refreshError="1"/>
      <sheetData sheetId="23869" refreshError="1"/>
      <sheetData sheetId="23870" refreshError="1"/>
      <sheetData sheetId="23871"/>
      <sheetData sheetId="23872"/>
      <sheetData sheetId="23873"/>
      <sheetData sheetId="23874"/>
      <sheetData sheetId="23875"/>
      <sheetData sheetId="23876"/>
      <sheetData sheetId="23877"/>
      <sheetData sheetId="23878"/>
      <sheetData sheetId="23879"/>
      <sheetData sheetId="23880"/>
      <sheetData sheetId="23881"/>
      <sheetData sheetId="23882"/>
      <sheetData sheetId="23883"/>
      <sheetData sheetId="23884"/>
      <sheetData sheetId="23885"/>
      <sheetData sheetId="23886"/>
      <sheetData sheetId="23887"/>
      <sheetData sheetId="23888"/>
      <sheetData sheetId="23889"/>
      <sheetData sheetId="23890"/>
      <sheetData sheetId="23891"/>
      <sheetData sheetId="23892" refreshError="1"/>
      <sheetData sheetId="23893"/>
      <sheetData sheetId="23894"/>
      <sheetData sheetId="23895" refreshError="1"/>
      <sheetData sheetId="23896"/>
      <sheetData sheetId="23897" refreshError="1"/>
      <sheetData sheetId="23898"/>
      <sheetData sheetId="23899"/>
      <sheetData sheetId="23900" refreshError="1"/>
      <sheetData sheetId="23901" refreshError="1"/>
      <sheetData sheetId="23902"/>
      <sheetData sheetId="23903"/>
      <sheetData sheetId="23904" refreshError="1"/>
      <sheetData sheetId="23905" refreshError="1"/>
      <sheetData sheetId="23906"/>
      <sheetData sheetId="23907"/>
      <sheetData sheetId="23908"/>
      <sheetData sheetId="23909"/>
      <sheetData sheetId="23910"/>
      <sheetData sheetId="23911"/>
      <sheetData sheetId="23912"/>
      <sheetData sheetId="23913"/>
      <sheetData sheetId="23914"/>
      <sheetData sheetId="23915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/>
      <sheetData sheetId="23958"/>
      <sheetData sheetId="23959" refreshError="1"/>
      <sheetData sheetId="23960" refreshError="1"/>
      <sheetData sheetId="23961" refreshError="1"/>
      <sheetData sheetId="23962"/>
      <sheetData sheetId="23963" refreshError="1"/>
      <sheetData sheetId="23964" refreshError="1"/>
      <sheetData sheetId="23965" refreshError="1"/>
      <sheetData sheetId="23966"/>
      <sheetData sheetId="23967"/>
      <sheetData sheetId="23968" refreshError="1"/>
      <sheetData sheetId="23969"/>
      <sheetData sheetId="23970" refreshError="1"/>
      <sheetData sheetId="23971" refreshError="1"/>
      <sheetData sheetId="23972"/>
      <sheetData sheetId="23973"/>
      <sheetData sheetId="23974" refreshError="1"/>
      <sheetData sheetId="23975" refreshError="1"/>
      <sheetData sheetId="23976" refreshError="1"/>
      <sheetData sheetId="23977"/>
      <sheetData sheetId="23978" refreshError="1"/>
      <sheetData sheetId="23979" refreshError="1"/>
      <sheetData sheetId="23980" refreshError="1"/>
      <sheetData sheetId="23981"/>
      <sheetData sheetId="23982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/>
      <sheetData sheetId="23989"/>
      <sheetData sheetId="23990" refreshError="1"/>
      <sheetData sheetId="23991"/>
      <sheetData sheetId="23992" refreshError="1"/>
      <sheetData sheetId="23993" refreshError="1"/>
      <sheetData sheetId="23994" refreshError="1"/>
      <sheetData sheetId="23995" refreshError="1"/>
      <sheetData sheetId="23996"/>
      <sheetData sheetId="23997"/>
      <sheetData sheetId="23998" refreshError="1"/>
      <sheetData sheetId="23999"/>
      <sheetData sheetId="24000" refreshError="1"/>
      <sheetData sheetId="24001" refreshError="1"/>
      <sheetData sheetId="24002"/>
      <sheetData sheetId="24003" refreshError="1"/>
      <sheetData sheetId="24004" refreshError="1"/>
      <sheetData sheetId="24005"/>
      <sheetData sheetId="24006"/>
      <sheetData sheetId="24007" refreshError="1"/>
      <sheetData sheetId="24008" refreshError="1"/>
      <sheetData sheetId="24009" refreshError="1"/>
      <sheetData sheetId="24010"/>
      <sheetData sheetId="24011"/>
      <sheetData sheetId="24012" refreshError="1"/>
      <sheetData sheetId="24013"/>
      <sheetData sheetId="24014" refreshError="1"/>
      <sheetData sheetId="24015" refreshError="1"/>
      <sheetData sheetId="24016"/>
      <sheetData sheetId="24017"/>
      <sheetData sheetId="24018" refreshError="1"/>
      <sheetData sheetId="24019"/>
      <sheetData sheetId="24020" refreshError="1"/>
      <sheetData sheetId="24021" refreshError="1"/>
      <sheetData sheetId="24022"/>
      <sheetData sheetId="24023"/>
      <sheetData sheetId="24024" refreshError="1"/>
      <sheetData sheetId="24025"/>
      <sheetData sheetId="24026" refreshError="1"/>
      <sheetData sheetId="24027" refreshError="1"/>
      <sheetData sheetId="24028"/>
      <sheetData sheetId="24029"/>
      <sheetData sheetId="24030" refreshError="1"/>
      <sheetData sheetId="24031" refreshError="1"/>
      <sheetData sheetId="24032" refreshError="1"/>
      <sheetData sheetId="24033"/>
      <sheetData sheetId="24034" refreshError="1"/>
      <sheetData sheetId="24035" refreshError="1"/>
      <sheetData sheetId="24036" refreshError="1"/>
      <sheetData sheetId="24037"/>
      <sheetData sheetId="24038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/>
      <sheetData sheetId="24047"/>
      <sheetData sheetId="24048" refreshError="1"/>
      <sheetData sheetId="24049"/>
      <sheetData sheetId="24050" refreshError="1"/>
      <sheetData sheetId="24051" refreshError="1"/>
      <sheetData sheetId="24052"/>
      <sheetData sheetId="24053"/>
      <sheetData sheetId="24054" refreshError="1"/>
      <sheetData sheetId="24055"/>
      <sheetData sheetId="24056" refreshError="1"/>
      <sheetData sheetId="24057" refreshError="1"/>
      <sheetData sheetId="24058"/>
      <sheetData sheetId="24059"/>
      <sheetData sheetId="24060" refreshError="1"/>
      <sheetData sheetId="24061"/>
      <sheetData sheetId="24062" refreshError="1"/>
      <sheetData sheetId="24063" refreshError="1"/>
      <sheetData sheetId="24064"/>
      <sheetData sheetId="24065"/>
      <sheetData sheetId="24066" refreshError="1"/>
      <sheetData sheetId="24067"/>
      <sheetData sheetId="24068" refreshError="1"/>
      <sheetData sheetId="24069" refreshError="1"/>
      <sheetData sheetId="24070"/>
      <sheetData sheetId="24071"/>
      <sheetData sheetId="24072" refreshError="1"/>
      <sheetData sheetId="24073"/>
      <sheetData sheetId="24074" refreshError="1"/>
      <sheetData sheetId="24075" refreshError="1"/>
      <sheetData sheetId="24076"/>
      <sheetData sheetId="24077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/>
      <sheetData sheetId="24084"/>
      <sheetData sheetId="24085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/>
      <sheetData sheetId="24092"/>
      <sheetData sheetId="24093"/>
      <sheetData sheetId="24094" refreshError="1"/>
      <sheetData sheetId="24095" refreshError="1"/>
      <sheetData sheetId="24096" refreshError="1"/>
      <sheetData sheetId="24097" refreshError="1"/>
      <sheetData sheetId="24098"/>
      <sheetData sheetId="24099"/>
      <sheetData sheetId="24100"/>
      <sheetData sheetId="24101" refreshError="1"/>
      <sheetData sheetId="24102" refreshError="1"/>
      <sheetData sheetId="24103" refreshError="1"/>
      <sheetData sheetId="24104"/>
      <sheetData sheetId="24105" refreshError="1"/>
      <sheetData sheetId="24106" refreshError="1"/>
      <sheetData sheetId="24107" refreshError="1"/>
      <sheetData sheetId="24108"/>
      <sheetData sheetId="24109"/>
      <sheetData sheetId="24110"/>
      <sheetData sheetId="24111" refreshError="1"/>
      <sheetData sheetId="24112" refreshError="1"/>
      <sheetData sheetId="24113" refreshError="1"/>
      <sheetData sheetId="24114"/>
      <sheetData sheetId="24115" refreshError="1"/>
      <sheetData sheetId="24116"/>
      <sheetData sheetId="24117"/>
      <sheetData sheetId="24118"/>
      <sheetData sheetId="24119"/>
      <sheetData sheetId="24120" refreshError="1"/>
      <sheetData sheetId="24121" refreshError="1"/>
      <sheetData sheetId="24122"/>
      <sheetData sheetId="24123" refreshError="1"/>
      <sheetData sheetId="24124"/>
      <sheetData sheetId="24125"/>
      <sheetData sheetId="24126" refreshError="1"/>
      <sheetData sheetId="24127"/>
      <sheetData sheetId="24128"/>
      <sheetData sheetId="24129"/>
      <sheetData sheetId="24130"/>
      <sheetData sheetId="24131"/>
      <sheetData sheetId="24132"/>
      <sheetData sheetId="24133" refreshError="1"/>
      <sheetData sheetId="24134"/>
      <sheetData sheetId="24135" refreshError="1"/>
      <sheetData sheetId="24136"/>
      <sheetData sheetId="24137"/>
      <sheetData sheetId="24138" refreshError="1"/>
      <sheetData sheetId="24139"/>
      <sheetData sheetId="24140"/>
      <sheetData sheetId="24141"/>
      <sheetData sheetId="24142"/>
      <sheetData sheetId="24143" refreshError="1"/>
      <sheetData sheetId="24144"/>
      <sheetData sheetId="24145"/>
      <sheetData sheetId="24146" refreshError="1"/>
      <sheetData sheetId="24147"/>
      <sheetData sheetId="24148" refreshError="1"/>
      <sheetData sheetId="24149" refreshError="1"/>
      <sheetData sheetId="24150"/>
      <sheetData sheetId="24151"/>
      <sheetData sheetId="24152" refreshError="1"/>
      <sheetData sheetId="24153" refreshError="1"/>
      <sheetData sheetId="24154" refreshError="1"/>
      <sheetData sheetId="24155"/>
      <sheetData sheetId="24156" refreshError="1"/>
      <sheetData sheetId="24157" refreshError="1"/>
      <sheetData sheetId="24158" refreshError="1"/>
      <sheetData sheetId="24159"/>
      <sheetData sheetId="24160"/>
      <sheetData sheetId="24161" refreshError="1"/>
      <sheetData sheetId="24162" refreshError="1"/>
      <sheetData sheetId="24163" refreshError="1"/>
      <sheetData sheetId="24164"/>
      <sheetData sheetId="24165" refreshError="1"/>
      <sheetData sheetId="24166" refreshError="1"/>
      <sheetData sheetId="24167" refreshError="1"/>
      <sheetData sheetId="24168"/>
      <sheetData sheetId="24169"/>
      <sheetData sheetId="24170" refreshError="1"/>
      <sheetData sheetId="24171"/>
      <sheetData sheetId="24172" refreshError="1"/>
      <sheetData sheetId="24173" refreshError="1"/>
      <sheetData sheetId="24174"/>
      <sheetData sheetId="24175"/>
      <sheetData sheetId="24176" refreshError="1"/>
      <sheetData sheetId="24177"/>
      <sheetData sheetId="24178" refreshError="1"/>
      <sheetData sheetId="24179" refreshError="1"/>
      <sheetData sheetId="24180"/>
      <sheetData sheetId="24181"/>
      <sheetData sheetId="24182" refreshError="1"/>
      <sheetData sheetId="24183" refreshError="1"/>
      <sheetData sheetId="24184" refreshError="1"/>
      <sheetData sheetId="24185"/>
      <sheetData sheetId="24186" refreshError="1"/>
      <sheetData sheetId="24187" refreshError="1"/>
      <sheetData sheetId="24188" refreshError="1"/>
      <sheetData sheetId="24189"/>
      <sheetData sheetId="24190"/>
      <sheetData sheetId="24191" refreshError="1"/>
      <sheetData sheetId="24192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/>
      <sheetData sheetId="24199"/>
      <sheetData sheetId="24200" refreshError="1"/>
      <sheetData sheetId="2420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/>
      <sheetData sheetId="24208"/>
      <sheetData sheetId="24209" refreshError="1"/>
      <sheetData sheetId="24210" refreshError="1"/>
      <sheetData sheetId="24211" refreshError="1"/>
      <sheetData sheetId="24212"/>
      <sheetData sheetId="24213" refreshError="1"/>
      <sheetData sheetId="24214" refreshError="1"/>
      <sheetData sheetId="24215" refreshError="1"/>
      <sheetData sheetId="24216"/>
      <sheetData sheetId="24217"/>
      <sheetData sheetId="24218" refreshError="1"/>
      <sheetData sheetId="24219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/>
      <sheetData sheetId="24226"/>
      <sheetData sheetId="24227" refreshError="1"/>
      <sheetData sheetId="24228"/>
      <sheetData sheetId="24229" refreshError="1"/>
      <sheetData sheetId="24230" refreshError="1"/>
      <sheetData sheetId="24231"/>
      <sheetData sheetId="24232"/>
      <sheetData sheetId="24233" refreshError="1"/>
      <sheetData sheetId="24234"/>
      <sheetData sheetId="24235" refreshError="1"/>
      <sheetData sheetId="24236" refreshError="1"/>
      <sheetData sheetId="24237"/>
      <sheetData sheetId="24238"/>
      <sheetData sheetId="24239" refreshError="1"/>
      <sheetData sheetId="24240"/>
      <sheetData sheetId="24241"/>
      <sheetData sheetId="24242" refreshError="1"/>
      <sheetData sheetId="24243" refreshError="1"/>
      <sheetData sheetId="24244"/>
      <sheetData sheetId="24245"/>
      <sheetData sheetId="24246" refreshError="1"/>
      <sheetData sheetId="24247"/>
      <sheetData sheetId="24248" refreshError="1"/>
      <sheetData sheetId="24249" refreshError="1"/>
      <sheetData sheetId="24250"/>
      <sheetData sheetId="24251"/>
      <sheetData sheetId="24252"/>
      <sheetData sheetId="24253" refreshError="1"/>
      <sheetData sheetId="24254" refreshError="1"/>
      <sheetData sheetId="24255" refreshError="1"/>
      <sheetData sheetId="24256"/>
      <sheetData sheetId="24257" refreshError="1"/>
      <sheetData sheetId="24258" refreshError="1"/>
      <sheetData sheetId="24259" refreshError="1"/>
      <sheetData sheetId="24260"/>
      <sheetData sheetId="24261"/>
      <sheetData sheetId="24262"/>
      <sheetData sheetId="24263" refreshError="1"/>
      <sheetData sheetId="24264" refreshError="1"/>
      <sheetData sheetId="24265" refreshError="1"/>
      <sheetData sheetId="24266"/>
      <sheetData sheetId="24267" refreshError="1"/>
      <sheetData sheetId="24268"/>
      <sheetData sheetId="24269" refreshError="1"/>
      <sheetData sheetId="24270" refreshError="1"/>
      <sheetData sheetId="24271"/>
      <sheetData sheetId="24272"/>
      <sheetData sheetId="24273"/>
      <sheetData sheetId="24274" refreshError="1"/>
      <sheetData sheetId="24275"/>
      <sheetData sheetId="24276" refreshError="1"/>
      <sheetData sheetId="24277" refreshError="1"/>
      <sheetData sheetId="24278"/>
      <sheetData sheetId="24279"/>
      <sheetData sheetId="24280"/>
      <sheetData sheetId="24281" refreshError="1"/>
      <sheetData sheetId="24282"/>
      <sheetData sheetId="24283"/>
      <sheetData sheetId="24284"/>
      <sheetData sheetId="24285"/>
      <sheetData sheetId="24286" refreshError="1"/>
      <sheetData sheetId="24287" refreshError="1"/>
      <sheetData sheetId="24288"/>
      <sheetData sheetId="24289"/>
      <sheetData sheetId="24290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/>
      <sheetData sheetId="24297"/>
      <sheetData sheetId="24298"/>
      <sheetData sheetId="24299"/>
      <sheetData sheetId="24300"/>
      <sheetData sheetId="24301" refreshError="1"/>
      <sheetData sheetId="24302" refreshError="1"/>
      <sheetData sheetId="24303"/>
      <sheetData sheetId="24304"/>
      <sheetData sheetId="24305"/>
      <sheetData sheetId="24306" refreshError="1"/>
      <sheetData sheetId="24307"/>
      <sheetData sheetId="24308"/>
      <sheetData sheetId="24309" refreshError="1"/>
      <sheetData sheetId="24310" refreshError="1"/>
      <sheetData sheetId="24311"/>
      <sheetData sheetId="24312"/>
      <sheetData sheetId="24313"/>
      <sheetData sheetId="24314" refreshError="1"/>
      <sheetData sheetId="24315"/>
      <sheetData sheetId="24316"/>
      <sheetData sheetId="24317"/>
      <sheetData sheetId="24318"/>
      <sheetData sheetId="24319"/>
      <sheetData sheetId="24320"/>
      <sheetData sheetId="24321"/>
      <sheetData sheetId="24322" refreshError="1"/>
      <sheetData sheetId="24323" refreshError="1"/>
      <sheetData sheetId="24324"/>
      <sheetData sheetId="24325"/>
      <sheetData sheetId="24326"/>
      <sheetData sheetId="24327" refreshError="1"/>
      <sheetData sheetId="24328"/>
      <sheetData sheetId="24329"/>
      <sheetData sheetId="24330"/>
      <sheetData sheetId="24331" refreshError="1"/>
      <sheetData sheetId="24332" refreshError="1"/>
      <sheetData sheetId="24333"/>
      <sheetData sheetId="24334"/>
      <sheetData sheetId="24335"/>
      <sheetData sheetId="24336"/>
      <sheetData sheetId="24337" refreshError="1"/>
      <sheetData sheetId="24338" refreshError="1"/>
      <sheetData sheetId="24339"/>
      <sheetData sheetId="24340"/>
      <sheetData sheetId="24341"/>
      <sheetData sheetId="24342" refreshError="1"/>
      <sheetData sheetId="24343"/>
      <sheetData sheetId="24344" refreshError="1"/>
      <sheetData sheetId="24345" refreshError="1"/>
      <sheetData sheetId="24346" refreshError="1"/>
      <sheetData sheetId="24347" refreshError="1"/>
      <sheetData sheetId="24348"/>
      <sheetData sheetId="24349"/>
      <sheetData sheetId="24350"/>
      <sheetData sheetId="24351" refreshError="1"/>
      <sheetData sheetId="24352" refreshError="1"/>
      <sheetData sheetId="24353" refreshError="1"/>
      <sheetData sheetId="24354"/>
      <sheetData sheetId="24355" refreshError="1"/>
      <sheetData sheetId="24356" refreshError="1"/>
      <sheetData sheetId="24357"/>
      <sheetData sheetId="24358"/>
      <sheetData sheetId="24359" refreshError="1"/>
      <sheetData sheetId="24360"/>
      <sheetData sheetId="24361" refreshError="1"/>
      <sheetData sheetId="24362" refreshError="1"/>
      <sheetData sheetId="24363"/>
      <sheetData sheetId="24364"/>
      <sheetData sheetId="24365"/>
      <sheetData sheetId="24366" refreshError="1"/>
      <sheetData sheetId="24367"/>
      <sheetData sheetId="24368"/>
      <sheetData sheetId="24369"/>
      <sheetData sheetId="24370" refreshError="1"/>
      <sheetData sheetId="24371" refreshError="1"/>
      <sheetData sheetId="24372"/>
      <sheetData sheetId="24373"/>
      <sheetData sheetId="24374"/>
      <sheetData sheetId="24375" refreshError="1"/>
      <sheetData sheetId="24376" refreshError="1"/>
      <sheetData sheetId="24377"/>
      <sheetData sheetId="24378"/>
      <sheetData sheetId="24379"/>
      <sheetData sheetId="24380" refreshError="1"/>
      <sheetData sheetId="2438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/>
      <sheetData sheetId="24389"/>
      <sheetData sheetId="24390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/>
      <sheetData sheetId="24397" refreshError="1"/>
      <sheetData sheetId="24398"/>
      <sheetData sheetId="24399" refreshError="1"/>
      <sheetData sheetId="24400"/>
      <sheetData sheetId="24401"/>
      <sheetData sheetId="24402" refreshError="1"/>
      <sheetData sheetId="24403"/>
      <sheetData sheetId="24404"/>
      <sheetData sheetId="24405"/>
      <sheetData sheetId="24406"/>
      <sheetData sheetId="24407"/>
      <sheetData sheetId="24408"/>
      <sheetData sheetId="24409"/>
      <sheetData sheetId="24410"/>
      <sheetData sheetId="24411" refreshError="1"/>
      <sheetData sheetId="24412" refreshError="1"/>
      <sheetData sheetId="24413"/>
      <sheetData sheetId="24414" refreshError="1"/>
      <sheetData sheetId="24415"/>
      <sheetData sheetId="24416"/>
      <sheetData sheetId="24417" refreshError="1"/>
      <sheetData sheetId="24418"/>
      <sheetData sheetId="24419"/>
      <sheetData sheetId="24420" refreshError="1"/>
      <sheetData sheetId="24421" refreshError="1"/>
      <sheetData sheetId="24422"/>
      <sheetData sheetId="24423"/>
      <sheetData sheetId="24424" refreshError="1"/>
      <sheetData sheetId="24425" refreshError="1"/>
      <sheetData sheetId="24426" refreshError="1"/>
      <sheetData sheetId="24427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/>
      <sheetData sheetId="24434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/>
      <sheetData sheetId="24441"/>
      <sheetData sheetId="24442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/>
      <sheetData sheetId="24449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/>
      <sheetData sheetId="24456"/>
      <sheetData sheetId="24457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/>
      <sheetData sheetId="24464"/>
      <sheetData sheetId="24465" refreshError="1"/>
      <sheetData sheetId="24466"/>
      <sheetData sheetId="24467"/>
      <sheetData sheetId="24468"/>
      <sheetData sheetId="24469" refreshError="1"/>
      <sheetData sheetId="24470"/>
      <sheetData sheetId="24471"/>
      <sheetData sheetId="24472" refreshError="1"/>
      <sheetData sheetId="24473" refreshError="1"/>
      <sheetData sheetId="24474" refreshError="1"/>
      <sheetData sheetId="24475" refreshError="1"/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/>
      <sheetData sheetId="24491" refreshError="1"/>
      <sheetData sheetId="24492"/>
      <sheetData sheetId="24493" refreshError="1"/>
      <sheetData sheetId="24494"/>
      <sheetData sheetId="24495"/>
      <sheetData sheetId="24496" refreshError="1"/>
      <sheetData sheetId="24497"/>
      <sheetData sheetId="24498" refreshError="1"/>
      <sheetData sheetId="24499" refreshError="1"/>
      <sheetData sheetId="24500"/>
      <sheetData sheetId="24501" refreshError="1"/>
      <sheetData sheetId="24502" refreshError="1"/>
      <sheetData sheetId="24503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/>
      <sheetData sheetId="24516"/>
      <sheetData sheetId="24517"/>
      <sheetData sheetId="24518"/>
      <sheetData sheetId="24519" refreshError="1"/>
      <sheetData sheetId="24520"/>
      <sheetData sheetId="24521" refreshError="1"/>
      <sheetData sheetId="24522"/>
      <sheetData sheetId="24523" refreshError="1"/>
      <sheetData sheetId="24524" refreshError="1"/>
      <sheetData sheetId="24525"/>
      <sheetData sheetId="24526"/>
      <sheetData sheetId="24527"/>
      <sheetData sheetId="24528"/>
      <sheetData sheetId="24529"/>
      <sheetData sheetId="24530"/>
      <sheetData sheetId="24531"/>
      <sheetData sheetId="24532"/>
      <sheetData sheetId="24533"/>
      <sheetData sheetId="24534" refreshError="1"/>
      <sheetData sheetId="24535"/>
      <sheetData sheetId="24536"/>
      <sheetData sheetId="24537" refreshError="1"/>
      <sheetData sheetId="24538" refreshError="1"/>
      <sheetData sheetId="24539"/>
      <sheetData sheetId="24540"/>
      <sheetData sheetId="24541" refreshError="1"/>
      <sheetData sheetId="24542"/>
      <sheetData sheetId="24543" refreshError="1"/>
      <sheetData sheetId="24544"/>
      <sheetData sheetId="24545"/>
      <sheetData sheetId="24546" refreshError="1"/>
      <sheetData sheetId="24547"/>
      <sheetData sheetId="24548" refreshError="1"/>
      <sheetData sheetId="24549"/>
      <sheetData sheetId="24550"/>
      <sheetData sheetId="24551"/>
      <sheetData sheetId="24552"/>
      <sheetData sheetId="24553"/>
      <sheetData sheetId="24554"/>
      <sheetData sheetId="24555"/>
      <sheetData sheetId="24556"/>
      <sheetData sheetId="24557"/>
      <sheetData sheetId="24558"/>
      <sheetData sheetId="24559"/>
      <sheetData sheetId="24560"/>
      <sheetData sheetId="24561"/>
      <sheetData sheetId="24562"/>
      <sheetData sheetId="24563"/>
      <sheetData sheetId="24564"/>
      <sheetData sheetId="24565"/>
      <sheetData sheetId="24566"/>
      <sheetData sheetId="24567"/>
      <sheetData sheetId="24568"/>
      <sheetData sheetId="24569"/>
      <sheetData sheetId="24570"/>
      <sheetData sheetId="24571"/>
      <sheetData sheetId="24572"/>
      <sheetData sheetId="24573"/>
      <sheetData sheetId="24574"/>
      <sheetData sheetId="24575"/>
      <sheetData sheetId="24576"/>
      <sheetData sheetId="24577"/>
      <sheetData sheetId="24578"/>
      <sheetData sheetId="24579"/>
      <sheetData sheetId="24580"/>
      <sheetData sheetId="24581"/>
      <sheetData sheetId="24582"/>
      <sheetData sheetId="24583"/>
      <sheetData sheetId="24584"/>
      <sheetData sheetId="24585"/>
      <sheetData sheetId="24586"/>
      <sheetData sheetId="24587"/>
      <sheetData sheetId="24588"/>
      <sheetData sheetId="24589"/>
      <sheetData sheetId="24590"/>
      <sheetData sheetId="24591"/>
      <sheetData sheetId="24592"/>
      <sheetData sheetId="24593"/>
      <sheetData sheetId="24594"/>
      <sheetData sheetId="24595"/>
      <sheetData sheetId="24596"/>
      <sheetData sheetId="24597"/>
      <sheetData sheetId="24598"/>
      <sheetData sheetId="24599"/>
      <sheetData sheetId="24600"/>
      <sheetData sheetId="24601"/>
      <sheetData sheetId="24602"/>
      <sheetData sheetId="24603"/>
      <sheetData sheetId="24604"/>
      <sheetData sheetId="24605"/>
      <sheetData sheetId="24606"/>
      <sheetData sheetId="24607"/>
      <sheetData sheetId="24608"/>
      <sheetData sheetId="24609"/>
      <sheetData sheetId="24610"/>
      <sheetData sheetId="24611"/>
      <sheetData sheetId="24612"/>
      <sheetData sheetId="24613"/>
      <sheetData sheetId="24614"/>
      <sheetData sheetId="24615"/>
      <sheetData sheetId="24616"/>
      <sheetData sheetId="24617"/>
      <sheetData sheetId="24618"/>
      <sheetData sheetId="24619"/>
      <sheetData sheetId="24620"/>
      <sheetData sheetId="24621"/>
      <sheetData sheetId="24622"/>
      <sheetData sheetId="24623"/>
      <sheetData sheetId="24624"/>
      <sheetData sheetId="24625"/>
      <sheetData sheetId="24626"/>
      <sheetData sheetId="24627"/>
      <sheetData sheetId="24628"/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/>
      <sheetData sheetId="24699"/>
      <sheetData sheetId="24700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/>
      <sheetData sheetId="24716"/>
      <sheetData sheetId="24717"/>
      <sheetData sheetId="24718"/>
      <sheetData sheetId="24719"/>
      <sheetData sheetId="24720"/>
      <sheetData sheetId="24721" refreshError="1"/>
      <sheetData sheetId="24722"/>
      <sheetData sheetId="24723" refreshError="1"/>
      <sheetData sheetId="24724"/>
      <sheetData sheetId="24725"/>
      <sheetData sheetId="24726" refreshError="1"/>
      <sheetData sheetId="24727"/>
      <sheetData sheetId="24728"/>
      <sheetData sheetId="24729"/>
      <sheetData sheetId="24730"/>
      <sheetData sheetId="24731"/>
      <sheetData sheetId="24732"/>
      <sheetData sheetId="24733"/>
      <sheetData sheetId="24734"/>
      <sheetData sheetId="24735"/>
      <sheetData sheetId="24736"/>
      <sheetData sheetId="24737"/>
      <sheetData sheetId="24738"/>
      <sheetData sheetId="24739"/>
      <sheetData sheetId="24740"/>
      <sheetData sheetId="24741"/>
      <sheetData sheetId="24742"/>
      <sheetData sheetId="24743"/>
      <sheetData sheetId="24744"/>
      <sheetData sheetId="24745"/>
      <sheetData sheetId="24746"/>
      <sheetData sheetId="24747"/>
      <sheetData sheetId="24748"/>
      <sheetData sheetId="24749"/>
      <sheetData sheetId="24750"/>
      <sheetData sheetId="24751"/>
      <sheetData sheetId="24752"/>
      <sheetData sheetId="24753"/>
      <sheetData sheetId="24754"/>
      <sheetData sheetId="24755"/>
      <sheetData sheetId="24756"/>
      <sheetData sheetId="24757"/>
      <sheetData sheetId="24758"/>
      <sheetData sheetId="24759"/>
      <sheetData sheetId="24760"/>
      <sheetData sheetId="24761"/>
      <sheetData sheetId="24762"/>
      <sheetData sheetId="24763"/>
      <sheetData sheetId="24764"/>
      <sheetData sheetId="24765"/>
      <sheetData sheetId="24766"/>
      <sheetData sheetId="24767"/>
      <sheetData sheetId="24768"/>
      <sheetData sheetId="24769"/>
      <sheetData sheetId="24770"/>
      <sheetData sheetId="24771"/>
      <sheetData sheetId="24772"/>
      <sheetData sheetId="24773"/>
      <sheetData sheetId="24774"/>
      <sheetData sheetId="24775"/>
      <sheetData sheetId="24776"/>
      <sheetData sheetId="24777"/>
      <sheetData sheetId="24778"/>
      <sheetData sheetId="24779"/>
      <sheetData sheetId="24780"/>
      <sheetData sheetId="24781"/>
      <sheetData sheetId="24782"/>
      <sheetData sheetId="24783"/>
      <sheetData sheetId="24784"/>
      <sheetData sheetId="24785"/>
      <sheetData sheetId="24786"/>
      <sheetData sheetId="24787"/>
      <sheetData sheetId="24788" refreshError="1"/>
      <sheetData sheetId="24789" refreshError="1"/>
      <sheetData sheetId="24790"/>
      <sheetData sheetId="24791"/>
      <sheetData sheetId="24792"/>
      <sheetData sheetId="24793" refreshError="1"/>
      <sheetData sheetId="24794" refreshError="1"/>
      <sheetData sheetId="24795" refreshError="1"/>
      <sheetData sheetId="24796"/>
      <sheetData sheetId="24797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/>
      <sheetData sheetId="24816"/>
      <sheetData sheetId="24817"/>
      <sheetData sheetId="24818"/>
      <sheetData sheetId="24819"/>
      <sheetData sheetId="24820" refreshError="1"/>
      <sheetData sheetId="24821" refreshError="1"/>
      <sheetData sheetId="24822"/>
      <sheetData sheetId="24823"/>
      <sheetData sheetId="24824"/>
      <sheetData sheetId="24825" refreshError="1"/>
      <sheetData sheetId="24826"/>
      <sheetData sheetId="24827"/>
      <sheetData sheetId="24828"/>
      <sheetData sheetId="24829" refreshError="1"/>
      <sheetData sheetId="24830"/>
      <sheetData sheetId="24831" refreshError="1"/>
      <sheetData sheetId="24832"/>
      <sheetData sheetId="24833" refreshError="1"/>
      <sheetData sheetId="24834" refreshError="1"/>
      <sheetData sheetId="24835"/>
      <sheetData sheetId="24836" refreshError="1"/>
      <sheetData sheetId="24837" refreshError="1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/>
      <sheetData sheetId="24856"/>
      <sheetData sheetId="24857"/>
      <sheetData sheetId="24858"/>
      <sheetData sheetId="24859" refreshError="1"/>
      <sheetData sheetId="24860" refreshError="1"/>
      <sheetData sheetId="24861"/>
      <sheetData sheetId="24862"/>
      <sheetData sheetId="24863"/>
      <sheetData sheetId="24864" refreshError="1"/>
      <sheetData sheetId="24865" refreshError="1"/>
      <sheetData sheetId="24866" refreshError="1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/>
      <sheetData sheetId="24913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/>
      <sheetData sheetId="24942"/>
      <sheetData sheetId="24943"/>
      <sheetData sheetId="24944"/>
      <sheetData sheetId="24945"/>
      <sheetData sheetId="24946"/>
      <sheetData sheetId="24947"/>
      <sheetData sheetId="24948"/>
      <sheetData sheetId="24949"/>
      <sheetData sheetId="24950"/>
      <sheetData sheetId="24951"/>
      <sheetData sheetId="24952"/>
      <sheetData sheetId="24953"/>
      <sheetData sheetId="24954"/>
      <sheetData sheetId="24955"/>
      <sheetData sheetId="24956"/>
      <sheetData sheetId="24957"/>
      <sheetData sheetId="24958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 refreshError="1"/>
      <sheetData sheetId="24973"/>
      <sheetData sheetId="24974"/>
      <sheetData sheetId="24975" refreshError="1"/>
      <sheetData sheetId="24976" refreshError="1"/>
      <sheetData sheetId="24977"/>
      <sheetData sheetId="24978"/>
      <sheetData sheetId="24979"/>
      <sheetData sheetId="24980" refreshError="1"/>
      <sheetData sheetId="24981"/>
      <sheetData sheetId="24982" refreshError="1"/>
      <sheetData sheetId="24983" refreshError="1"/>
      <sheetData sheetId="24984" refreshError="1"/>
      <sheetData sheetId="24985"/>
      <sheetData sheetId="24986" refreshError="1"/>
      <sheetData sheetId="24987"/>
      <sheetData sheetId="24988"/>
      <sheetData sheetId="24989"/>
      <sheetData sheetId="24990"/>
      <sheetData sheetId="24991"/>
      <sheetData sheetId="24992" refreshError="1"/>
      <sheetData sheetId="24993"/>
      <sheetData sheetId="24994" refreshError="1"/>
      <sheetData sheetId="24995" refreshError="1"/>
      <sheetData sheetId="24996" refreshError="1"/>
      <sheetData sheetId="24997"/>
      <sheetData sheetId="24998"/>
      <sheetData sheetId="24999" refreshError="1"/>
      <sheetData sheetId="25000"/>
      <sheetData sheetId="25001" refreshError="1"/>
      <sheetData sheetId="25002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/>
      <sheetData sheetId="25012"/>
      <sheetData sheetId="25013" refreshError="1"/>
      <sheetData sheetId="25014"/>
      <sheetData sheetId="25015" refreshError="1"/>
      <sheetData sheetId="25016" refreshError="1"/>
      <sheetData sheetId="25017"/>
      <sheetData sheetId="25018"/>
      <sheetData sheetId="25019"/>
      <sheetData sheetId="25020" refreshError="1"/>
      <sheetData sheetId="25021"/>
      <sheetData sheetId="25022" refreshError="1"/>
      <sheetData sheetId="25023" refreshError="1"/>
      <sheetData sheetId="25024"/>
      <sheetData sheetId="25025" refreshError="1"/>
      <sheetData sheetId="25026"/>
      <sheetData sheetId="25027"/>
      <sheetData sheetId="25028" refreshError="1"/>
      <sheetData sheetId="25029" refreshError="1"/>
      <sheetData sheetId="25030" refreshError="1"/>
      <sheetData sheetId="25031" refreshError="1"/>
      <sheetData sheetId="25032"/>
      <sheetData sheetId="25033"/>
      <sheetData sheetId="25034"/>
      <sheetData sheetId="25035"/>
      <sheetData sheetId="25036" refreshError="1"/>
      <sheetData sheetId="25037"/>
      <sheetData sheetId="25038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/>
      <sheetData sheetId="25049"/>
      <sheetData sheetId="25050" refreshError="1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/>
      <sheetData sheetId="25063"/>
      <sheetData sheetId="25064"/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/>
      <sheetData sheetId="25079"/>
      <sheetData sheetId="25080"/>
      <sheetData sheetId="25081"/>
      <sheetData sheetId="25082"/>
      <sheetData sheetId="25083"/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/>
      <sheetData sheetId="25098"/>
      <sheetData sheetId="25099"/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/>
      <sheetData sheetId="25139"/>
      <sheetData sheetId="25140"/>
      <sheetData sheetId="25141"/>
      <sheetData sheetId="25142"/>
      <sheetData sheetId="25143"/>
      <sheetData sheetId="25144"/>
      <sheetData sheetId="25145"/>
      <sheetData sheetId="25146"/>
      <sheetData sheetId="25147"/>
      <sheetData sheetId="25148"/>
      <sheetData sheetId="25149"/>
      <sheetData sheetId="25150"/>
      <sheetData sheetId="25151"/>
      <sheetData sheetId="25152"/>
      <sheetData sheetId="25153"/>
      <sheetData sheetId="25154"/>
      <sheetData sheetId="25155"/>
      <sheetData sheetId="25156"/>
      <sheetData sheetId="25157"/>
      <sheetData sheetId="25158"/>
      <sheetData sheetId="25159"/>
      <sheetData sheetId="25160"/>
      <sheetData sheetId="25161"/>
      <sheetData sheetId="25162"/>
      <sheetData sheetId="25163"/>
      <sheetData sheetId="25164"/>
      <sheetData sheetId="25165"/>
      <sheetData sheetId="25166"/>
      <sheetData sheetId="25167"/>
      <sheetData sheetId="25168"/>
      <sheetData sheetId="25169"/>
      <sheetData sheetId="25170"/>
      <sheetData sheetId="25171"/>
      <sheetData sheetId="25172"/>
      <sheetData sheetId="25173"/>
      <sheetData sheetId="25174"/>
      <sheetData sheetId="25175"/>
      <sheetData sheetId="25176"/>
      <sheetData sheetId="25177"/>
      <sheetData sheetId="25178"/>
      <sheetData sheetId="25179"/>
      <sheetData sheetId="25180"/>
      <sheetData sheetId="25181"/>
      <sheetData sheetId="25182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/>
      <sheetData sheetId="25214"/>
      <sheetData sheetId="25215"/>
      <sheetData sheetId="25216"/>
      <sheetData sheetId="25217"/>
      <sheetData sheetId="25218"/>
      <sheetData sheetId="25219"/>
      <sheetData sheetId="25220"/>
      <sheetData sheetId="25221"/>
      <sheetData sheetId="25222"/>
      <sheetData sheetId="25223"/>
      <sheetData sheetId="25224"/>
      <sheetData sheetId="25225"/>
      <sheetData sheetId="25226"/>
      <sheetData sheetId="25227"/>
      <sheetData sheetId="25228"/>
      <sheetData sheetId="25229"/>
      <sheetData sheetId="25230"/>
      <sheetData sheetId="25231"/>
      <sheetData sheetId="25232"/>
      <sheetData sheetId="25233"/>
      <sheetData sheetId="25234"/>
      <sheetData sheetId="25235"/>
      <sheetData sheetId="25236"/>
      <sheetData sheetId="25237"/>
      <sheetData sheetId="25238"/>
      <sheetData sheetId="25239"/>
      <sheetData sheetId="25240"/>
      <sheetData sheetId="25241"/>
      <sheetData sheetId="25242"/>
      <sheetData sheetId="25243"/>
      <sheetData sheetId="25244"/>
      <sheetData sheetId="25245"/>
      <sheetData sheetId="25246"/>
      <sheetData sheetId="25247"/>
      <sheetData sheetId="25248"/>
      <sheetData sheetId="25249"/>
      <sheetData sheetId="25250"/>
      <sheetData sheetId="25251"/>
      <sheetData sheetId="25252"/>
      <sheetData sheetId="25253"/>
      <sheetData sheetId="25254"/>
      <sheetData sheetId="25255"/>
      <sheetData sheetId="25256"/>
      <sheetData sheetId="25257"/>
      <sheetData sheetId="25258"/>
      <sheetData sheetId="25259"/>
      <sheetData sheetId="25260"/>
      <sheetData sheetId="25261"/>
      <sheetData sheetId="25262"/>
      <sheetData sheetId="25263"/>
      <sheetData sheetId="25264"/>
      <sheetData sheetId="25265"/>
      <sheetData sheetId="25266"/>
      <sheetData sheetId="25267"/>
      <sheetData sheetId="25268"/>
      <sheetData sheetId="25269"/>
      <sheetData sheetId="25270"/>
      <sheetData sheetId="25271"/>
      <sheetData sheetId="25272"/>
      <sheetData sheetId="25273"/>
      <sheetData sheetId="25274"/>
      <sheetData sheetId="25275"/>
      <sheetData sheetId="25276"/>
      <sheetData sheetId="25277"/>
      <sheetData sheetId="25278"/>
      <sheetData sheetId="25279"/>
      <sheetData sheetId="25280"/>
      <sheetData sheetId="25281"/>
      <sheetData sheetId="25282"/>
      <sheetData sheetId="25283"/>
      <sheetData sheetId="25284"/>
      <sheetData sheetId="25285"/>
      <sheetData sheetId="25286"/>
      <sheetData sheetId="25287"/>
      <sheetData sheetId="25288"/>
      <sheetData sheetId="25289"/>
      <sheetData sheetId="25290"/>
      <sheetData sheetId="25291"/>
      <sheetData sheetId="25292"/>
      <sheetData sheetId="25293"/>
      <sheetData sheetId="25294"/>
      <sheetData sheetId="25295"/>
      <sheetData sheetId="25296"/>
      <sheetData sheetId="25297"/>
      <sheetData sheetId="25298"/>
      <sheetData sheetId="25299"/>
      <sheetData sheetId="25300"/>
      <sheetData sheetId="25301" refreshError="1"/>
      <sheetData sheetId="25302"/>
      <sheetData sheetId="25303" refreshError="1"/>
      <sheetData sheetId="25304"/>
      <sheetData sheetId="25305"/>
      <sheetData sheetId="25306" refreshError="1"/>
      <sheetData sheetId="25307"/>
      <sheetData sheetId="25308"/>
      <sheetData sheetId="25309" refreshError="1"/>
      <sheetData sheetId="25310"/>
      <sheetData sheetId="25311" refreshError="1"/>
      <sheetData sheetId="25312"/>
      <sheetData sheetId="25313" refreshError="1"/>
      <sheetData sheetId="25314" refreshError="1"/>
      <sheetData sheetId="25315"/>
      <sheetData sheetId="25316" refreshError="1"/>
      <sheetData sheetId="25317"/>
      <sheetData sheetId="25318"/>
      <sheetData sheetId="25319"/>
      <sheetData sheetId="25320"/>
      <sheetData sheetId="25321"/>
      <sheetData sheetId="25322"/>
      <sheetData sheetId="25323"/>
      <sheetData sheetId="25324"/>
      <sheetData sheetId="25325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/>
      <sheetData sheetId="25334"/>
      <sheetData sheetId="25335"/>
      <sheetData sheetId="25336"/>
      <sheetData sheetId="25337"/>
      <sheetData sheetId="25338"/>
      <sheetData sheetId="25339"/>
      <sheetData sheetId="25340" refreshError="1"/>
      <sheetData sheetId="25341"/>
      <sheetData sheetId="25342" refreshError="1"/>
      <sheetData sheetId="25343" refreshError="1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/>
      <sheetData sheetId="25358"/>
      <sheetData sheetId="25359"/>
      <sheetData sheetId="25360"/>
      <sheetData sheetId="25361"/>
      <sheetData sheetId="25362"/>
      <sheetData sheetId="25363"/>
      <sheetData sheetId="25364"/>
      <sheetData sheetId="25365"/>
      <sheetData sheetId="25366"/>
      <sheetData sheetId="25367"/>
      <sheetData sheetId="25368"/>
      <sheetData sheetId="25369"/>
      <sheetData sheetId="25370"/>
      <sheetData sheetId="25371"/>
      <sheetData sheetId="25372"/>
      <sheetData sheetId="25373"/>
      <sheetData sheetId="25374"/>
      <sheetData sheetId="25375"/>
      <sheetData sheetId="25376"/>
      <sheetData sheetId="25377"/>
      <sheetData sheetId="25378"/>
      <sheetData sheetId="25379"/>
      <sheetData sheetId="25380"/>
      <sheetData sheetId="25381"/>
      <sheetData sheetId="25382"/>
      <sheetData sheetId="25383"/>
      <sheetData sheetId="25384"/>
      <sheetData sheetId="25385"/>
      <sheetData sheetId="25386"/>
      <sheetData sheetId="25387"/>
      <sheetData sheetId="25388"/>
      <sheetData sheetId="25389"/>
      <sheetData sheetId="25390" refreshError="1"/>
      <sheetData sheetId="25391"/>
      <sheetData sheetId="25392" refreshError="1"/>
      <sheetData sheetId="25393" refreshError="1"/>
      <sheetData sheetId="25394"/>
      <sheetData sheetId="25395"/>
      <sheetData sheetId="25396"/>
      <sheetData sheetId="25397" refreshError="1"/>
      <sheetData sheetId="25398" refreshError="1"/>
      <sheetData sheetId="25399" refreshError="1"/>
      <sheetData sheetId="25400"/>
      <sheetData sheetId="25401"/>
      <sheetData sheetId="25402"/>
      <sheetData sheetId="25403"/>
      <sheetData sheetId="25404"/>
      <sheetData sheetId="25405"/>
      <sheetData sheetId="25406"/>
      <sheetData sheetId="25407"/>
      <sheetData sheetId="25408"/>
      <sheetData sheetId="25409"/>
      <sheetData sheetId="25410"/>
      <sheetData sheetId="25411"/>
      <sheetData sheetId="25412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 refreshError="1"/>
      <sheetData sheetId="25422"/>
      <sheetData sheetId="25423" refreshError="1"/>
      <sheetData sheetId="25424"/>
      <sheetData sheetId="25425" refreshError="1"/>
      <sheetData sheetId="25426" refreshError="1"/>
      <sheetData sheetId="25427"/>
      <sheetData sheetId="25428" refreshError="1"/>
      <sheetData sheetId="25429"/>
      <sheetData sheetId="25430"/>
      <sheetData sheetId="25431"/>
      <sheetData sheetId="25432"/>
      <sheetData sheetId="25433"/>
      <sheetData sheetId="25434"/>
      <sheetData sheetId="25435"/>
      <sheetData sheetId="25436"/>
      <sheetData sheetId="25437"/>
      <sheetData sheetId="25438"/>
      <sheetData sheetId="25439"/>
      <sheetData sheetId="25440"/>
      <sheetData sheetId="25441"/>
      <sheetData sheetId="25442"/>
      <sheetData sheetId="25443"/>
      <sheetData sheetId="25444"/>
      <sheetData sheetId="25445"/>
      <sheetData sheetId="25446"/>
      <sheetData sheetId="25447"/>
      <sheetData sheetId="25448"/>
      <sheetData sheetId="25449"/>
      <sheetData sheetId="25450"/>
      <sheetData sheetId="25451"/>
      <sheetData sheetId="25452" refreshError="1"/>
      <sheetData sheetId="25453" refreshError="1"/>
      <sheetData sheetId="25454"/>
      <sheetData sheetId="25455"/>
      <sheetData sheetId="25456"/>
      <sheetData sheetId="25457" refreshError="1"/>
      <sheetData sheetId="25458"/>
      <sheetData sheetId="25459"/>
      <sheetData sheetId="25460" refreshError="1"/>
      <sheetData sheetId="25461"/>
      <sheetData sheetId="25462"/>
      <sheetData sheetId="25463"/>
      <sheetData sheetId="25464" refreshError="1"/>
      <sheetData sheetId="25465" refreshError="1"/>
      <sheetData sheetId="25466" refreshError="1"/>
      <sheetData sheetId="25467"/>
      <sheetData sheetId="25468" refreshError="1"/>
      <sheetData sheetId="25469" refreshError="1"/>
      <sheetData sheetId="25470"/>
      <sheetData sheetId="25471"/>
      <sheetData sheetId="25472"/>
      <sheetData sheetId="25473"/>
      <sheetData sheetId="25474"/>
      <sheetData sheetId="25475"/>
      <sheetData sheetId="25476"/>
      <sheetData sheetId="25477"/>
      <sheetData sheetId="25478"/>
      <sheetData sheetId="25479"/>
      <sheetData sheetId="25480"/>
      <sheetData sheetId="25481"/>
      <sheetData sheetId="25482"/>
      <sheetData sheetId="25483"/>
      <sheetData sheetId="25484"/>
      <sheetData sheetId="25485"/>
      <sheetData sheetId="25486"/>
      <sheetData sheetId="25487"/>
      <sheetData sheetId="25488"/>
      <sheetData sheetId="25489"/>
      <sheetData sheetId="25490"/>
      <sheetData sheetId="25491"/>
      <sheetData sheetId="25492"/>
      <sheetData sheetId="25493"/>
      <sheetData sheetId="25494" refreshError="1"/>
      <sheetData sheetId="25495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/>
      <sheetData sheetId="25502"/>
      <sheetData sheetId="25503"/>
      <sheetData sheetId="25504"/>
      <sheetData sheetId="25505"/>
      <sheetData sheetId="25506"/>
      <sheetData sheetId="25507"/>
      <sheetData sheetId="25508"/>
      <sheetData sheetId="25509"/>
      <sheetData sheetId="25510"/>
      <sheetData sheetId="25511"/>
      <sheetData sheetId="25512"/>
      <sheetData sheetId="25513"/>
      <sheetData sheetId="25514"/>
      <sheetData sheetId="25515"/>
      <sheetData sheetId="25516"/>
      <sheetData sheetId="25517"/>
      <sheetData sheetId="25518"/>
      <sheetData sheetId="25519"/>
      <sheetData sheetId="25520"/>
      <sheetData sheetId="25521"/>
      <sheetData sheetId="25522"/>
      <sheetData sheetId="25523"/>
      <sheetData sheetId="25524"/>
      <sheetData sheetId="25525"/>
      <sheetData sheetId="25526" refreshError="1"/>
      <sheetData sheetId="25527"/>
      <sheetData sheetId="25528" refreshError="1"/>
      <sheetData sheetId="25529" refreshError="1"/>
      <sheetData sheetId="25530"/>
      <sheetData sheetId="25531" refreshError="1"/>
      <sheetData sheetId="25532"/>
      <sheetData sheetId="25533"/>
      <sheetData sheetId="25534" refreshError="1"/>
      <sheetData sheetId="25535" refreshError="1"/>
      <sheetData sheetId="25536" refreshError="1"/>
      <sheetData sheetId="25537" refreshError="1"/>
      <sheetData sheetId="25538"/>
      <sheetData sheetId="25539"/>
      <sheetData sheetId="25540"/>
      <sheetData sheetId="25541"/>
      <sheetData sheetId="25542"/>
      <sheetData sheetId="25543"/>
      <sheetData sheetId="25544"/>
      <sheetData sheetId="25545"/>
      <sheetData sheetId="25546"/>
      <sheetData sheetId="25547"/>
      <sheetData sheetId="25548"/>
      <sheetData sheetId="25549"/>
      <sheetData sheetId="25550"/>
      <sheetData sheetId="25551"/>
      <sheetData sheetId="25552"/>
      <sheetData sheetId="25553"/>
      <sheetData sheetId="25554"/>
      <sheetData sheetId="25555"/>
      <sheetData sheetId="25556"/>
      <sheetData sheetId="25557"/>
      <sheetData sheetId="25558"/>
      <sheetData sheetId="25559"/>
      <sheetData sheetId="25560"/>
      <sheetData sheetId="25561"/>
      <sheetData sheetId="25562" refreshError="1"/>
      <sheetData sheetId="25563"/>
      <sheetData sheetId="25564"/>
      <sheetData sheetId="25565" refreshError="1"/>
      <sheetData sheetId="25566" refreshError="1"/>
      <sheetData sheetId="25567" refreshError="1"/>
      <sheetData sheetId="25568" refreshError="1"/>
      <sheetData sheetId="25569"/>
      <sheetData sheetId="25570"/>
      <sheetData sheetId="25571"/>
      <sheetData sheetId="25572"/>
      <sheetData sheetId="25573"/>
      <sheetData sheetId="25574"/>
      <sheetData sheetId="25575"/>
      <sheetData sheetId="25576"/>
      <sheetData sheetId="25577"/>
      <sheetData sheetId="25578"/>
      <sheetData sheetId="25579"/>
      <sheetData sheetId="25580"/>
      <sheetData sheetId="25581"/>
      <sheetData sheetId="25582"/>
      <sheetData sheetId="25583"/>
      <sheetData sheetId="25584"/>
      <sheetData sheetId="25585"/>
      <sheetData sheetId="25586"/>
      <sheetData sheetId="25587"/>
      <sheetData sheetId="25588"/>
      <sheetData sheetId="25589"/>
      <sheetData sheetId="25590"/>
      <sheetData sheetId="25591"/>
      <sheetData sheetId="25592"/>
      <sheetData sheetId="25593"/>
      <sheetData sheetId="25594"/>
      <sheetData sheetId="25595" refreshError="1"/>
      <sheetData sheetId="25596"/>
      <sheetData sheetId="25597"/>
      <sheetData sheetId="25598" refreshError="1"/>
      <sheetData sheetId="25599" refreshError="1"/>
      <sheetData sheetId="25600"/>
      <sheetData sheetId="25601"/>
      <sheetData sheetId="25602"/>
      <sheetData sheetId="25603"/>
      <sheetData sheetId="25604" refreshError="1"/>
      <sheetData sheetId="25605"/>
      <sheetData sheetId="25606" refreshError="1"/>
      <sheetData sheetId="25607"/>
      <sheetData sheetId="25608" refreshError="1"/>
      <sheetData sheetId="25609" refreshError="1"/>
      <sheetData sheetId="25610"/>
      <sheetData sheetId="25611" refreshError="1"/>
      <sheetData sheetId="25612" refreshError="1"/>
      <sheetData sheetId="25613"/>
      <sheetData sheetId="25614"/>
      <sheetData sheetId="25615"/>
      <sheetData sheetId="25616"/>
      <sheetData sheetId="25617"/>
      <sheetData sheetId="25618"/>
      <sheetData sheetId="25619"/>
      <sheetData sheetId="25620"/>
      <sheetData sheetId="25621"/>
      <sheetData sheetId="25622"/>
      <sheetData sheetId="25623"/>
      <sheetData sheetId="25624"/>
      <sheetData sheetId="25625"/>
      <sheetData sheetId="25626"/>
      <sheetData sheetId="25627"/>
      <sheetData sheetId="25628"/>
      <sheetData sheetId="25629"/>
      <sheetData sheetId="25630"/>
      <sheetData sheetId="25631"/>
      <sheetData sheetId="25632"/>
      <sheetData sheetId="25633"/>
      <sheetData sheetId="25634" refreshError="1"/>
      <sheetData sheetId="25635" refreshError="1"/>
      <sheetData sheetId="25636"/>
      <sheetData sheetId="25637"/>
      <sheetData sheetId="25638"/>
      <sheetData sheetId="25639" refreshError="1"/>
      <sheetData sheetId="25640" refreshError="1"/>
      <sheetData sheetId="25641" refreshError="1"/>
      <sheetData sheetId="25642"/>
      <sheetData sheetId="25643"/>
      <sheetData sheetId="25644"/>
      <sheetData sheetId="25645"/>
      <sheetData sheetId="25646"/>
      <sheetData sheetId="25647"/>
      <sheetData sheetId="25648"/>
      <sheetData sheetId="25649"/>
      <sheetData sheetId="25650"/>
      <sheetData sheetId="25651"/>
      <sheetData sheetId="25652"/>
      <sheetData sheetId="25653"/>
      <sheetData sheetId="25654"/>
      <sheetData sheetId="25655"/>
      <sheetData sheetId="25656"/>
      <sheetData sheetId="25657"/>
      <sheetData sheetId="25658"/>
      <sheetData sheetId="25659"/>
      <sheetData sheetId="25660"/>
      <sheetData sheetId="25661"/>
      <sheetData sheetId="25662"/>
      <sheetData sheetId="25663"/>
      <sheetData sheetId="25664"/>
      <sheetData sheetId="25665"/>
      <sheetData sheetId="25666"/>
      <sheetData sheetId="25667" refreshError="1"/>
      <sheetData sheetId="25668" refreshError="1"/>
      <sheetData sheetId="25669"/>
      <sheetData sheetId="25670" refreshError="1"/>
      <sheetData sheetId="25671"/>
      <sheetData sheetId="25672"/>
      <sheetData sheetId="25673" refreshError="1"/>
      <sheetData sheetId="25674"/>
      <sheetData sheetId="25675" refreshError="1"/>
      <sheetData sheetId="25676" refreshError="1"/>
      <sheetData sheetId="25677"/>
      <sheetData sheetId="25678" refreshError="1"/>
      <sheetData sheetId="25679"/>
      <sheetData sheetId="25680" refreshError="1"/>
      <sheetData sheetId="25681" refreshError="1"/>
      <sheetData sheetId="25682"/>
      <sheetData sheetId="25683" refreshError="1"/>
      <sheetData sheetId="25684"/>
      <sheetData sheetId="25685"/>
      <sheetData sheetId="25686"/>
      <sheetData sheetId="25687"/>
      <sheetData sheetId="25688"/>
      <sheetData sheetId="25689"/>
      <sheetData sheetId="25690"/>
      <sheetData sheetId="25691"/>
      <sheetData sheetId="25692"/>
      <sheetData sheetId="25693"/>
      <sheetData sheetId="25694"/>
      <sheetData sheetId="25695"/>
      <sheetData sheetId="25696"/>
      <sheetData sheetId="25697"/>
      <sheetData sheetId="25698"/>
      <sheetData sheetId="25699"/>
      <sheetData sheetId="25700"/>
      <sheetData sheetId="25701"/>
      <sheetData sheetId="25702"/>
      <sheetData sheetId="25703"/>
      <sheetData sheetId="25704"/>
      <sheetData sheetId="25705"/>
      <sheetData sheetId="25706"/>
      <sheetData sheetId="25707"/>
      <sheetData sheetId="25708" refreshError="1"/>
      <sheetData sheetId="25709" refreshError="1"/>
      <sheetData sheetId="25710"/>
      <sheetData sheetId="25711"/>
      <sheetData sheetId="25712"/>
      <sheetData sheetId="25713" refreshError="1"/>
      <sheetData sheetId="25714"/>
      <sheetData sheetId="25715" refreshError="1"/>
      <sheetData sheetId="25716" refreshError="1"/>
      <sheetData sheetId="25717" refreshError="1"/>
      <sheetData sheetId="25718" refreshError="1"/>
      <sheetData sheetId="25719"/>
      <sheetData sheetId="25720"/>
      <sheetData sheetId="25721"/>
      <sheetData sheetId="25722"/>
      <sheetData sheetId="25723" refreshError="1"/>
      <sheetData sheetId="25724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/>
      <sheetData sheetId="25731"/>
      <sheetData sheetId="25732"/>
      <sheetData sheetId="25733"/>
      <sheetData sheetId="25734"/>
      <sheetData sheetId="25735"/>
      <sheetData sheetId="25736"/>
      <sheetData sheetId="25737"/>
      <sheetData sheetId="25738"/>
      <sheetData sheetId="25739"/>
      <sheetData sheetId="25740"/>
      <sheetData sheetId="25741"/>
      <sheetData sheetId="25742"/>
      <sheetData sheetId="25743"/>
      <sheetData sheetId="25744"/>
      <sheetData sheetId="25745"/>
      <sheetData sheetId="25746"/>
      <sheetData sheetId="25747"/>
      <sheetData sheetId="25748"/>
      <sheetData sheetId="25749"/>
      <sheetData sheetId="25750"/>
      <sheetData sheetId="25751" refreshError="1"/>
      <sheetData sheetId="25752"/>
      <sheetData sheetId="25753" refreshError="1"/>
      <sheetData sheetId="25754" refreshError="1"/>
      <sheetData sheetId="25755"/>
      <sheetData sheetId="25756"/>
      <sheetData sheetId="25757"/>
      <sheetData sheetId="25758"/>
      <sheetData sheetId="25759" refreshError="1"/>
      <sheetData sheetId="25760"/>
      <sheetData sheetId="25761" refreshError="1"/>
      <sheetData sheetId="25762" refreshError="1"/>
      <sheetData sheetId="25763"/>
      <sheetData sheetId="25764"/>
      <sheetData sheetId="25765"/>
      <sheetData sheetId="25766" refreshError="1"/>
      <sheetData sheetId="25767"/>
      <sheetData sheetId="25768"/>
      <sheetData sheetId="25769"/>
      <sheetData sheetId="25770"/>
      <sheetData sheetId="25771" refreshError="1"/>
      <sheetData sheetId="25772"/>
      <sheetData sheetId="25773" refreshError="1"/>
      <sheetData sheetId="25774" refreshError="1"/>
      <sheetData sheetId="25775"/>
      <sheetData sheetId="25776"/>
      <sheetData sheetId="25777"/>
      <sheetData sheetId="25778"/>
      <sheetData sheetId="25779" refreshError="1"/>
      <sheetData sheetId="25780"/>
      <sheetData sheetId="25781" refreshError="1"/>
      <sheetData sheetId="25782" refreshError="1"/>
      <sheetData sheetId="25783"/>
      <sheetData sheetId="25784"/>
      <sheetData sheetId="25785" refreshError="1"/>
      <sheetData sheetId="25786"/>
      <sheetData sheetId="25787"/>
      <sheetData sheetId="25788" refreshError="1"/>
      <sheetData sheetId="25789" refreshError="1"/>
      <sheetData sheetId="25790" refreshError="1"/>
      <sheetData sheetId="25791" refreshError="1"/>
      <sheetData sheetId="25792"/>
      <sheetData sheetId="25793"/>
      <sheetData sheetId="25794"/>
      <sheetData sheetId="25795"/>
      <sheetData sheetId="25796"/>
      <sheetData sheetId="25797"/>
      <sheetData sheetId="25798"/>
      <sheetData sheetId="25799"/>
      <sheetData sheetId="25800"/>
      <sheetData sheetId="25801"/>
      <sheetData sheetId="25802"/>
      <sheetData sheetId="25803"/>
      <sheetData sheetId="25804"/>
      <sheetData sheetId="25805"/>
      <sheetData sheetId="25806"/>
      <sheetData sheetId="25807"/>
      <sheetData sheetId="25808"/>
      <sheetData sheetId="25809"/>
      <sheetData sheetId="25810"/>
      <sheetData sheetId="25811"/>
      <sheetData sheetId="25812"/>
      <sheetData sheetId="25813"/>
      <sheetData sheetId="25814"/>
      <sheetData sheetId="25815"/>
      <sheetData sheetId="25816"/>
      <sheetData sheetId="25817"/>
      <sheetData sheetId="25818" refreshError="1"/>
      <sheetData sheetId="25819"/>
      <sheetData sheetId="25820"/>
      <sheetData sheetId="25821" refreshError="1"/>
      <sheetData sheetId="25822" refreshError="1"/>
      <sheetData sheetId="25823"/>
      <sheetData sheetId="25824"/>
      <sheetData sheetId="25825" refreshError="1"/>
      <sheetData sheetId="25826"/>
      <sheetData sheetId="25827"/>
      <sheetData sheetId="25828" refreshError="1"/>
      <sheetData sheetId="25829" refreshError="1"/>
      <sheetData sheetId="25830" refreshError="1"/>
      <sheetData sheetId="25831" refreshError="1"/>
      <sheetData sheetId="25832"/>
      <sheetData sheetId="25833"/>
      <sheetData sheetId="25834"/>
      <sheetData sheetId="25835"/>
      <sheetData sheetId="25836"/>
      <sheetData sheetId="25837"/>
      <sheetData sheetId="25838"/>
      <sheetData sheetId="25839"/>
      <sheetData sheetId="25840"/>
      <sheetData sheetId="25841"/>
      <sheetData sheetId="25842"/>
      <sheetData sheetId="25843"/>
      <sheetData sheetId="25844"/>
      <sheetData sheetId="25845"/>
      <sheetData sheetId="25846"/>
      <sheetData sheetId="25847"/>
      <sheetData sheetId="25848"/>
      <sheetData sheetId="25849"/>
      <sheetData sheetId="25850"/>
      <sheetData sheetId="25851"/>
      <sheetData sheetId="25852"/>
      <sheetData sheetId="25853"/>
      <sheetData sheetId="25854"/>
      <sheetData sheetId="25855"/>
      <sheetData sheetId="25856"/>
      <sheetData sheetId="25857" refreshError="1"/>
      <sheetData sheetId="25858"/>
      <sheetData sheetId="25859"/>
      <sheetData sheetId="25860" refreshError="1"/>
      <sheetData sheetId="25861" refreshError="1"/>
      <sheetData sheetId="25862"/>
      <sheetData sheetId="25863"/>
      <sheetData sheetId="25864"/>
      <sheetData sheetId="25865"/>
      <sheetData sheetId="25866" refreshError="1"/>
      <sheetData sheetId="25867" refreshError="1"/>
      <sheetData sheetId="25868"/>
      <sheetData sheetId="25869" refreshError="1"/>
      <sheetData sheetId="25870" refreshError="1"/>
      <sheetData sheetId="25871"/>
      <sheetData sheetId="25872" refreshError="1"/>
      <sheetData sheetId="25873" refreshError="1"/>
      <sheetData sheetId="25874"/>
      <sheetData sheetId="25875"/>
      <sheetData sheetId="25876"/>
      <sheetData sheetId="25877"/>
      <sheetData sheetId="25878"/>
      <sheetData sheetId="25879"/>
      <sheetData sheetId="25880"/>
      <sheetData sheetId="25881"/>
      <sheetData sheetId="25882"/>
      <sheetData sheetId="25883"/>
      <sheetData sheetId="25884"/>
      <sheetData sheetId="25885"/>
      <sheetData sheetId="25886"/>
      <sheetData sheetId="25887"/>
      <sheetData sheetId="25888"/>
      <sheetData sheetId="25889"/>
      <sheetData sheetId="25890"/>
      <sheetData sheetId="25891"/>
      <sheetData sheetId="25892"/>
      <sheetData sheetId="25893"/>
      <sheetData sheetId="25894"/>
      <sheetData sheetId="25895" refreshError="1"/>
      <sheetData sheetId="25896"/>
      <sheetData sheetId="25897"/>
      <sheetData sheetId="25898"/>
      <sheetData sheetId="25899" refreshError="1"/>
      <sheetData sheetId="25900" refreshError="1"/>
      <sheetData sheetId="25901" refreshError="1"/>
      <sheetData sheetId="25902"/>
      <sheetData sheetId="25903" refreshError="1"/>
      <sheetData sheetId="25904" refreshError="1"/>
      <sheetData sheetId="25905"/>
      <sheetData sheetId="25906"/>
      <sheetData sheetId="25907"/>
      <sheetData sheetId="25908"/>
      <sheetData sheetId="25909"/>
      <sheetData sheetId="25910"/>
      <sheetData sheetId="25911"/>
      <sheetData sheetId="25912"/>
      <sheetData sheetId="25913"/>
      <sheetData sheetId="25914"/>
      <sheetData sheetId="25915"/>
      <sheetData sheetId="25916"/>
      <sheetData sheetId="25917"/>
      <sheetData sheetId="25918"/>
      <sheetData sheetId="25919"/>
      <sheetData sheetId="25920"/>
      <sheetData sheetId="25921"/>
      <sheetData sheetId="25922"/>
      <sheetData sheetId="25923"/>
      <sheetData sheetId="25924"/>
      <sheetData sheetId="25925"/>
      <sheetData sheetId="25926"/>
      <sheetData sheetId="25927" refreshError="1"/>
      <sheetData sheetId="25928" refreshError="1"/>
      <sheetData sheetId="25929" refreshError="1"/>
      <sheetData sheetId="25930"/>
      <sheetData sheetId="25931"/>
      <sheetData sheetId="25932" refreshError="1"/>
      <sheetData sheetId="25933"/>
      <sheetData sheetId="25934" refreshError="1"/>
      <sheetData sheetId="25935" refreshError="1"/>
      <sheetData sheetId="25936"/>
      <sheetData sheetId="25937"/>
      <sheetData sheetId="25938"/>
      <sheetData sheetId="25939"/>
      <sheetData sheetId="25940"/>
      <sheetData sheetId="25941"/>
      <sheetData sheetId="25942"/>
      <sheetData sheetId="25943"/>
      <sheetData sheetId="25944"/>
      <sheetData sheetId="25945"/>
      <sheetData sheetId="25946"/>
      <sheetData sheetId="25947"/>
      <sheetData sheetId="25948"/>
      <sheetData sheetId="25949"/>
      <sheetData sheetId="25950"/>
      <sheetData sheetId="25951"/>
      <sheetData sheetId="25952"/>
      <sheetData sheetId="25953"/>
      <sheetData sheetId="25954"/>
      <sheetData sheetId="25955"/>
      <sheetData sheetId="25956"/>
      <sheetData sheetId="25957"/>
      <sheetData sheetId="25958" refreshError="1"/>
      <sheetData sheetId="25959" refreshError="1"/>
      <sheetData sheetId="25960"/>
      <sheetData sheetId="25961"/>
      <sheetData sheetId="25962"/>
      <sheetData sheetId="25963" refreshError="1"/>
      <sheetData sheetId="25964"/>
      <sheetData sheetId="25965"/>
      <sheetData sheetId="25966" refreshError="1"/>
      <sheetData sheetId="25967" refreshError="1"/>
      <sheetData sheetId="25968"/>
      <sheetData sheetId="25969"/>
      <sheetData sheetId="25970"/>
      <sheetData sheetId="25971" refreshError="1"/>
      <sheetData sheetId="25972" refreshError="1"/>
      <sheetData sheetId="25973" refreshError="1"/>
      <sheetData sheetId="25974"/>
      <sheetData sheetId="25975" refreshError="1"/>
      <sheetData sheetId="25976"/>
      <sheetData sheetId="25977"/>
      <sheetData sheetId="25978"/>
      <sheetData sheetId="25979"/>
      <sheetData sheetId="25980"/>
      <sheetData sheetId="25981"/>
      <sheetData sheetId="25982"/>
      <sheetData sheetId="25983"/>
      <sheetData sheetId="25984"/>
      <sheetData sheetId="25985"/>
      <sheetData sheetId="25986"/>
      <sheetData sheetId="25987"/>
      <sheetData sheetId="25988"/>
      <sheetData sheetId="25989"/>
      <sheetData sheetId="25990"/>
      <sheetData sheetId="25991"/>
      <sheetData sheetId="25992"/>
      <sheetData sheetId="25993"/>
      <sheetData sheetId="25994"/>
      <sheetData sheetId="25995"/>
      <sheetData sheetId="25996"/>
      <sheetData sheetId="25997"/>
      <sheetData sheetId="25998" refreshError="1"/>
      <sheetData sheetId="25999" refreshError="1"/>
      <sheetData sheetId="26000"/>
      <sheetData sheetId="26001"/>
      <sheetData sheetId="26002"/>
      <sheetData sheetId="26003" refreshError="1"/>
      <sheetData sheetId="26004"/>
      <sheetData sheetId="26005"/>
      <sheetData sheetId="26006" refreshError="1"/>
      <sheetData sheetId="26007"/>
      <sheetData sheetId="26008"/>
      <sheetData sheetId="26009" refreshError="1"/>
      <sheetData sheetId="26010" refreshError="1"/>
      <sheetData sheetId="26011" refreshError="1"/>
      <sheetData sheetId="26012"/>
      <sheetData sheetId="26013" refreshError="1"/>
      <sheetData sheetId="26014" refreshError="1"/>
      <sheetData sheetId="26015"/>
      <sheetData sheetId="26016"/>
      <sheetData sheetId="26017"/>
      <sheetData sheetId="26018"/>
      <sheetData sheetId="26019"/>
      <sheetData sheetId="26020"/>
      <sheetData sheetId="26021"/>
      <sheetData sheetId="26022"/>
      <sheetData sheetId="26023"/>
      <sheetData sheetId="26024"/>
      <sheetData sheetId="26025"/>
      <sheetData sheetId="26026"/>
      <sheetData sheetId="26027"/>
      <sheetData sheetId="26028"/>
      <sheetData sheetId="26029"/>
      <sheetData sheetId="26030"/>
      <sheetData sheetId="26031"/>
      <sheetData sheetId="26032"/>
      <sheetData sheetId="26033"/>
      <sheetData sheetId="26034"/>
      <sheetData sheetId="26035"/>
      <sheetData sheetId="26036"/>
      <sheetData sheetId="26037" refreshError="1"/>
      <sheetData sheetId="26038" refreshError="1"/>
      <sheetData sheetId="26039"/>
      <sheetData sheetId="26040"/>
      <sheetData sheetId="26041" refreshError="1"/>
      <sheetData sheetId="26042"/>
      <sheetData sheetId="26043"/>
      <sheetData sheetId="26044" refreshError="1"/>
      <sheetData sheetId="26045" refreshError="1"/>
      <sheetData sheetId="26046" refreshError="1"/>
      <sheetData sheetId="26047"/>
      <sheetData sheetId="26048"/>
      <sheetData sheetId="26049"/>
      <sheetData sheetId="26050"/>
      <sheetData sheetId="26051"/>
      <sheetData sheetId="26052"/>
      <sheetData sheetId="26053"/>
      <sheetData sheetId="26054"/>
      <sheetData sheetId="26055"/>
      <sheetData sheetId="26056"/>
      <sheetData sheetId="26057"/>
      <sheetData sheetId="26058"/>
      <sheetData sheetId="26059"/>
      <sheetData sheetId="26060"/>
      <sheetData sheetId="26061"/>
      <sheetData sheetId="26062"/>
      <sheetData sheetId="26063"/>
      <sheetData sheetId="26064"/>
      <sheetData sheetId="26065"/>
      <sheetData sheetId="26066"/>
      <sheetData sheetId="26067"/>
      <sheetData sheetId="26068"/>
      <sheetData sheetId="26069"/>
      <sheetData sheetId="26070" refreshError="1"/>
      <sheetData sheetId="26071"/>
      <sheetData sheetId="26072"/>
      <sheetData sheetId="26073" refreshError="1"/>
      <sheetData sheetId="26074" refreshError="1"/>
      <sheetData sheetId="26075"/>
      <sheetData sheetId="26076"/>
      <sheetData sheetId="26077"/>
      <sheetData sheetId="26078" refreshError="1"/>
      <sheetData sheetId="26079"/>
      <sheetData sheetId="26080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/>
      <sheetData sheetId="26087"/>
      <sheetData sheetId="26088"/>
      <sheetData sheetId="26089"/>
      <sheetData sheetId="26090"/>
      <sheetData sheetId="26091"/>
      <sheetData sheetId="26092"/>
      <sheetData sheetId="26093"/>
      <sheetData sheetId="26094"/>
      <sheetData sheetId="26095"/>
      <sheetData sheetId="26096"/>
      <sheetData sheetId="26097"/>
      <sheetData sheetId="26098"/>
      <sheetData sheetId="26099"/>
      <sheetData sheetId="26100"/>
      <sheetData sheetId="26101"/>
      <sheetData sheetId="26102"/>
      <sheetData sheetId="26103"/>
      <sheetData sheetId="26104"/>
      <sheetData sheetId="26105"/>
      <sheetData sheetId="26106"/>
      <sheetData sheetId="26107"/>
      <sheetData sheetId="26108"/>
      <sheetData sheetId="26109" refreshError="1"/>
      <sheetData sheetId="26110"/>
      <sheetData sheetId="26111" refreshError="1"/>
      <sheetData sheetId="26112" refreshError="1"/>
      <sheetData sheetId="26113" refreshError="1"/>
      <sheetData sheetId="26114"/>
      <sheetData sheetId="26115"/>
      <sheetData sheetId="26116"/>
      <sheetData sheetId="26117"/>
      <sheetData sheetId="26118"/>
      <sheetData sheetId="26119" refreshError="1"/>
      <sheetData sheetId="26120"/>
      <sheetData sheetId="26121" refreshError="1"/>
      <sheetData sheetId="26122" refreshError="1"/>
      <sheetData sheetId="26123"/>
      <sheetData sheetId="26124" refreshError="1"/>
      <sheetData sheetId="26125" refreshError="1"/>
      <sheetData sheetId="26126"/>
      <sheetData sheetId="26127"/>
      <sheetData sheetId="26128"/>
      <sheetData sheetId="26129"/>
      <sheetData sheetId="26130"/>
      <sheetData sheetId="26131"/>
      <sheetData sheetId="26132"/>
      <sheetData sheetId="26133"/>
      <sheetData sheetId="26134"/>
      <sheetData sheetId="26135"/>
      <sheetData sheetId="26136"/>
      <sheetData sheetId="26137"/>
      <sheetData sheetId="26138"/>
      <sheetData sheetId="26139"/>
      <sheetData sheetId="26140"/>
      <sheetData sheetId="26141"/>
      <sheetData sheetId="26142"/>
      <sheetData sheetId="26143"/>
      <sheetData sheetId="26144"/>
      <sheetData sheetId="26145"/>
      <sheetData sheetId="26146"/>
      <sheetData sheetId="26147"/>
      <sheetData sheetId="26148"/>
      <sheetData sheetId="26149"/>
      <sheetData sheetId="26150"/>
      <sheetData sheetId="26151"/>
      <sheetData sheetId="26152"/>
      <sheetData sheetId="26153"/>
      <sheetData sheetId="26154"/>
      <sheetData sheetId="26155"/>
      <sheetData sheetId="26156"/>
      <sheetData sheetId="26157"/>
      <sheetData sheetId="26158"/>
      <sheetData sheetId="26159"/>
      <sheetData sheetId="26160" refreshError="1"/>
      <sheetData sheetId="26161" refreshError="1"/>
      <sheetData sheetId="26162"/>
      <sheetData sheetId="26163"/>
      <sheetData sheetId="26164"/>
      <sheetData sheetId="26165"/>
      <sheetData sheetId="26166"/>
      <sheetData sheetId="26167"/>
      <sheetData sheetId="26168"/>
      <sheetData sheetId="26169"/>
      <sheetData sheetId="26170"/>
      <sheetData sheetId="26171"/>
      <sheetData sheetId="26172"/>
      <sheetData sheetId="26173"/>
      <sheetData sheetId="26174"/>
      <sheetData sheetId="26175"/>
      <sheetData sheetId="26176"/>
      <sheetData sheetId="26177" refreshError="1"/>
      <sheetData sheetId="26178"/>
      <sheetData sheetId="26179" refreshError="1"/>
      <sheetData sheetId="26180"/>
      <sheetData sheetId="26181" refreshError="1"/>
      <sheetData sheetId="26182" refreshError="1"/>
      <sheetData sheetId="26183"/>
      <sheetData sheetId="26184"/>
      <sheetData sheetId="26185"/>
      <sheetData sheetId="26186"/>
      <sheetData sheetId="26187"/>
      <sheetData sheetId="26188"/>
      <sheetData sheetId="26189"/>
      <sheetData sheetId="26190"/>
      <sheetData sheetId="26191"/>
      <sheetData sheetId="26192"/>
      <sheetData sheetId="26193"/>
      <sheetData sheetId="26194" refreshError="1"/>
      <sheetData sheetId="26195"/>
      <sheetData sheetId="26196" refreshError="1"/>
      <sheetData sheetId="26197" refreshError="1"/>
      <sheetData sheetId="26198" refreshError="1"/>
      <sheetData sheetId="26199"/>
      <sheetData sheetId="26200"/>
      <sheetData sheetId="26201"/>
      <sheetData sheetId="26202"/>
      <sheetData sheetId="26203" refreshError="1"/>
      <sheetData sheetId="26204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/>
      <sheetData sheetId="26211"/>
      <sheetData sheetId="26212"/>
      <sheetData sheetId="26213"/>
      <sheetData sheetId="26214"/>
      <sheetData sheetId="26215"/>
      <sheetData sheetId="26216"/>
      <sheetData sheetId="26217"/>
      <sheetData sheetId="26218"/>
      <sheetData sheetId="26219"/>
      <sheetData sheetId="26220"/>
      <sheetData sheetId="26221"/>
      <sheetData sheetId="26222"/>
      <sheetData sheetId="26223"/>
      <sheetData sheetId="26224"/>
      <sheetData sheetId="26225"/>
      <sheetData sheetId="26226"/>
      <sheetData sheetId="26227"/>
      <sheetData sheetId="26228"/>
      <sheetData sheetId="26229"/>
      <sheetData sheetId="26230"/>
      <sheetData sheetId="26231" refreshError="1"/>
      <sheetData sheetId="26232" refreshError="1"/>
      <sheetData sheetId="26233"/>
      <sheetData sheetId="26234"/>
      <sheetData sheetId="26235"/>
      <sheetData sheetId="26236" refreshError="1"/>
      <sheetData sheetId="26237" refreshError="1"/>
      <sheetData sheetId="26238"/>
      <sheetData sheetId="26239"/>
      <sheetData sheetId="26240"/>
      <sheetData sheetId="26241" refreshError="1"/>
      <sheetData sheetId="26242" refreshError="1"/>
      <sheetData sheetId="26243"/>
      <sheetData sheetId="26244"/>
      <sheetData sheetId="26245" refreshError="1"/>
      <sheetData sheetId="26246" refreshError="1"/>
      <sheetData sheetId="26247"/>
      <sheetData sheetId="26248" refreshError="1"/>
      <sheetData sheetId="26249"/>
      <sheetData sheetId="26250"/>
      <sheetData sheetId="26251"/>
      <sheetData sheetId="26252"/>
      <sheetData sheetId="26253"/>
      <sheetData sheetId="26254"/>
      <sheetData sheetId="26255"/>
      <sheetData sheetId="26256"/>
      <sheetData sheetId="26257"/>
      <sheetData sheetId="26258"/>
      <sheetData sheetId="26259"/>
      <sheetData sheetId="26260"/>
      <sheetData sheetId="26261"/>
      <sheetData sheetId="26262"/>
      <sheetData sheetId="26263"/>
      <sheetData sheetId="26264"/>
      <sheetData sheetId="26265"/>
      <sheetData sheetId="26266" refreshError="1"/>
      <sheetData sheetId="26267" refreshError="1"/>
      <sheetData sheetId="26268"/>
      <sheetData sheetId="26269"/>
      <sheetData sheetId="26270"/>
      <sheetData sheetId="26271" refreshError="1"/>
      <sheetData sheetId="26272"/>
      <sheetData sheetId="26273"/>
      <sheetData sheetId="26274" refreshError="1"/>
      <sheetData sheetId="26275" refreshError="1"/>
      <sheetData sheetId="26276"/>
      <sheetData sheetId="26277"/>
      <sheetData sheetId="26278"/>
      <sheetData sheetId="26279" refreshError="1"/>
      <sheetData sheetId="26280"/>
      <sheetData sheetId="26281"/>
      <sheetData sheetId="26282"/>
      <sheetData sheetId="26283"/>
      <sheetData sheetId="26284"/>
      <sheetData sheetId="26285"/>
      <sheetData sheetId="26286"/>
      <sheetData sheetId="26287"/>
      <sheetData sheetId="26288"/>
      <sheetData sheetId="26289"/>
      <sheetData sheetId="26290"/>
      <sheetData sheetId="26291"/>
      <sheetData sheetId="26292"/>
      <sheetData sheetId="26293"/>
      <sheetData sheetId="26294"/>
      <sheetData sheetId="26295"/>
      <sheetData sheetId="26296"/>
      <sheetData sheetId="26297" refreshError="1"/>
      <sheetData sheetId="26298"/>
      <sheetData sheetId="26299"/>
      <sheetData sheetId="26300" refreshError="1"/>
      <sheetData sheetId="26301" refreshError="1"/>
      <sheetData sheetId="26302"/>
      <sheetData sheetId="26303"/>
      <sheetData sheetId="26304"/>
      <sheetData sheetId="26305" refreshError="1"/>
      <sheetData sheetId="26306"/>
      <sheetData sheetId="26307"/>
      <sheetData sheetId="26308"/>
      <sheetData sheetId="26309" refreshError="1"/>
      <sheetData sheetId="26310" refreshError="1"/>
      <sheetData sheetId="26311"/>
      <sheetData sheetId="26312"/>
      <sheetData sheetId="26313" refreshError="1"/>
      <sheetData sheetId="26314"/>
      <sheetData sheetId="26315"/>
      <sheetData sheetId="26316"/>
      <sheetData sheetId="26317" refreshError="1"/>
      <sheetData sheetId="26318" refreshError="1"/>
      <sheetData sheetId="26319"/>
      <sheetData sheetId="26320"/>
      <sheetData sheetId="26321"/>
      <sheetData sheetId="26322"/>
      <sheetData sheetId="26323"/>
      <sheetData sheetId="26324"/>
      <sheetData sheetId="26325"/>
      <sheetData sheetId="26326" refreshError="1"/>
      <sheetData sheetId="26327" refreshError="1"/>
      <sheetData sheetId="26328"/>
      <sheetData sheetId="26329" refreshError="1"/>
      <sheetData sheetId="26330" refreshError="1"/>
      <sheetData sheetId="26331"/>
      <sheetData sheetId="26332"/>
      <sheetData sheetId="26333" refreshError="1"/>
      <sheetData sheetId="26334"/>
      <sheetData sheetId="26335" refreshError="1"/>
      <sheetData sheetId="26336"/>
      <sheetData sheetId="26337" refreshError="1"/>
      <sheetData sheetId="26338" refreshError="1"/>
      <sheetData sheetId="26339" refreshError="1"/>
      <sheetData sheetId="26340"/>
      <sheetData sheetId="26341"/>
      <sheetData sheetId="26342"/>
      <sheetData sheetId="26343" refreshError="1"/>
      <sheetData sheetId="26344" refreshError="1"/>
      <sheetData sheetId="26345"/>
      <sheetData sheetId="26346"/>
      <sheetData sheetId="26347"/>
      <sheetData sheetId="26348"/>
      <sheetData sheetId="26349"/>
      <sheetData sheetId="26350"/>
      <sheetData sheetId="26351"/>
      <sheetData sheetId="26352"/>
      <sheetData sheetId="26353"/>
      <sheetData sheetId="26354" refreshError="1"/>
      <sheetData sheetId="26355"/>
      <sheetData sheetId="26356"/>
      <sheetData sheetId="26357" refreshError="1"/>
      <sheetData sheetId="26358" refreshError="1"/>
      <sheetData sheetId="26359" refreshError="1"/>
      <sheetData sheetId="26360"/>
      <sheetData sheetId="26361" refreshError="1"/>
      <sheetData sheetId="26362" refreshError="1"/>
      <sheetData sheetId="26363"/>
      <sheetData sheetId="26364"/>
      <sheetData sheetId="26365"/>
      <sheetData sheetId="26366"/>
      <sheetData sheetId="26367"/>
      <sheetData sheetId="26368"/>
      <sheetData sheetId="26369"/>
      <sheetData sheetId="26370"/>
      <sheetData sheetId="26371"/>
      <sheetData sheetId="26372"/>
      <sheetData sheetId="26373"/>
      <sheetData sheetId="26374"/>
      <sheetData sheetId="26375"/>
      <sheetData sheetId="26376"/>
      <sheetData sheetId="26377"/>
      <sheetData sheetId="26378"/>
      <sheetData sheetId="26379"/>
      <sheetData sheetId="26380"/>
      <sheetData sheetId="26381"/>
      <sheetData sheetId="26382"/>
      <sheetData sheetId="26383" refreshError="1"/>
      <sheetData sheetId="26384" refreshError="1"/>
      <sheetData sheetId="26385"/>
      <sheetData sheetId="26386"/>
      <sheetData sheetId="26387"/>
      <sheetData sheetId="26388"/>
      <sheetData sheetId="26389"/>
      <sheetData sheetId="26390"/>
      <sheetData sheetId="26391"/>
      <sheetData sheetId="26392"/>
      <sheetData sheetId="26393"/>
      <sheetData sheetId="26394"/>
      <sheetData sheetId="26395"/>
      <sheetData sheetId="26396"/>
      <sheetData sheetId="26397"/>
      <sheetData sheetId="26398"/>
      <sheetData sheetId="26399"/>
      <sheetData sheetId="26400"/>
      <sheetData sheetId="26401"/>
      <sheetData sheetId="26402"/>
      <sheetData sheetId="26403"/>
      <sheetData sheetId="26404"/>
      <sheetData sheetId="26405"/>
      <sheetData sheetId="26406" refreshError="1"/>
      <sheetData sheetId="26407"/>
      <sheetData sheetId="26408"/>
      <sheetData sheetId="26409"/>
      <sheetData sheetId="26410" refreshError="1"/>
      <sheetData sheetId="26411" refreshError="1"/>
      <sheetData sheetId="26412"/>
      <sheetData sheetId="26413"/>
      <sheetData sheetId="26414" refreshError="1"/>
      <sheetData sheetId="26415"/>
      <sheetData sheetId="26416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/>
      <sheetData sheetId="26424"/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/>
      <sheetData sheetId="26436"/>
      <sheetData sheetId="26437"/>
      <sheetData sheetId="26438"/>
      <sheetData sheetId="26439"/>
      <sheetData sheetId="26440"/>
      <sheetData sheetId="26441"/>
      <sheetData sheetId="26442"/>
      <sheetData sheetId="26443"/>
      <sheetData sheetId="26444"/>
      <sheetData sheetId="26445"/>
      <sheetData sheetId="26446" refreshError="1"/>
      <sheetData sheetId="26447" refreshError="1"/>
      <sheetData sheetId="26448"/>
      <sheetData sheetId="26449"/>
      <sheetData sheetId="26450"/>
      <sheetData sheetId="26451" refreshError="1"/>
      <sheetData sheetId="26452"/>
      <sheetData sheetId="26453"/>
      <sheetData sheetId="26454" refreshError="1"/>
      <sheetData sheetId="26455" refreshError="1"/>
      <sheetData sheetId="26456"/>
      <sheetData sheetId="26457"/>
      <sheetData sheetId="26458"/>
      <sheetData sheetId="26459"/>
      <sheetData sheetId="26460" refreshError="1"/>
      <sheetData sheetId="26461"/>
      <sheetData sheetId="26462"/>
      <sheetData sheetId="26463" refreshError="1"/>
      <sheetData sheetId="26464" refreshError="1"/>
      <sheetData sheetId="26465"/>
      <sheetData sheetId="26466"/>
      <sheetData sheetId="26467" refreshError="1"/>
      <sheetData sheetId="26468" refreshError="1"/>
      <sheetData sheetId="26469"/>
      <sheetData sheetId="26470" refreshError="1"/>
      <sheetData sheetId="26471"/>
      <sheetData sheetId="26472"/>
      <sheetData sheetId="26473" refreshError="1"/>
      <sheetData sheetId="26474" refreshError="1"/>
      <sheetData sheetId="26475"/>
      <sheetData sheetId="26476"/>
      <sheetData sheetId="26477"/>
      <sheetData sheetId="26478" refreshError="1"/>
      <sheetData sheetId="26479"/>
      <sheetData sheetId="26480"/>
      <sheetData sheetId="26481"/>
      <sheetData sheetId="26482" refreshError="1"/>
      <sheetData sheetId="26483"/>
      <sheetData sheetId="26484"/>
      <sheetData sheetId="26485" refreshError="1"/>
      <sheetData sheetId="26486"/>
      <sheetData sheetId="26487"/>
      <sheetData sheetId="26488" refreshError="1"/>
      <sheetData sheetId="26489" refreshError="1"/>
      <sheetData sheetId="26490"/>
      <sheetData sheetId="26491"/>
      <sheetData sheetId="26492"/>
      <sheetData sheetId="26493" refreshError="1"/>
      <sheetData sheetId="26494" refreshError="1"/>
      <sheetData sheetId="26495" refreshError="1"/>
      <sheetData sheetId="26496"/>
      <sheetData sheetId="26497" refreshError="1"/>
      <sheetData sheetId="26498"/>
      <sheetData sheetId="26499"/>
      <sheetData sheetId="26500"/>
      <sheetData sheetId="26501"/>
      <sheetData sheetId="26502"/>
      <sheetData sheetId="26503"/>
      <sheetData sheetId="26504"/>
      <sheetData sheetId="26505"/>
      <sheetData sheetId="26506"/>
      <sheetData sheetId="26507"/>
      <sheetData sheetId="26508"/>
      <sheetData sheetId="26509"/>
      <sheetData sheetId="26510"/>
      <sheetData sheetId="26511"/>
      <sheetData sheetId="26512"/>
      <sheetData sheetId="26513"/>
      <sheetData sheetId="26514"/>
      <sheetData sheetId="26515"/>
      <sheetData sheetId="26516"/>
      <sheetData sheetId="26517"/>
      <sheetData sheetId="26518"/>
      <sheetData sheetId="26519"/>
      <sheetData sheetId="26520"/>
      <sheetData sheetId="26521" refreshError="1"/>
      <sheetData sheetId="26522" refreshError="1"/>
      <sheetData sheetId="26523"/>
      <sheetData sheetId="26524"/>
      <sheetData sheetId="26525"/>
      <sheetData sheetId="26526" refreshError="1"/>
      <sheetData sheetId="26527"/>
      <sheetData sheetId="26528"/>
      <sheetData sheetId="26529" refreshError="1"/>
      <sheetData sheetId="26530" refreshError="1"/>
      <sheetData sheetId="26531"/>
      <sheetData sheetId="26532"/>
      <sheetData sheetId="26533"/>
      <sheetData sheetId="26534" refreshError="1"/>
      <sheetData sheetId="26535" refreshError="1"/>
      <sheetData sheetId="26536" refreshError="1"/>
      <sheetData sheetId="26537"/>
      <sheetData sheetId="26538" refreshError="1"/>
      <sheetData sheetId="26539"/>
      <sheetData sheetId="26540"/>
      <sheetData sheetId="26541"/>
      <sheetData sheetId="26542"/>
      <sheetData sheetId="26543"/>
      <sheetData sheetId="26544"/>
      <sheetData sheetId="26545"/>
      <sheetData sheetId="26546"/>
      <sheetData sheetId="26547"/>
      <sheetData sheetId="26548"/>
      <sheetData sheetId="26549"/>
      <sheetData sheetId="26550"/>
      <sheetData sheetId="26551"/>
      <sheetData sheetId="26552"/>
      <sheetData sheetId="26553"/>
      <sheetData sheetId="26554"/>
      <sheetData sheetId="26555"/>
      <sheetData sheetId="26556"/>
      <sheetData sheetId="26557"/>
      <sheetData sheetId="26558"/>
      <sheetData sheetId="26559"/>
      <sheetData sheetId="26560"/>
      <sheetData sheetId="26561" refreshError="1"/>
      <sheetData sheetId="26562" refreshError="1"/>
      <sheetData sheetId="26563"/>
      <sheetData sheetId="26564"/>
      <sheetData sheetId="26565" refreshError="1"/>
      <sheetData sheetId="26566"/>
      <sheetData sheetId="26567"/>
      <sheetData sheetId="26568" refreshError="1"/>
      <sheetData sheetId="26569" refreshError="1"/>
      <sheetData sheetId="26570" refreshError="1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/>
      <sheetData sheetId="26580"/>
      <sheetData sheetId="26581"/>
      <sheetData sheetId="26582"/>
      <sheetData sheetId="26583"/>
      <sheetData sheetId="26584"/>
      <sheetData sheetId="26585"/>
      <sheetData sheetId="26586"/>
      <sheetData sheetId="26587"/>
      <sheetData sheetId="26588"/>
      <sheetData sheetId="26589"/>
      <sheetData sheetId="26590"/>
      <sheetData sheetId="26591" refreshError="1"/>
      <sheetData sheetId="26592" refreshError="1"/>
      <sheetData sheetId="26593"/>
      <sheetData sheetId="26594"/>
      <sheetData sheetId="26595" refreshError="1"/>
      <sheetData sheetId="26596"/>
      <sheetData sheetId="26597"/>
      <sheetData sheetId="26598"/>
      <sheetData sheetId="26599" refreshError="1"/>
      <sheetData sheetId="26600" refreshError="1"/>
      <sheetData sheetId="26601"/>
      <sheetData sheetId="26602"/>
      <sheetData sheetId="26603"/>
      <sheetData sheetId="26604" refreshError="1"/>
      <sheetData sheetId="26605"/>
      <sheetData sheetId="26606"/>
      <sheetData sheetId="26607" refreshError="1"/>
      <sheetData sheetId="26608" refreshError="1"/>
      <sheetData sheetId="26609"/>
      <sheetData sheetId="26610"/>
      <sheetData sheetId="26611" refreshError="1"/>
      <sheetData sheetId="26612" refreshError="1"/>
      <sheetData sheetId="26613" refreshError="1"/>
      <sheetData sheetId="26614"/>
      <sheetData sheetId="26615" refreshError="1"/>
      <sheetData sheetId="26616"/>
      <sheetData sheetId="26617"/>
      <sheetData sheetId="26618"/>
      <sheetData sheetId="26619"/>
      <sheetData sheetId="26620"/>
      <sheetData sheetId="26621"/>
      <sheetData sheetId="26622"/>
      <sheetData sheetId="26623"/>
      <sheetData sheetId="26624"/>
      <sheetData sheetId="26625"/>
      <sheetData sheetId="26626"/>
      <sheetData sheetId="26627"/>
      <sheetData sheetId="26628"/>
      <sheetData sheetId="26629"/>
      <sheetData sheetId="26630"/>
      <sheetData sheetId="26631"/>
      <sheetData sheetId="26632"/>
      <sheetData sheetId="26633"/>
      <sheetData sheetId="26634"/>
      <sheetData sheetId="26635"/>
      <sheetData sheetId="26636"/>
      <sheetData sheetId="26637"/>
      <sheetData sheetId="26638" refreshError="1"/>
      <sheetData sheetId="26639" refreshError="1"/>
      <sheetData sheetId="26640"/>
      <sheetData sheetId="26641"/>
      <sheetData sheetId="26642" refreshError="1"/>
      <sheetData sheetId="26643"/>
      <sheetData sheetId="26644"/>
      <sheetData sheetId="26645" refreshError="1"/>
      <sheetData sheetId="26646" refreshError="1"/>
      <sheetData sheetId="26647" refreshError="1"/>
      <sheetData sheetId="26648"/>
      <sheetData sheetId="26649"/>
      <sheetData sheetId="26650"/>
      <sheetData sheetId="26651"/>
      <sheetData sheetId="26652"/>
      <sheetData sheetId="26653"/>
      <sheetData sheetId="26654"/>
      <sheetData sheetId="26655"/>
      <sheetData sheetId="26656"/>
      <sheetData sheetId="26657"/>
      <sheetData sheetId="26658"/>
      <sheetData sheetId="26659"/>
      <sheetData sheetId="26660"/>
      <sheetData sheetId="26661"/>
      <sheetData sheetId="26662"/>
      <sheetData sheetId="26663"/>
      <sheetData sheetId="26664"/>
      <sheetData sheetId="26665"/>
      <sheetData sheetId="26666"/>
      <sheetData sheetId="26667"/>
      <sheetData sheetId="26668"/>
      <sheetData sheetId="26669" refreshError="1"/>
      <sheetData sheetId="26670" refreshError="1"/>
      <sheetData sheetId="26671"/>
      <sheetData sheetId="26672"/>
      <sheetData sheetId="26673" refreshError="1"/>
      <sheetData sheetId="26674"/>
      <sheetData sheetId="26675"/>
      <sheetData sheetId="26676" refreshError="1"/>
      <sheetData sheetId="26677" refreshError="1"/>
      <sheetData sheetId="26678" refreshError="1"/>
      <sheetData sheetId="26679"/>
      <sheetData sheetId="26680"/>
      <sheetData sheetId="26681"/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/>
      <sheetData sheetId="26691"/>
      <sheetData sheetId="26692"/>
      <sheetData sheetId="26693"/>
      <sheetData sheetId="26694"/>
      <sheetData sheetId="26695"/>
      <sheetData sheetId="26696"/>
      <sheetData sheetId="26697"/>
      <sheetData sheetId="26698"/>
      <sheetData sheetId="26699"/>
      <sheetData sheetId="26700" refreshError="1"/>
      <sheetData sheetId="26701" refreshError="1"/>
      <sheetData sheetId="26702"/>
      <sheetData sheetId="26703"/>
      <sheetData sheetId="26704" refreshError="1"/>
      <sheetData sheetId="26705"/>
      <sheetData sheetId="26706"/>
      <sheetData sheetId="26707" refreshError="1"/>
      <sheetData sheetId="26708" refreshError="1"/>
      <sheetData sheetId="26709" refreshError="1"/>
      <sheetData sheetId="26710"/>
      <sheetData sheetId="26711"/>
      <sheetData sheetId="26712"/>
      <sheetData sheetId="26713"/>
      <sheetData sheetId="26714"/>
      <sheetData sheetId="26715"/>
      <sheetData sheetId="26716"/>
      <sheetData sheetId="26717"/>
      <sheetData sheetId="26718"/>
      <sheetData sheetId="26719"/>
      <sheetData sheetId="26720"/>
      <sheetData sheetId="26721"/>
      <sheetData sheetId="26722"/>
      <sheetData sheetId="26723"/>
      <sheetData sheetId="26724"/>
      <sheetData sheetId="26725"/>
      <sheetData sheetId="26726"/>
      <sheetData sheetId="26727"/>
      <sheetData sheetId="26728"/>
      <sheetData sheetId="26729"/>
      <sheetData sheetId="26730"/>
      <sheetData sheetId="26731" refreshError="1"/>
      <sheetData sheetId="26732"/>
      <sheetData sheetId="26733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/>
      <sheetData sheetId="26740"/>
      <sheetData sheetId="26741"/>
      <sheetData sheetId="26742"/>
      <sheetData sheetId="26743"/>
      <sheetData sheetId="26744"/>
      <sheetData sheetId="26745"/>
      <sheetData sheetId="26746"/>
      <sheetData sheetId="26747"/>
      <sheetData sheetId="26748"/>
      <sheetData sheetId="26749"/>
      <sheetData sheetId="26750"/>
      <sheetData sheetId="26751"/>
      <sheetData sheetId="26752"/>
      <sheetData sheetId="26753"/>
      <sheetData sheetId="26754"/>
      <sheetData sheetId="26755"/>
      <sheetData sheetId="26756"/>
      <sheetData sheetId="26757"/>
      <sheetData sheetId="26758"/>
      <sheetData sheetId="26759"/>
      <sheetData sheetId="26760"/>
      <sheetData sheetId="26761"/>
      <sheetData sheetId="26762" refreshError="1"/>
      <sheetData sheetId="26763"/>
      <sheetData sheetId="26764" refreshError="1"/>
      <sheetData sheetId="26765"/>
      <sheetData sheetId="26766"/>
      <sheetData sheetId="26767" refreshError="1"/>
      <sheetData sheetId="26768"/>
      <sheetData sheetId="26769" refreshError="1"/>
      <sheetData sheetId="26770" refreshError="1"/>
      <sheetData sheetId="26771"/>
      <sheetData sheetId="26772"/>
      <sheetData sheetId="26773"/>
      <sheetData sheetId="26774" refreshError="1"/>
      <sheetData sheetId="26775" refreshError="1"/>
      <sheetData sheetId="26776" refreshError="1"/>
      <sheetData sheetId="26777"/>
      <sheetData sheetId="26778"/>
      <sheetData sheetId="26779"/>
      <sheetData sheetId="26780"/>
      <sheetData sheetId="26781"/>
      <sheetData sheetId="26782"/>
      <sheetData sheetId="26783"/>
      <sheetData sheetId="26784"/>
      <sheetData sheetId="26785"/>
      <sheetData sheetId="26786"/>
      <sheetData sheetId="26787"/>
      <sheetData sheetId="26788"/>
      <sheetData sheetId="26789"/>
      <sheetData sheetId="26790"/>
      <sheetData sheetId="26791"/>
      <sheetData sheetId="26792"/>
      <sheetData sheetId="26793"/>
      <sheetData sheetId="26794"/>
      <sheetData sheetId="26795"/>
      <sheetData sheetId="26796"/>
      <sheetData sheetId="26797"/>
      <sheetData sheetId="26798"/>
      <sheetData sheetId="26799"/>
      <sheetData sheetId="26800"/>
      <sheetData sheetId="26801"/>
      <sheetData sheetId="26802"/>
      <sheetData sheetId="26803" refreshError="1"/>
      <sheetData sheetId="26804"/>
      <sheetData sheetId="26805" refreshError="1"/>
      <sheetData sheetId="26806" refreshError="1"/>
      <sheetData sheetId="26807"/>
      <sheetData sheetId="26808" refreshError="1"/>
      <sheetData sheetId="26809" refreshError="1"/>
      <sheetData sheetId="26810"/>
      <sheetData sheetId="26811"/>
      <sheetData sheetId="26812"/>
      <sheetData sheetId="26813"/>
      <sheetData sheetId="26814"/>
      <sheetData sheetId="26815"/>
      <sheetData sheetId="26816"/>
      <sheetData sheetId="26817"/>
      <sheetData sheetId="26818"/>
      <sheetData sheetId="26819"/>
      <sheetData sheetId="26820"/>
      <sheetData sheetId="26821"/>
      <sheetData sheetId="26822"/>
      <sheetData sheetId="26823"/>
      <sheetData sheetId="26824"/>
      <sheetData sheetId="26825"/>
      <sheetData sheetId="26826"/>
      <sheetData sheetId="26827"/>
      <sheetData sheetId="26828"/>
      <sheetData sheetId="26829"/>
      <sheetData sheetId="26830"/>
      <sheetData sheetId="26831"/>
      <sheetData sheetId="26832"/>
      <sheetData sheetId="26833" refreshError="1"/>
      <sheetData sheetId="26834"/>
      <sheetData sheetId="26835" refreshError="1"/>
      <sheetData sheetId="26836"/>
      <sheetData sheetId="26837"/>
      <sheetData sheetId="26838"/>
      <sheetData sheetId="26839" refreshError="1"/>
      <sheetData sheetId="26840" refreshError="1"/>
      <sheetData sheetId="26841" refreshError="1"/>
      <sheetData sheetId="26842"/>
      <sheetData sheetId="26843"/>
      <sheetData sheetId="26844"/>
      <sheetData sheetId="26845"/>
      <sheetData sheetId="26846"/>
      <sheetData sheetId="26847"/>
      <sheetData sheetId="26848"/>
      <sheetData sheetId="26849"/>
      <sheetData sheetId="26850"/>
      <sheetData sheetId="26851"/>
      <sheetData sheetId="26852"/>
      <sheetData sheetId="26853"/>
      <sheetData sheetId="26854"/>
      <sheetData sheetId="26855"/>
      <sheetData sheetId="26856"/>
      <sheetData sheetId="26857"/>
      <sheetData sheetId="26858"/>
      <sheetData sheetId="26859"/>
      <sheetData sheetId="26860"/>
      <sheetData sheetId="26861"/>
      <sheetData sheetId="26862" refreshError="1"/>
      <sheetData sheetId="26863"/>
      <sheetData sheetId="26864"/>
      <sheetData sheetId="26865"/>
      <sheetData sheetId="26866" refreshError="1"/>
      <sheetData sheetId="26867" refreshError="1"/>
      <sheetData sheetId="26868" refreshError="1"/>
      <sheetData sheetId="26869"/>
      <sheetData sheetId="26870" refreshError="1"/>
      <sheetData sheetId="26871" refreshError="1"/>
      <sheetData sheetId="26872"/>
      <sheetData sheetId="26873"/>
      <sheetData sheetId="26874"/>
      <sheetData sheetId="26875"/>
      <sheetData sheetId="26876"/>
      <sheetData sheetId="26877"/>
      <sheetData sheetId="26878"/>
      <sheetData sheetId="26879"/>
      <sheetData sheetId="26880"/>
      <sheetData sheetId="26881"/>
      <sheetData sheetId="26882"/>
      <sheetData sheetId="26883"/>
      <sheetData sheetId="26884"/>
      <sheetData sheetId="26885"/>
      <sheetData sheetId="26886"/>
      <sheetData sheetId="26887"/>
      <sheetData sheetId="26888"/>
      <sheetData sheetId="26889"/>
      <sheetData sheetId="26890"/>
      <sheetData sheetId="26891"/>
      <sheetData sheetId="26892"/>
      <sheetData sheetId="26893"/>
      <sheetData sheetId="26894"/>
      <sheetData sheetId="26895"/>
      <sheetData sheetId="26896" refreshError="1"/>
      <sheetData sheetId="26897" refreshError="1"/>
      <sheetData sheetId="26898" refreshError="1"/>
      <sheetData sheetId="26899" refreshError="1"/>
      <sheetData sheetId="26900"/>
      <sheetData sheetId="26901"/>
      <sheetData sheetId="26902" refreshError="1"/>
      <sheetData sheetId="26903"/>
      <sheetData sheetId="26904"/>
      <sheetData sheetId="26905"/>
      <sheetData sheetId="26906"/>
      <sheetData sheetId="26907"/>
      <sheetData sheetId="26908"/>
      <sheetData sheetId="26909"/>
      <sheetData sheetId="26910"/>
      <sheetData sheetId="26911"/>
      <sheetData sheetId="26912"/>
      <sheetData sheetId="26913"/>
      <sheetData sheetId="26914"/>
      <sheetData sheetId="26915"/>
      <sheetData sheetId="26916"/>
      <sheetData sheetId="26917"/>
      <sheetData sheetId="26918"/>
      <sheetData sheetId="26919"/>
      <sheetData sheetId="26920"/>
      <sheetData sheetId="26921"/>
      <sheetData sheetId="26922"/>
      <sheetData sheetId="26923"/>
      <sheetData sheetId="26924"/>
      <sheetData sheetId="26925" refreshError="1"/>
      <sheetData sheetId="26926" refreshError="1"/>
      <sheetData sheetId="26927"/>
      <sheetData sheetId="26928" refreshError="1"/>
      <sheetData sheetId="26929" refreshError="1"/>
      <sheetData sheetId="26930" refreshError="1"/>
      <sheetData sheetId="26931"/>
      <sheetData sheetId="26932"/>
      <sheetData sheetId="26933" refreshError="1"/>
      <sheetData sheetId="26934" refreshError="1"/>
      <sheetData sheetId="26935" refreshError="1"/>
      <sheetData sheetId="26936" refreshError="1"/>
      <sheetData sheetId="26937"/>
      <sheetData sheetId="26938"/>
      <sheetData sheetId="26939" refreshError="1"/>
      <sheetData sheetId="26940"/>
      <sheetData sheetId="26941"/>
      <sheetData sheetId="26942"/>
      <sheetData sheetId="26943"/>
      <sheetData sheetId="26944"/>
      <sheetData sheetId="26945"/>
      <sheetData sheetId="26946"/>
      <sheetData sheetId="26947"/>
      <sheetData sheetId="26948"/>
      <sheetData sheetId="26949"/>
      <sheetData sheetId="26950"/>
      <sheetData sheetId="26951"/>
      <sheetData sheetId="26952"/>
      <sheetData sheetId="26953"/>
      <sheetData sheetId="26954"/>
      <sheetData sheetId="26955"/>
      <sheetData sheetId="26956"/>
      <sheetData sheetId="26957"/>
      <sheetData sheetId="26958"/>
      <sheetData sheetId="26959"/>
      <sheetData sheetId="26960"/>
      <sheetData sheetId="26961"/>
      <sheetData sheetId="26962"/>
      <sheetData sheetId="26963"/>
      <sheetData sheetId="26964"/>
      <sheetData sheetId="26965" refreshError="1"/>
      <sheetData sheetId="26966"/>
      <sheetData sheetId="26967" refreshError="1"/>
      <sheetData sheetId="26968" refreshError="1"/>
      <sheetData sheetId="26969"/>
      <sheetData sheetId="26970"/>
      <sheetData sheetId="26971"/>
      <sheetData sheetId="26972"/>
      <sheetData sheetId="26973" refreshError="1"/>
      <sheetData sheetId="26974"/>
      <sheetData sheetId="26975"/>
      <sheetData sheetId="26976" refreshError="1"/>
      <sheetData sheetId="26977" refreshError="1"/>
      <sheetData sheetId="26978"/>
      <sheetData sheetId="26979" refreshError="1"/>
      <sheetData sheetId="26980"/>
      <sheetData sheetId="26981" refreshError="1"/>
      <sheetData sheetId="26982"/>
      <sheetData sheetId="26983" refreshError="1"/>
      <sheetData sheetId="26984"/>
      <sheetData sheetId="26985"/>
      <sheetData sheetId="26986"/>
      <sheetData sheetId="26987" refreshError="1"/>
      <sheetData sheetId="26988"/>
      <sheetData sheetId="26989" refreshError="1"/>
      <sheetData sheetId="26990" refreshError="1"/>
      <sheetData sheetId="26991"/>
      <sheetData sheetId="26992"/>
      <sheetData sheetId="26993"/>
      <sheetData sheetId="26994"/>
      <sheetData sheetId="26995"/>
      <sheetData sheetId="26996"/>
      <sheetData sheetId="26997"/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/>
      <sheetData sheetId="27007"/>
      <sheetData sheetId="27008"/>
      <sheetData sheetId="27009"/>
      <sheetData sheetId="27010"/>
      <sheetData sheetId="27011"/>
      <sheetData sheetId="27012"/>
      <sheetData sheetId="27013" refreshError="1"/>
      <sheetData sheetId="27014" refreshError="1"/>
      <sheetData sheetId="27015"/>
      <sheetData sheetId="27016" refreshError="1"/>
      <sheetData sheetId="27017"/>
      <sheetData sheetId="27018" refreshError="1"/>
      <sheetData sheetId="27019" refreshError="1"/>
      <sheetData sheetId="27020"/>
      <sheetData sheetId="27021"/>
      <sheetData sheetId="27022"/>
      <sheetData sheetId="27023" refreshError="1"/>
      <sheetData sheetId="27024"/>
      <sheetData sheetId="27025"/>
      <sheetData sheetId="27026" refreshError="1"/>
      <sheetData sheetId="27027" refreshError="1"/>
      <sheetData sheetId="27028" refreshError="1"/>
      <sheetData sheetId="27029"/>
      <sheetData sheetId="27030"/>
      <sheetData sheetId="27031"/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/>
      <sheetData sheetId="27043"/>
      <sheetData sheetId="27044"/>
      <sheetData sheetId="27045"/>
      <sheetData sheetId="27046" refreshError="1"/>
      <sheetData sheetId="27047"/>
      <sheetData sheetId="27048"/>
      <sheetData sheetId="27049"/>
      <sheetData sheetId="27050"/>
      <sheetData sheetId="27051"/>
      <sheetData sheetId="27052"/>
      <sheetData sheetId="27053"/>
      <sheetData sheetId="27054" refreshError="1"/>
      <sheetData sheetId="27055" refreshError="1"/>
      <sheetData sheetId="27056"/>
      <sheetData sheetId="27057" refreshError="1"/>
      <sheetData sheetId="27058"/>
      <sheetData sheetId="27059"/>
      <sheetData sheetId="27060" refreshError="1"/>
      <sheetData sheetId="27061" refreshError="1"/>
      <sheetData sheetId="27062" refreshError="1"/>
      <sheetData sheetId="27063"/>
      <sheetData sheetId="27064"/>
      <sheetData sheetId="27065"/>
      <sheetData sheetId="27066"/>
      <sheetData sheetId="27067"/>
      <sheetData sheetId="27068"/>
      <sheetData sheetId="27069"/>
      <sheetData sheetId="27070"/>
      <sheetData sheetId="27071"/>
      <sheetData sheetId="27072"/>
      <sheetData sheetId="27073"/>
      <sheetData sheetId="27074"/>
      <sheetData sheetId="27075"/>
      <sheetData sheetId="27076"/>
      <sheetData sheetId="27077"/>
      <sheetData sheetId="27078"/>
      <sheetData sheetId="27079"/>
      <sheetData sheetId="27080"/>
      <sheetData sheetId="27081"/>
      <sheetData sheetId="27082"/>
      <sheetData sheetId="27083"/>
      <sheetData sheetId="27084"/>
      <sheetData sheetId="27085"/>
      <sheetData sheetId="27086"/>
      <sheetData sheetId="27087" refreshError="1"/>
      <sheetData sheetId="27088"/>
      <sheetData sheetId="27089"/>
      <sheetData sheetId="27090" refreshError="1"/>
      <sheetData sheetId="27091" refreshError="1"/>
      <sheetData sheetId="27092"/>
      <sheetData sheetId="27093"/>
      <sheetData sheetId="27094" refreshError="1"/>
      <sheetData sheetId="27095" refreshError="1"/>
      <sheetData sheetId="27096"/>
      <sheetData sheetId="27097"/>
      <sheetData sheetId="27098"/>
      <sheetData sheetId="27099"/>
      <sheetData sheetId="27100"/>
      <sheetData sheetId="27101"/>
      <sheetData sheetId="27102"/>
      <sheetData sheetId="27103"/>
      <sheetData sheetId="27104"/>
      <sheetData sheetId="27105"/>
      <sheetData sheetId="27106"/>
      <sheetData sheetId="27107"/>
      <sheetData sheetId="27108"/>
      <sheetData sheetId="27109"/>
      <sheetData sheetId="27110"/>
      <sheetData sheetId="27111"/>
      <sheetData sheetId="27112"/>
      <sheetData sheetId="27113"/>
      <sheetData sheetId="27114"/>
      <sheetData sheetId="27115"/>
      <sheetData sheetId="27116"/>
      <sheetData sheetId="27117"/>
      <sheetData sheetId="27118" refreshError="1"/>
      <sheetData sheetId="27119" refreshError="1"/>
      <sheetData sheetId="27120"/>
      <sheetData sheetId="2712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/>
      <sheetData sheetId="27128"/>
      <sheetData sheetId="27129"/>
      <sheetData sheetId="27130"/>
      <sheetData sheetId="27131"/>
      <sheetData sheetId="27132"/>
      <sheetData sheetId="27133"/>
      <sheetData sheetId="27134"/>
      <sheetData sheetId="27135"/>
      <sheetData sheetId="27136"/>
      <sheetData sheetId="27137"/>
      <sheetData sheetId="27138"/>
      <sheetData sheetId="27139"/>
      <sheetData sheetId="27140"/>
      <sheetData sheetId="27141"/>
      <sheetData sheetId="27142"/>
      <sheetData sheetId="27143"/>
      <sheetData sheetId="27144"/>
      <sheetData sheetId="27145"/>
      <sheetData sheetId="27146"/>
      <sheetData sheetId="27147"/>
      <sheetData sheetId="27148" refreshError="1"/>
      <sheetData sheetId="27149"/>
      <sheetData sheetId="27150"/>
      <sheetData sheetId="27151"/>
      <sheetData sheetId="27152" refreshError="1"/>
      <sheetData sheetId="27153"/>
      <sheetData sheetId="27154" refreshError="1"/>
      <sheetData sheetId="27155" refreshError="1"/>
      <sheetData sheetId="27156"/>
      <sheetData sheetId="27157"/>
      <sheetData sheetId="27158"/>
      <sheetData sheetId="27159" refreshError="1"/>
      <sheetData sheetId="27160" refreshError="1"/>
      <sheetData sheetId="27161"/>
      <sheetData sheetId="27162" refreshError="1"/>
      <sheetData sheetId="27163" refreshError="1"/>
      <sheetData sheetId="27164" refreshError="1"/>
      <sheetData sheetId="27165"/>
      <sheetData sheetId="27166"/>
      <sheetData sheetId="27167"/>
      <sheetData sheetId="27168"/>
      <sheetData sheetId="27169"/>
      <sheetData sheetId="27170"/>
      <sheetData sheetId="27171"/>
      <sheetData sheetId="27172"/>
      <sheetData sheetId="27173"/>
      <sheetData sheetId="27174"/>
      <sheetData sheetId="27175"/>
      <sheetData sheetId="27176"/>
      <sheetData sheetId="27177"/>
      <sheetData sheetId="27178"/>
      <sheetData sheetId="27179"/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 refreshError="1"/>
      <sheetData sheetId="27195"/>
      <sheetData sheetId="27196" refreshError="1"/>
      <sheetData sheetId="27197" refreshError="1"/>
      <sheetData sheetId="27198" refreshError="1"/>
      <sheetData sheetId="27199" refreshError="1"/>
      <sheetData sheetId="27200"/>
      <sheetData sheetId="27201" refreshError="1"/>
      <sheetData sheetId="27202" refreshError="1"/>
      <sheetData sheetId="27203" refreshError="1"/>
      <sheetData sheetId="27204" refreshError="1"/>
      <sheetData sheetId="27205"/>
      <sheetData sheetId="27206" refreshError="1"/>
      <sheetData sheetId="27207" refreshError="1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 refreshError="1"/>
      <sheetData sheetId="27245" refreshError="1"/>
      <sheetData sheetId="27246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 refreshError="1"/>
      <sheetData sheetId="27265" refreshError="1"/>
      <sheetData sheetId="27266" refreshError="1"/>
      <sheetData sheetId="27267" refreshError="1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/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/>
      <sheetData sheetId="27313"/>
      <sheetData sheetId="27314"/>
      <sheetData sheetId="27315"/>
      <sheetData sheetId="27316"/>
      <sheetData sheetId="27317"/>
      <sheetData sheetId="27318"/>
      <sheetData sheetId="27319"/>
      <sheetData sheetId="27320"/>
      <sheetData sheetId="27321"/>
      <sheetData sheetId="27322"/>
      <sheetData sheetId="27323"/>
      <sheetData sheetId="27324"/>
      <sheetData sheetId="27325"/>
      <sheetData sheetId="27326"/>
      <sheetData sheetId="27327"/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/>
      <sheetData sheetId="27348"/>
      <sheetData sheetId="27349"/>
      <sheetData sheetId="27350"/>
      <sheetData sheetId="27351"/>
      <sheetData sheetId="27352"/>
      <sheetData sheetId="27353"/>
      <sheetData sheetId="27354"/>
      <sheetData sheetId="27355"/>
      <sheetData sheetId="27356"/>
      <sheetData sheetId="27357"/>
      <sheetData sheetId="27358"/>
      <sheetData sheetId="27359"/>
      <sheetData sheetId="27360"/>
      <sheetData sheetId="27361"/>
      <sheetData sheetId="27362"/>
      <sheetData sheetId="27363"/>
      <sheetData sheetId="27364"/>
      <sheetData sheetId="27365"/>
      <sheetData sheetId="27366"/>
      <sheetData sheetId="27367"/>
      <sheetData sheetId="27368"/>
      <sheetData sheetId="27369"/>
      <sheetData sheetId="27370"/>
      <sheetData sheetId="27371"/>
      <sheetData sheetId="27372"/>
      <sheetData sheetId="27373"/>
      <sheetData sheetId="27374"/>
      <sheetData sheetId="27375"/>
      <sheetData sheetId="27376"/>
      <sheetData sheetId="27377"/>
      <sheetData sheetId="27378"/>
      <sheetData sheetId="27379"/>
      <sheetData sheetId="27380"/>
      <sheetData sheetId="27381"/>
      <sheetData sheetId="27382"/>
      <sheetData sheetId="27383"/>
      <sheetData sheetId="27384"/>
      <sheetData sheetId="27385"/>
      <sheetData sheetId="27386"/>
      <sheetData sheetId="27387"/>
      <sheetData sheetId="27388"/>
      <sheetData sheetId="27389"/>
      <sheetData sheetId="27390"/>
      <sheetData sheetId="27391"/>
      <sheetData sheetId="27392"/>
      <sheetData sheetId="27393"/>
      <sheetData sheetId="27394"/>
      <sheetData sheetId="27395"/>
      <sheetData sheetId="27396"/>
      <sheetData sheetId="27397"/>
      <sheetData sheetId="27398"/>
      <sheetData sheetId="27399"/>
      <sheetData sheetId="27400"/>
      <sheetData sheetId="27401"/>
      <sheetData sheetId="27402"/>
      <sheetData sheetId="27403"/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/>
      <sheetData sheetId="27415"/>
      <sheetData sheetId="27416"/>
      <sheetData sheetId="27417"/>
      <sheetData sheetId="27418"/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/>
      <sheetData sheetId="27428"/>
      <sheetData sheetId="27429"/>
      <sheetData sheetId="27430"/>
      <sheetData sheetId="27431"/>
      <sheetData sheetId="27432"/>
      <sheetData sheetId="27433"/>
      <sheetData sheetId="27434"/>
      <sheetData sheetId="27435"/>
      <sheetData sheetId="27436"/>
      <sheetData sheetId="27437"/>
      <sheetData sheetId="27438"/>
      <sheetData sheetId="27439"/>
      <sheetData sheetId="27440"/>
      <sheetData sheetId="27441"/>
      <sheetData sheetId="27442"/>
      <sheetData sheetId="27443"/>
      <sheetData sheetId="27444"/>
      <sheetData sheetId="27445"/>
      <sheetData sheetId="27446"/>
      <sheetData sheetId="27447"/>
      <sheetData sheetId="27448"/>
      <sheetData sheetId="27449"/>
      <sheetData sheetId="27450"/>
      <sheetData sheetId="27451"/>
      <sheetData sheetId="27452"/>
      <sheetData sheetId="27453"/>
      <sheetData sheetId="27454"/>
      <sheetData sheetId="27455"/>
      <sheetData sheetId="27456"/>
      <sheetData sheetId="27457"/>
      <sheetData sheetId="27458"/>
      <sheetData sheetId="27459"/>
      <sheetData sheetId="27460"/>
      <sheetData sheetId="27461"/>
      <sheetData sheetId="27462"/>
      <sheetData sheetId="27463"/>
      <sheetData sheetId="27464"/>
      <sheetData sheetId="27465"/>
      <sheetData sheetId="27466"/>
      <sheetData sheetId="27467"/>
      <sheetData sheetId="27468"/>
      <sheetData sheetId="27469"/>
      <sheetData sheetId="27470"/>
      <sheetData sheetId="27471"/>
      <sheetData sheetId="27472"/>
      <sheetData sheetId="27473"/>
      <sheetData sheetId="27474"/>
      <sheetData sheetId="27475"/>
      <sheetData sheetId="27476"/>
      <sheetData sheetId="27477"/>
      <sheetData sheetId="27478"/>
      <sheetData sheetId="27479"/>
      <sheetData sheetId="27480"/>
      <sheetData sheetId="27481"/>
      <sheetData sheetId="27482"/>
      <sheetData sheetId="27483"/>
      <sheetData sheetId="27484"/>
      <sheetData sheetId="27485"/>
      <sheetData sheetId="27486"/>
      <sheetData sheetId="27487"/>
      <sheetData sheetId="27488"/>
      <sheetData sheetId="27489"/>
      <sheetData sheetId="27490"/>
      <sheetData sheetId="27491"/>
      <sheetData sheetId="27492"/>
      <sheetData sheetId="27493"/>
      <sheetData sheetId="27494"/>
      <sheetData sheetId="27495"/>
      <sheetData sheetId="27496"/>
      <sheetData sheetId="27497"/>
      <sheetData sheetId="27498"/>
      <sheetData sheetId="27499"/>
      <sheetData sheetId="27500"/>
      <sheetData sheetId="27501"/>
      <sheetData sheetId="27502"/>
      <sheetData sheetId="27503"/>
      <sheetData sheetId="27504"/>
      <sheetData sheetId="27505"/>
      <sheetData sheetId="27506"/>
      <sheetData sheetId="27507"/>
      <sheetData sheetId="27508"/>
      <sheetData sheetId="27509"/>
      <sheetData sheetId="27510"/>
      <sheetData sheetId="27511"/>
      <sheetData sheetId="27512"/>
      <sheetData sheetId="27513"/>
      <sheetData sheetId="27514"/>
      <sheetData sheetId="27515"/>
      <sheetData sheetId="27516"/>
      <sheetData sheetId="27517"/>
      <sheetData sheetId="27518"/>
      <sheetData sheetId="27519"/>
      <sheetData sheetId="27520"/>
      <sheetData sheetId="27521"/>
      <sheetData sheetId="27522"/>
      <sheetData sheetId="27523"/>
      <sheetData sheetId="27524"/>
      <sheetData sheetId="27525"/>
      <sheetData sheetId="27526"/>
      <sheetData sheetId="27527"/>
      <sheetData sheetId="27528"/>
      <sheetData sheetId="27529"/>
      <sheetData sheetId="27530"/>
      <sheetData sheetId="2753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/>
      <sheetData sheetId="27544"/>
      <sheetData sheetId="27545"/>
      <sheetData sheetId="27546"/>
      <sheetData sheetId="27547"/>
      <sheetData sheetId="27548"/>
      <sheetData sheetId="27549"/>
      <sheetData sheetId="27550"/>
      <sheetData sheetId="27551"/>
      <sheetData sheetId="27552"/>
      <sheetData sheetId="27553"/>
      <sheetData sheetId="27554"/>
      <sheetData sheetId="27555"/>
      <sheetData sheetId="27556"/>
      <sheetData sheetId="27557"/>
      <sheetData sheetId="27558"/>
      <sheetData sheetId="27559"/>
      <sheetData sheetId="27560"/>
      <sheetData sheetId="27561"/>
      <sheetData sheetId="27562"/>
      <sheetData sheetId="27563"/>
      <sheetData sheetId="27564"/>
      <sheetData sheetId="27565"/>
      <sheetData sheetId="27566"/>
      <sheetData sheetId="27567"/>
      <sheetData sheetId="27568"/>
      <sheetData sheetId="27569"/>
      <sheetData sheetId="27570"/>
      <sheetData sheetId="27571"/>
      <sheetData sheetId="27572"/>
      <sheetData sheetId="27573"/>
      <sheetData sheetId="27574"/>
      <sheetData sheetId="27575"/>
      <sheetData sheetId="27576"/>
      <sheetData sheetId="27577"/>
      <sheetData sheetId="27578"/>
      <sheetData sheetId="27579"/>
      <sheetData sheetId="27580"/>
      <sheetData sheetId="27581"/>
      <sheetData sheetId="27582"/>
      <sheetData sheetId="27583"/>
      <sheetData sheetId="27584"/>
      <sheetData sheetId="27585"/>
      <sheetData sheetId="27586"/>
      <sheetData sheetId="27587"/>
      <sheetData sheetId="27588"/>
      <sheetData sheetId="27589"/>
      <sheetData sheetId="27590"/>
      <sheetData sheetId="27591"/>
      <sheetData sheetId="27592"/>
      <sheetData sheetId="27593"/>
      <sheetData sheetId="27594"/>
      <sheetData sheetId="27595"/>
      <sheetData sheetId="27596"/>
      <sheetData sheetId="27597"/>
      <sheetData sheetId="27598"/>
      <sheetData sheetId="27599"/>
      <sheetData sheetId="27600"/>
      <sheetData sheetId="27601"/>
      <sheetData sheetId="27602"/>
      <sheetData sheetId="27603"/>
      <sheetData sheetId="27604"/>
      <sheetData sheetId="27605"/>
      <sheetData sheetId="27606"/>
      <sheetData sheetId="27607"/>
      <sheetData sheetId="27608"/>
      <sheetData sheetId="27609"/>
      <sheetData sheetId="27610"/>
      <sheetData sheetId="27611"/>
      <sheetData sheetId="27612"/>
      <sheetData sheetId="27613"/>
      <sheetData sheetId="27614"/>
      <sheetData sheetId="27615"/>
      <sheetData sheetId="27616"/>
      <sheetData sheetId="27617"/>
      <sheetData sheetId="27618"/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/>
      <sheetData sheetId="27632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/>
      <sheetData sheetId="27698"/>
      <sheetData sheetId="27699"/>
      <sheetData sheetId="27700"/>
      <sheetData sheetId="27701"/>
      <sheetData sheetId="27702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/>
      <sheetData sheetId="27725"/>
      <sheetData sheetId="27726"/>
      <sheetData sheetId="27727"/>
      <sheetData sheetId="27728"/>
      <sheetData sheetId="27729"/>
      <sheetData sheetId="27730"/>
      <sheetData sheetId="27731"/>
      <sheetData sheetId="27732"/>
      <sheetData sheetId="27733"/>
      <sheetData sheetId="27734"/>
      <sheetData sheetId="27735"/>
      <sheetData sheetId="27736"/>
      <sheetData sheetId="27737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 refreshError="1"/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 refreshError="1"/>
      <sheetData sheetId="28267" refreshError="1"/>
      <sheetData sheetId="28268" refreshError="1"/>
      <sheetData sheetId="28269" refreshError="1"/>
      <sheetData sheetId="28270" refreshError="1"/>
      <sheetData sheetId="28271" refreshError="1"/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 refreshError="1"/>
      <sheetData sheetId="28280" refreshError="1"/>
      <sheetData sheetId="28281" refreshError="1"/>
      <sheetData sheetId="28282" refreshError="1"/>
      <sheetData sheetId="28283" refreshError="1"/>
      <sheetData sheetId="28284" refreshError="1"/>
      <sheetData sheetId="28285" refreshError="1"/>
      <sheetData sheetId="28286" refreshError="1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 refreshError="1"/>
      <sheetData sheetId="28613" refreshError="1"/>
      <sheetData sheetId="28614" refreshError="1"/>
      <sheetData sheetId="28615" refreshError="1"/>
      <sheetData sheetId="28616" refreshError="1"/>
      <sheetData sheetId="28617" refreshError="1"/>
      <sheetData sheetId="28618" refreshError="1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 refreshError="1"/>
      <sheetData sheetId="28626" refreshError="1"/>
      <sheetData sheetId="28627" refreshError="1"/>
      <sheetData sheetId="28628" refreshError="1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 refreshError="1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/>
      <sheetData sheetId="28821" refreshError="1"/>
      <sheetData sheetId="28822"/>
      <sheetData sheetId="28823"/>
      <sheetData sheetId="28824"/>
      <sheetData sheetId="28825" refreshError="1"/>
      <sheetData sheetId="28826"/>
      <sheetData sheetId="28827" refreshError="1"/>
      <sheetData sheetId="28828"/>
      <sheetData sheetId="28829" refreshError="1"/>
      <sheetData sheetId="28830"/>
      <sheetData sheetId="28831"/>
      <sheetData sheetId="28832"/>
      <sheetData sheetId="28833" refreshError="1"/>
      <sheetData sheetId="28834" refreshError="1"/>
      <sheetData sheetId="28835" refreshError="1"/>
      <sheetData sheetId="28836"/>
      <sheetData sheetId="28837" refreshError="1"/>
      <sheetData sheetId="28838" refreshError="1"/>
      <sheetData sheetId="28839"/>
      <sheetData sheetId="28840"/>
      <sheetData sheetId="28841"/>
      <sheetData sheetId="28842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/>
      <sheetData sheetId="28857"/>
      <sheetData sheetId="28858"/>
      <sheetData sheetId="28859"/>
      <sheetData sheetId="28860" refreshError="1"/>
      <sheetData sheetId="28861" refreshError="1"/>
      <sheetData sheetId="28862"/>
      <sheetData sheetId="28863"/>
      <sheetData sheetId="28864"/>
      <sheetData sheetId="28865"/>
      <sheetData sheetId="28866"/>
      <sheetData sheetId="28867"/>
      <sheetData sheetId="28868"/>
      <sheetData sheetId="28869"/>
      <sheetData sheetId="28870"/>
      <sheetData sheetId="28871"/>
      <sheetData sheetId="28872"/>
      <sheetData sheetId="28873"/>
      <sheetData sheetId="28874"/>
      <sheetData sheetId="28875"/>
      <sheetData sheetId="28876"/>
      <sheetData sheetId="28877"/>
      <sheetData sheetId="28878"/>
      <sheetData sheetId="28879"/>
      <sheetData sheetId="28880"/>
      <sheetData sheetId="28881"/>
      <sheetData sheetId="28882" refreshError="1"/>
      <sheetData sheetId="28883" refreshError="1"/>
      <sheetData sheetId="28884"/>
      <sheetData sheetId="28885"/>
      <sheetData sheetId="28886" refreshError="1"/>
      <sheetData sheetId="28887" refreshError="1"/>
      <sheetData sheetId="28888" refreshError="1"/>
      <sheetData sheetId="28889"/>
      <sheetData sheetId="28890"/>
      <sheetData sheetId="28891"/>
      <sheetData sheetId="28892"/>
      <sheetData sheetId="28893"/>
      <sheetData sheetId="28894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/>
      <sheetData sheetId="28903"/>
      <sheetData sheetId="28904"/>
      <sheetData sheetId="28905"/>
      <sheetData sheetId="28906"/>
      <sheetData sheetId="28907"/>
      <sheetData sheetId="28908"/>
      <sheetData sheetId="28909"/>
      <sheetData sheetId="28910" refreshError="1"/>
      <sheetData sheetId="28911" refreshError="1"/>
      <sheetData sheetId="28912"/>
      <sheetData sheetId="28913"/>
      <sheetData sheetId="28914"/>
      <sheetData sheetId="28915" refreshError="1"/>
      <sheetData sheetId="28916"/>
      <sheetData sheetId="28917" refreshError="1"/>
      <sheetData sheetId="28918" refreshError="1"/>
      <sheetData sheetId="28919"/>
      <sheetData sheetId="28920"/>
      <sheetData sheetId="28921"/>
      <sheetData sheetId="28922" refreshError="1"/>
      <sheetData sheetId="28923" refreshError="1"/>
      <sheetData sheetId="28924" refreshError="1"/>
      <sheetData sheetId="28925"/>
      <sheetData sheetId="28926" refreshError="1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/>
      <sheetData sheetId="28936"/>
      <sheetData sheetId="28937"/>
      <sheetData sheetId="28938"/>
      <sheetData sheetId="28939"/>
      <sheetData sheetId="28940"/>
      <sheetData sheetId="28941"/>
      <sheetData sheetId="28942"/>
      <sheetData sheetId="28943"/>
      <sheetData sheetId="28944"/>
      <sheetData sheetId="28945"/>
      <sheetData sheetId="28946"/>
      <sheetData sheetId="28947"/>
      <sheetData sheetId="28948"/>
      <sheetData sheetId="28949" refreshError="1"/>
      <sheetData sheetId="28950" refreshError="1"/>
      <sheetData sheetId="28951"/>
      <sheetData sheetId="28952"/>
      <sheetData sheetId="28953" refreshError="1"/>
      <sheetData sheetId="28954"/>
      <sheetData sheetId="28955"/>
      <sheetData sheetId="28956" refreshError="1"/>
      <sheetData sheetId="28957" refreshError="1"/>
      <sheetData sheetId="28958" refreshError="1"/>
      <sheetData sheetId="28959"/>
      <sheetData sheetId="28960"/>
      <sheetData sheetId="28961"/>
      <sheetData sheetId="28962"/>
      <sheetData sheetId="28963"/>
      <sheetData sheetId="28964"/>
      <sheetData sheetId="28965"/>
      <sheetData sheetId="28966"/>
      <sheetData sheetId="28967"/>
      <sheetData sheetId="28968"/>
      <sheetData sheetId="28969"/>
      <sheetData sheetId="28970"/>
      <sheetData sheetId="28971"/>
      <sheetData sheetId="28972"/>
      <sheetData sheetId="28973"/>
      <sheetData sheetId="28974"/>
      <sheetData sheetId="28975"/>
      <sheetData sheetId="28976"/>
      <sheetData sheetId="28977"/>
      <sheetData sheetId="28978"/>
      <sheetData sheetId="28979"/>
      <sheetData sheetId="28980" refreshError="1"/>
      <sheetData sheetId="28981" refreshError="1"/>
      <sheetData sheetId="28982"/>
      <sheetData sheetId="28983"/>
      <sheetData sheetId="28984"/>
      <sheetData sheetId="28985" refreshError="1"/>
      <sheetData sheetId="28986"/>
      <sheetData sheetId="28987"/>
      <sheetData sheetId="28988" refreshError="1"/>
      <sheetData sheetId="28989" refreshError="1"/>
      <sheetData sheetId="28990"/>
      <sheetData sheetId="28991"/>
      <sheetData sheetId="28992" refreshError="1"/>
      <sheetData sheetId="28993" refreshError="1"/>
      <sheetData sheetId="28994" refreshError="1"/>
      <sheetData sheetId="28995"/>
      <sheetData sheetId="28996" refreshError="1"/>
      <sheetData sheetId="28997"/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/>
      <sheetData sheetId="29019"/>
      <sheetData sheetId="29020" refreshError="1"/>
      <sheetData sheetId="29021" refreshError="1"/>
      <sheetData sheetId="29022"/>
      <sheetData sheetId="29023"/>
      <sheetData sheetId="29024"/>
      <sheetData sheetId="29025" refreshError="1"/>
      <sheetData sheetId="29026"/>
      <sheetData sheetId="29027"/>
      <sheetData sheetId="29028" refreshError="1"/>
      <sheetData sheetId="29029" refreshError="1"/>
      <sheetData sheetId="29030"/>
      <sheetData sheetId="29031"/>
      <sheetData sheetId="29032" refreshError="1"/>
      <sheetData sheetId="29033" refreshError="1"/>
      <sheetData sheetId="29034" refreshError="1"/>
      <sheetData sheetId="29035"/>
      <sheetData sheetId="29036" refreshError="1"/>
      <sheetData sheetId="29037"/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 refreshError="1"/>
      <sheetData sheetId="29061" refreshError="1"/>
      <sheetData sheetId="29062"/>
      <sheetData sheetId="29063"/>
      <sheetData sheetId="29064" refreshError="1"/>
      <sheetData sheetId="29065"/>
      <sheetData sheetId="29066"/>
      <sheetData sheetId="29067" refreshError="1"/>
      <sheetData sheetId="29068" refreshError="1"/>
      <sheetData sheetId="29069" refreshError="1"/>
      <sheetData sheetId="29070"/>
      <sheetData sheetId="2907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 refreshError="1"/>
      <sheetData sheetId="29092" refreshError="1"/>
      <sheetData sheetId="29093"/>
      <sheetData sheetId="29094"/>
      <sheetData sheetId="29095" refreshError="1"/>
      <sheetData sheetId="29096"/>
      <sheetData sheetId="29097"/>
      <sheetData sheetId="29098" refreshError="1"/>
      <sheetData sheetId="29099" refreshError="1"/>
      <sheetData sheetId="29100" refreshError="1"/>
      <sheetData sheetId="29101"/>
      <sheetData sheetId="29102"/>
      <sheetData sheetId="29103"/>
      <sheetData sheetId="29104"/>
      <sheetData sheetId="29105"/>
      <sheetData sheetId="29106"/>
      <sheetData sheetId="29107"/>
      <sheetData sheetId="29108"/>
      <sheetData sheetId="29109"/>
      <sheetData sheetId="29110"/>
      <sheetData sheetId="29111"/>
      <sheetData sheetId="29112"/>
      <sheetData sheetId="29113"/>
      <sheetData sheetId="29114"/>
      <sheetData sheetId="29115"/>
      <sheetData sheetId="29116"/>
      <sheetData sheetId="29117"/>
      <sheetData sheetId="29118"/>
      <sheetData sheetId="29119"/>
      <sheetData sheetId="29120"/>
      <sheetData sheetId="29121"/>
      <sheetData sheetId="29122"/>
      <sheetData sheetId="29123"/>
      <sheetData sheetId="29124" refreshError="1"/>
      <sheetData sheetId="29125" refreshError="1"/>
      <sheetData sheetId="29126" refreshError="1"/>
      <sheetData sheetId="29127" refreshError="1"/>
      <sheetData sheetId="29128"/>
      <sheetData sheetId="29129"/>
      <sheetData sheetId="29130" refreshError="1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/>
      <sheetData sheetId="29147"/>
      <sheetData sheetId="29148"/>
      <sheetData sheetId="29149"/>
      <sheetData sheetId="29150"/>
      <sheetData sheetId="29151"/>
      <sheetData sheetId="29152"/>
      <sheetData sheetId="29153" refreshError="1"/>
      <sheetData sheetId="29154"/>
      <sheetData sheetId="29155"/>
      <sheetData sheetId="29156"/>
      <sheetData sheetId="29157"/>
      <sheetData sheetId="29158"/>
      <sheetData sheetId="29159" refreshError="1"/>
      <sheetData sheetId="29160" refreshError="1"/>
      <sheetData sheetId="29161" refreshError="1"/>
      <sheetData sheetId="29162"/>
      <sheetData sheetId="29163"/>
      <sheetData sheetId="29164" refreshError="1"/>
      <sheetData sheetId="29165" refreshError="1"/>
      <sheetData sheetId="29166"/>
      <sheetData sheetId="29167" refreshError="1"/>
      <sheetData sheetId="29168"/>
      <sheetData sheetId="29169"/>
      <sheetData sheetId="29170" refreshError="1"/>
      <sheetData sheetId="29171"/>
      <sheetData sheetId="29172"/>
      <sheetData sheetId="29173" refreshError="1"/>
      <sheetData sheetId="29174"/>
      <sheetData sheetId="29175"/>
      <sheetData sheetId="29176"/>
      <sheetData sheetId="29177" refreshError="1"/>
      <sheetData sheetId="29178"/>
      <sheetData sheetId="29179"/>
      <sheetData sheetId="29180"/>
      <sheetData sheetId="29181"/>
      <sheetData sheetId="29182" refreshError="1"/>
      <sheetData sheetId="29183" refreshError="1"/>
      <sheetData sheetId="29184"/>
      <sheetData sheetId="29185"/>
      <sheetData sheetId="29186" refreshError="1"/>
      <sheetData sheetId="29187"/>
      <sheetData sheetId="29188"/>
      <sheetData sheetId="29189"/>
      <sheetData sheetId="29190"/>
      <sheetData sheetId="29191"/>
      <sheetData sheetId="29192" refreshError="1"/>
      <sheetData sheetId="29193" refreshError="1"/>
      <sheetData sheetId="29194" refreshError="1"/>
      <sheetData sheetId="29195"/>
      <sheetData sheetId="29196" refreshError="1"/>
      <sheetData sheetId="29197" refreshError="1"/>
      <sheetData sheetId="29198"/>
      <sheetData sheetId="29199"/>
      <sheetData sheetId="29200"/>
      <sheetData sheetId="29201" refreshError="1"/>
      <sheetData sheetId="29202" refreshError="1"/>
      <sheetData sheetId="29203" refreshError="1"/>
      <sheetData sheetId="29204"/>
      <sheetData sheetId="29205" refreshError="1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/>
      <sheetData sheetId="29215"/>
      <sheetData sheetId="29216"/>
      <sheetData sheetId="29217"/>
      <sheetData sheetId="29218"/>
      <sheetData sheetId="29219"/>
      <sheetData sheetId="29220"/>
      <sheetData sheetId="29221"/>
      <sheetData sheetId="29222"/>
      <sheetData sheetId="29223"/>
      <sheetData sheetId="29224"/>
      <sheetData sheetId="29225"/>
      <sheetData sheetId="29226"/>
      <sheetData sheetId="29227"/>
      <sheetData sheetId="29228"/>
      <sheetData sheetId="29229"/>
      <sheetData sheetId="29230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/>
      <sheetData sheetId="29238"/>
      <sheetData sheetId="29239"/>
      <sheetData sheetId="29240"/>
      <sheetData sheetId="29241"/>
      <sheetData sheetId="29242"/>
      <sheetData sheetId="29243"/>
      <sheetData sheetId="29244"/>
      <sheetData sheetId="29245"/>
      <sheetData sheetId="29246"/>
      <sheetData sheetId="29247"/>
      <sheetData sheetId="29248"/>
      <sheetData sheetId="29249"/>
      <sheetData sheetId="29250"/>
      <sheetData sheetId="29251"/>
      <sheetData sheetId="29252"/>
      <sheetData sheetId="29253"/>
      <sheetData sheetId="29254"/>
      <sheetData sheetId="29255"/>
      <sheetData sheetId="29256"/>
      <sheetData sheetId="29257"/>
      <sheetData sheetId="29258" refreshError="1"/>
      <sheetData sheetId="29259" refreshError="1"/>
      <sheetData sheetId="29260"/>
      <sheetData sheetId="29261"/>
      <sheetData sheetId="29262"/>
      <sheetData sheetId="29263" refreshError="1"/>
      <sheetData sheetId="29264" refreshError="1"/>
      <sheetData sheetId="29265" refreshError="1"/>
      <sheetData sheetId="29266"/>
      <sheetData sheetId="29267" refreshError="1"/>
      <sheetData sheetId="29268"/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/>
      <sheetData sheetId="29284"/>
      <sheetData sheetId="29285"/>
      <sheetData sheetId="29286"/>
      <sheetData sheetId="29287"/>
      <sheetData sheetId="29288"/>
      <sheetData sheetId="29289" refreshError="1"/>
      <sheetData sheetId="29290" refreshError="1"/>
      <sheetData sheetId="29291"/>
      <sheetData sheetId="29292"/>
      <sheetData sheetId="29293" refreshError="1"/>
      <sheetData sheetId="29294"/>
      <sheetData sheetId="29295"/>
      <sheetData sheetId="29296"/>
      <sheetData sheetId="29297"/>
      <sheetData sheetId="29298" refreshError="1"/>
      <sheetData sheetId="29299"/>
      <sheetData sheetId="29300"/>
      <sheetData sheetId="29301"/>
      <sheetData sheetId="29302" refreshError="1"/>
      <sheetData sheetId="29303" refreshError="1"/>
      <sheetData sheetId="29304" refreshError="1"/>
      <sheetData sheetId="29305"/>
      <sheetData sheetId="29306" refreshError="1"/>
      <sheetData sheetId="29307" refreshError="1"/>
      <sheetData sheetId="29308"/>
      <sheetData sheetId="29309"/>
      <sheetData sheetId="29310"/>
      <sheetData sheetId="29311"/>
      <sheetData sheetId="29312"/>
      <sheetData sheetId="29313"/>
      <sheetData sheetId="29314"/>
      <sheetData sheetId="29315"/>
      <sheetData sheetId="29316"/>
      <sheetData sheetId="29317"/>
      <sheetData sheetId="29318"/>
      <sheetData sheetId="29319"/>
      <sheetData sheetId="29320"/>
      <sheetData sheetId="29321"/>
      <sheetData sheetId="29322"/>
      <sheetData sheetId="29323"/>
      <sheetData sheetId="29324"/>
      <sheetData sheetId="29325"/>
      <sheetData sheetId="29326"/>
      <sheetData sheetId="29327"/>
      <sheetData sheetId="29328"/>
      <sheetData sheetId="29329"/>
      <sheetData sheetId="29330" refreshError="1"/>
      <sheetData sheetId="29331" refreshError="1"/>
      <sheetData sheetId="29332"/>
      <sheetData sheetId="29333"/>
      <sheetData sheetId="29334"/>
      <sheetData sheetId="29335" refreshError="1"/>
      <sheetData sheetId="29336"/>
      <sheetData sheetId="29337"/>
      <sheetData sheetId="29338" refreshError="1"/>
      <sheetData sheetId="29339" refreshError="1"/>
      <sheetData sheetId="29340"/>
      <sheetData sheetId="29341"/>
      <sheetData sheetId="29342"/>
      <sheetData sheetId="29343" refreshError="1"/>
      <sheetData sheetId="29344" refreshError="1"/>
      <sheetData sheetId="29345" refreshError="1"/>
      <sheetData sheetId="29346"/>
      <sheetData sheetId="29347" refreshError="1"/>
      <sheetData sheetId="29348"/>
      <sheetData sheetId="29349"/>
      <sheetData sheetId="29350"/>
      <sheetData sheetId="29351"/>
      <sheetData sheetId="29352"/>
      <sheetData sheetId="29353"/>
      <sheetData sheetId="29354"/>
      <sheetData sheetId="29355"/>
      <sheetData sheetId="29356"/>
      <sheetData sheetId="29357"/>
      <sheetData sheetId="29358"/>
      <sheetData sheetId="29359"/>
      <sheetData sheetId="29360"/>
      <sheetData sheetId="29361"/>
      <sheetData sheetId="29362"/>
      <sheetData sheetId="29363"/>
      <sheetData sheetId="29364"/>
      <sheetData sheetId="29365"/>
      <sheetData sheetId="29366"/>
      <sheetData sheetId="29367"/>
      <sheetData sheetId="29368"/>
      <sheetData sheetId="29369" refreshError="1"/>
      <sheetData sheetId="29370" refreshError="1"/>
      <sheetData sheetId="29371"/>
      <sheetData sheetId="29372"/>
      <sheetData sheetId="29373"/>
      <sheetData sheetId="29374" refreshError="1"/>
      <sheetData sheetId="29375"/>
      <sheetData sheetId="29376" refreshError="1"/>
      <sheetData sheetId="29377" refreshError="1"/>
      <sheetData sheetId="29378"/>
      <sheetData sheetId="29379"/>
      <sheetData sheetId="29380"/>
      <sheetData sheetId="29381" refreshError="1"/>
      <sheetData sheetId="29382" refreshError="1"/>
      <sheetData sheetId="29383" refreshError="1"/>
      <sheetData sheetId="29384"/>
      <sheetData sheetId="29385" refreshError="1"/>
      <sheetData sheetId="29386"/>
      <sheetData sheetId="29387"/>
      <sheetData sheetId="29388"/>
      <sheetData sheetId="29389"/>
      <sheetData sheetId="29390"/>
      <sheetData sheetId="29391"/>
      <sheetData sheetId="29392"/>
      <sheetData sheetId="29393"/>
      <sheetData sheetId="29394"/>
      <sheetData sheetId="29395"/>
      <sheetData sheetId="29396"/>
      <sheetData sheetId="29397"/>
      <sheetData sheetId="29398"/>
      <sheetData sheetId="29399"/>
      <sheetData sheetId="29400"/>
      <sheetData sheetId="29401"/>
      <sheetData sheetId="29402"/>
      <sheetData sheetId="29403"/>
      <sheetData sheetId="29404"/>
      <sheetData sheetId="29405"/>
      <sheetData sheetId="29406"/>
      <sheetData sheetId="29407"/>
      <sheetData sheetId="29408" refreshError="1"/>
      <sheetData sheetId="29409" refreshError="1"/>
      <sheetData sheetId="29410"/>
      <sheetData sheetId="29411"/>
      <sheetData sheetId="29412" refreshError="1"/>
      <sheetData sheetId="29413"/>
      <sheetData sheetId="29414"/>
      <sheetData sheetId="29415" refreshError="1"/>
      <sheetData sheetId="29416" refreshError="1"/>
      <sheetData sheetId="29417" refreshError="1"/>
      <sheetData sheetId="29418"/>
      <sheetData sheetId="29419"/>
      <sheetData sheetId="29420"/>
      <sheetData sheetId="29421"/>
      <sheetData sheetId="29422"/>
      <sheetData sheetId="29423"/>
      <sheetData sheetId="29424"/>
      <sheetData sheetId="29425"/>
      <sheetData sheetId="29426"/>
      <sheetData sheetId="29427"/>
      <sheetData sheetId="29428"/>
      <sheetData sheetId="29429"/>
      <sheetData sheetId="29430"/>
      <sheetData sheetId="29431"/>
      <sheetData sheetId="29432"/>
      <sheetData sheetId="29433"/>
      <sheetData sheetId="29434"/>
      <sheetData sheetId="29435"/>
      <sheetData sheetId="29436"/>
      <sheetData sheetId="29437"/>
      <sheetData sheetId="29438"/>
      <sheetData sheetId="29439" refreshError="1"/>
      <sheetData sheetId="29440" refreshError="1"/>
      <sheetData sheetId="29441"/>
      <sheetData sheetId="29442"/>
      <sheetData sheetId="29443"/>
      <sheetData sheetId="29444" refreshError="1"/>
      <sheetData sheetId="29445"/>
      <sheetData sheetId="29446"/>
      <sheetData sheetId="29447" refreshError="1"/>
      <sheetData sheetId="29448" refreshError="1"/>
      <sheetData sheetId="29449"/>
      <sheetData sheetId="29450"/>
      <sheetData sheetId="29451"/>
      <sheetData sheetId="29452" refreshError="1"/>
      <sheetData sheetId="29453" refreshError="1"/>
      <sheetData sheetId="29454" refreshError="1"/>
      <sheetData sheetId="29455"/>
      <sheetData sheetId="29456" refreshError="1"/>
      <sheetData sheetId="29457"/>
      <sheetData sheetId="29458"/>
      <sheetData sheetId="29459"/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/>
      <sheetData sheetId="29473"/>
      <sheetData sheetId="29474"/>
      <sheetData sheetId="29475"/>
      <sheetData sheetId="29476"/>
      <sheetData sheetId="29477"/>
      <sheetData sheetId="29478" refreshError="1"/>
      <sheetData sheetId="29479" refreshError="1"/>
      <sheetData sheetId="29480"/>
      <sheetData sheetId="29481" refreshError="1"/>
      <sheetData sheetId="29482"/>
      <sheetData sheetId="29483" refreshError="1"/>
      <sheetData sheetId="29484" refreshError="1"/>
      <sheetData sheetId="29485"/>
      <sheetData sheetId="29486" refreshError="1"/>
      <sheetData sheetId="29487"/>
      <sheetData sheetId="29488"/>
      <sheetData sheetId="29489"/>
      <sheetData sheetId="29490"/>
      <sheetData sheetId="29491"/>
      <sheetData sheetId="29492"/>
      <sheetData sheetId="29493"/>
      <sheetData sheetId="29494"/>
      <sheetData sheetId="29495"/>
      <sheetData sheetId="29496"/>
      <sheetData sheetId="29497"/>
      <sheetData sheetId="29498"/>
      <sheetData sheetId="29499"/>
      <sheetData sheetId="29500"/>
      <sheetData sheetId="29501"/>
      <sheetData sheetId="29502"/>
      <sheetData sheetId="29503"/>
      <sheetData sheetId="29504"/>
      <sheetData sheetId="29505"/>
      <sheetData sheetId="29506"/>
      <sheetData sheetId="29507"/>
      <sheetData sheetId="29508"/>
      <sheetData sheetId="29509"/>
      <sheetData sheetId="29510"/>
      <sheetData sheetId="29511"/>
      <sheetData sheetId="29512" refreshError="1"/>
      <sheetData sheetId="29513" refreshError="1"/>
      <sheetData sheetId="29514" refreshError="1"/>
      <sheetData sheetId="29515" refreshError="1"/>
      <sheetData sheetId="29516"/>
      <sheetData sheetId="29517"/>
      <sheetData sheetId="29518" refreshError="1"/>
      <sheetData sheetId="29519" refreshError="1"/>
      <sheetData sheetId="29520"/>
      <sheetData sheetId="29521"/>
      <sheetData sheetId="29522" refreshError="1"/>
      <sheetData sheetId="29523"/>
      <sheetData sheetId="29524"/>
      <sheetData sheetId="29525" refreshError="1"/>
      <sheetData sheetId="29526" refreshError="1"/>
      <sheetData sheetId="29527" refreshError="1"/>
      <sheetData sheetId="29528"/>
      <sheetData sheetId="29529" refreshError="1"/>
      <sheetData sheetId="29530" refreshError="1"/>
      <sheetData sheetId="29531"/>
      <sheetData sheetId="29532" refreshError="1"/>
      <sheetData sheetId="29533"/>
      <sheetData sheetId="29534"/>
      <sheetData sheetId="29535"/>
      <sheetData sheetId="29536"/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/>
      <sheetData sheetId="29550"/>
      <sheetData sheetId="29551"/>
      <sheetData sheetId="29552"/>
      <sheetData sheetId="29553"/>
      <sheetData sheetId="29554"/>
      <sheetData sheetId="29555"/>
      <sheetData sheetId="29556" refreshError="1"/>
      <sheetData sheetId="29557" refreshError="1"/>
      <sheetData sheetId="29558"/>
      <sheetData sheetId="29559"/>
      <sheetData sheetId="29560"/>
      <sheetData sheetId="29561"/>
      <sheetData sheetId="29562"/>
      <sheetData sheetId="29563"/>
      <sheetData sheetId="29564"/>
      <sheetData sheetId="29565"/>
      <sheetData sheetId="29566"/>
      <sheetData sheetId="29567"/>
      <sheetData sheetId="29568"/>
      <sheetData sheetId="29569"/>
      <sheetData sheetId="29570"/>
      <sheetData sheetId="29571"/>
      <sheetData sheetId="29572"/>
      <sheetData sheetId="29573"/>
      <sheetData sheetId="29574"/>
      <sheetData sheetId="29575"/>
      <sheetData sheetId="29576"/>
      <sheetData sheetId="29577"/>
      <sheetData sheetId="29578"/>
      <sheetData sheetId="29579"/>
      <sheetData sheetId="29580" refreshError="1"/>
      <sheetData sheetId="29581" refreshError="1"/>
      <sheetData sheetId="29582" refreshError="1"/>
      <sheetData sheetId="29583"/>
      <sheetData sheetId="29584"/>
      <sheetData sheetId="29585"/>
      <sheetData sheetId="29586"/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/>
      <sheetData sheetId="29601"/>
      <sheetData sheetId="29602"/>
      <sheetData sheetId="29603"/>
      <sheetData sheetId="29604" refreshError="1"/>
      <sheetData sheetId="29605" refreshError="1"/>
      <sheetData sheetId="29606"/>
      <sheetData sheetId="29607" refreshError="1"/>
      <sheetData sheetId="29608"/>
      <sheetData sheetId="29609"/>
      <sheetData sheetId="29610" refreshError="1"/>
      <sheetData sheetId="29611"/>
      <sheetData sheetId="29612" refreshError="1"/>
      <sheetData sheetId="29613" refreshError="1"/>
      <sheetData sheetId="29614"/>
      <sheetData sheetId="29615"/>
      <sheetData sheetId="29616"/>
      <sheetData sheetId="29617" refreshError="1"/>
      <sheetData sheetId="29618" refreshError="1"/>
      <sheetData sheetId="29619" refreshError="1"/>
      <sheetData sheetId="29620"/>
      <sheetData sheetId="29621"/>
      <sheetData sheetId="29622"/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 refreshError="1"/>
      <sheetData sheetId="29644" refreshError="1"/>
      <sheetData sheetId="29645"/>
      <sheetData sheetId="29646"/>
      <sheetData sheetId="29647"/>
      <sheetData sheetId="29648" refreshError="1"/>
      <sheetData sheetId="29649" refreshError="1"/>
      <sheetData sheetId="29650"/>
      <sheetData sheetId="29651"/>
      <sheetData sheetId="29652" refreshError="1"/>
      <sheetData sheetId="29653"/>
      <sheetData sheetId="29654"/>
      <sheetData sheetId="29655" refreshError="1"/>
      <sheetData sheetId="29656" refreshError="1"/>
      <sheetData sheetId="29657" refreshError="1"/>
      <sheetData sheetId="29658"/>
      <sheetData sheetId="29659"/>
      <sheetData sheetId="29660"/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/>
      <sheetData sheetId="29674"/>
      <sheetData sheetId="29675"/>
      <sheetData sheetId="29676"/>
      <sheetData sheetId="29677"/>
      <sheetData sheetId="29678"/>
      <sheetData sheetId="29679"/>
      <sheetData sheetId="29680"/>
      <sheetData sheetId="29681"/>
      <sheetData sheetId="29682" refreshError="1"/>
      <sheetData sheetId="29683" refreshError="1"/>
      <sheetData sheetId="29684"/>
      <sheetData sheetId="29685"/>
      <sheetData sheetId="29686"/>
      <sheetData sheetId="29687" refreshError="1"/>
      <sheetData sheetId="29688" refreshError="1"/>
      <sheetData sheetId="29689"/>
      <sheetData sheetId="29690"/>
      <sheetData sheetId="29691" refreshError="1"/>
      <sheetData sheetId="29692" refreshError="1"/>
      <sheetData sheetId="29693"/>
      <sheetData sheetId="29694"/>
      <sheetData sheetId="29695" refreshError="1"/>
      <sheetData sheetId="29696" refreshError="1"/>
      <sheetData sheetId="29697"/>
      <sheetData sheetId="29698" refreshError="1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 refreshError="1"/>
      <sheetData sheetId="29722"/>
      <sheetData sheetId="29723" refreshError="1"/>
      <sheetData sheetId="29724" refreshError="1"/>
      <sheetData sheetId="29725"/>
      <sheetData sheetId="29726"/>
      <sheetData sheetId="29727"/>
      <sheetData sheetId="29728" refreshError="1"/>
      <sheetData sheetId="29729"/>
      <sheetData sheetId="29730"/>
      <sheetData sheetId="29731" refreshError="1"/>
      <sheetData sheetId="29732" refreshError="1"/>
      <sheetData sheetId="29733"/>
      <sheetData sheetId="29734" refreshError="1"/>
      <sheetData sheetId="29735"/>
      <sheetData sheetId="29736"/>
      <sheetData sheetId="29737" refreshError="1"/>
      <sheetData sheetId="29738"/>
      <sheetData sheetId="29739" refreshError="1"/>
      <sheetData sheetId="29740" refreshError="1"/>
      <sheetData sheetId="29741"/>
      <sheetData sheetId="29742"/>
      <sheetData sheetId="29743" refreshError="1"/>
      <sheetData sheetId="29744" refreshError="1"/>
      <sheetData sheetId="29745" refreshError="1"/>
      <sheetData sheetId="29746"/>
      <sheetData sheetId="29747"/>
      <sheetData sheetId="29748"/>
      <sheetData sheetId="29749"/>
      <sheetData sheetId="29750"/>
      <sheetData sheetId="29751"/>
      <sheetData sheetId="29752"/>
      <sheetData sheetId="29753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/>
      <sheetData sheetId="29764"/>
      <sheetData sheetId="29765"/>
      <sheetData sheetId="29766"/>
      <sheetData sheetId="29767"/>
      <sheetData sheetId="29768"/>
      <sheetData sheetId="29769" refreshError="1"/>
      <sheetData sheetId="29770" refreshError="1"/>
      <sheetData sheetId="29771"/>
      <sheetData sheetId="29772" refreshError="1"/>
      <sheetData sheetId="29773"/>
      <sheetData sheetId="29774"/>
      <sheetData sheetId="29775" refreshError="1"/>
      <sheetData sheetId="29776"/>
      <sheetData sheetId="29777"/>
      <sheetData sheetId="29778"/>
      <sheetData sheetId="29779" refreshError="1"/>
      <sheetData sheetId="29780" refreshError="1"/>
      <sheetData sheetId="29781" refreshError="1"/>
      <sheetData sheetId="29782"/>
      <sheetData sheetId="29783"/>
      <sheetData sheetId="29784"/>
      <sheetData sheetId="29785" refreshError="1"/>
      <sheetData sheetId="29786"/>
      <sheetData sheetId="29787"/>
      <sheetData sheetId="29788" refreshError="1"/>
      <sheetData sheetId="29789" refreshError="1"/>
      <sheetData sheetId="29790" refreshError="1"/>
      <sheetData sheetId="29791"/>
      <sheetData sheetId="29792"/>
      <sheetData sheetId="29793" refreshError="1"/>
      <sheetData sheetId="29794" refreshError="1"/>
      <sheetData sheetId="29795" refreshError="1"/>
      <sheetData sheetId="29796" refreshError="1"/>
      <sheetData sheetId="29797"/>
      <sheetData sheetId="29798" refreshError="1"/>
      <sheetData sheetId="29799" refreshError="1"/>
      <sheetData sheetId="29800"/>
      <sheetData sheetId="29801"/>
      <sheetData sheetId="29802"/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/>
      <sheetData sheetId="29818"/>
      <sheetData sheetId="29819"/>
      <sheetData sheetId="29820"/>
      <sheetData sheetId="29821"/>
      <sheetData sheetId="29822"/>
      <sheetData sheetId="29823"/>
      <sheetData sheetId="29824"/>
      <sheetData sheetId="29825" refreshError="1"/>
      <sheetData sheetId="29826"/>
      <sheetData sheetId="29827" refreshError="1"/>
      <sheetData sheetId="29828" refreshError="1"/>
      <sheetData sheetId="29829"/>
      <sheetData sheetId="29830"/>
      <sheetData sheetId="29831"/>
      <sheetData sheetId="29832"/>
      <sheetData sheetId="29833"/>
      <sheetData sheetId="29834" refreshError="1"/>
      <sheetData sheetId="29835"/>
      <sheetData sheetId="29836"/>
      <sheetData sheetId="29837" refreshError="1"/>
      <sheetData sheetId="29838" refreshError="1"/>
      <sheetData sheetId="29839"/>
      <sheetData sheetId="29840"/>
      <sheetData sheetId="29841"/>
      <sheetData sheetId="29842"/>
      <sheetData sheetId="29843"/>
      <sheetData sheetId="29844" refreshError="1"/>
      <sheetData sheetId="29845" refreshError="1"/>
      <sheetData sheetId="29846"/>
      <sheetData sheetId="29847"/>
      <sheetData sheetId="29848"/>
      <sheetData sheetId="29849" refreshError="1"/>
      <sheetData sheetId="29850"/>
      <sheetData sheetId="29851" refreshError="1"/>
      <sheetData sheetId="29852" refreshError="1"/>
      <sheetData sheetId="29853"/>
      <sheetData sheetId="29854"/>
      <sheetData sheetId="29855"/>
      <sheetData sheetId="29856" refreshError="1"/>
      <sheetData sheetId="29857"/>
      <sheetData sheetId="29858"/>
      <sheetData sheetId="29859" refreshError="1"/>
      <sheetData sheetId="29860" refreshError="1"/>
      <sheetData sheetId="2986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 refreshError="1"/>
      <sheetData sheetId="29882" refreshError="1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 refreshError="1"/>
      <sheetData sheetId="29904" refreshError="1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/>
      <sheetData sheetId="29920"/>
      <sheetData sheetId="29921"/>
      <sheetData sheetId="29922"/>
      <sheetData sheetId="29923"/>
      <sheetData sheetId="29924"/>
      <sheetData sheetId="29925"/>
      <sheetData sheetId="29926" refreshError="1"/>
      <sheetData sheetId="29927"/>
      <sheetData sheetId="29928" refreshError="1"/>
      <sheetData sheetId="29929" refreshError="1"/>
      <sheetData sheetId="29930"/>
      <sheetData sheetId="29931"/>
      <sheetData sheetId="29932"/>
      <sheetData sheetId="29933" refreshError="1"/>
      <sheetData sheetId="29934" refreshError="1"/>
      <sheetData sheetId="29935" refreshError="1"/>
      <sheetData sheetId="29936"/>
      <sheetData sheetId="29937" refreshError="1"/>
      <sheetData sheetId="29938"/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/>
      <sheetData sheetId="29951"/>
      <sheetData sheetId="29952"/>
      <sheetData sheetId="29953"/>
      <sheetData sheetId="29954"/>
      <sheetData sheetId="29955"/>
      <sheetData sheetId="29956"/>
      <sheetData sheetId="29957"/>
      <sheetData sheetId="29958"/>
      <sheetData sheetId="29959"/>
      <sheetData sheetId="29960" refreshError="1"/>
      <sheetData sheetId="29961" refreshError="1"/>
      <sheetData sheetId="29962"/>
      <sheetData sheetId="29963"/>
      <sheetData sheetId="29964"/>
      <sheetData sheetId="29965" refreshError="1"/>
      <sheetData sheetId="29966"/>
      <sheetData sheetId="29967"/>
      <sheetData sheetId="29968"/>
      <sheetData sheetId="29969" refreshError="1"/>
      <sheetData sheetId="29970" refreshError="1"/>
      <sheetData sheetId="29971"/>
      <sheetData sheetId="29972"/>
      <sheetData sheetId="29973"/>
      <sheetData sheetId="29974" refreshError="1"/>
      <sheetData sheetId="29975"/>
      <sheetData sheetId="29976"/>
      <sheetData sheetId="29977"/>
      <sheetData sheetId="29978"/>
      <sheetData sheetId="29979"/>
      <sheetData sheetId="29980" refreshError="1"/>
      <sheetData sheetId="29981" refreshError="1"/>
      <sheetData sheetId="29982"/>
      <sheetData sheetId="29983"/>
      <sheetData sheetId="29984"/>
      <sheetData sheetId="29985" refreshError="1"/>
      <sheetData sheetId="29986"/>
      <sheetData sheetId="29987"/>
      <sheetData sheetId="29988"/>
      <sheetData sheetId="29989" refreshError="1"/>
      <sheetData sheetId="29990" refreshError="1"/>
      <sheetData sheetId="29991"/>
      <sheetData sheetId="29992"/>
      <sheetData sheetId="29993"/>
      <sheetData sheetId="29994" refreshError="1"/>
      <sheetData sheetId="29995"/>
      <sheetData sheetId="29996"/>
      <sheetData sheetId="29997"/>
      <sheetData sheetId="29998" refreshError="1"/>
      <sheetData sheetId="29999" refreshError="1"/>
      <sheetData sheetId="30000"/>
      <sheetData sheetId="30001"/>
      <sheetData sheetId="30002" refreshError="1"/>
      <sheetData sheetId="30003"/>
      <sheetData sheetId="30004"/>
      <sheetData sheetId="30005"/>
      <sheetData sheetId="30006" refreshError="1"/>
      <sheetData sheetId="30007" refreshError="1"/>
      <sheetData sheetId="30008"/>
      <sheetData sheetId="30009"/>
      <sheetData sheetId="30010"/>
      <sheetData sheetId="30011" refreshError="1"/>
      <sheetData sheetId="30012"/>
      <sheetData sheetId="30013"/>
      <sheetData sheetId="30014"/>
      <sheetData sheetId="30015" refreshError="1"/>
      <sheetData sheetId="30016" refreshError="1"/>
      <sheetData sheetId="30017"/>
      <sheetData sheetId="30018"/>
      <sheetData sheetId="30019" refreshError="1"/>
      <sheetData sheetId="30020"/>
      <sheetData sheetId="30021"/>
      <sheetData sheetId="30022"/>
      <sheetData sheetId="30023"/>
      <sheetData sheetId="30024"/>
      <sheetData sheetId="30025"/>
      <sheetData sheetId="30026"/>
      <sheetData sheetId="30027" refreshError="1"/>
      <sheetData sheetId="30028" refreshError="1"/>
      <sheetData sheetId="30029"/>
      <sheetData sheetId="30030"/>
      <sheetData sheetId="30031"/>
      <sheetData sheetId="30032" refreshError="1"/>
      <sheetData sheetId="30033"/>
      <sheetData sheetId="30034"/>
      <sheetData sheetId="30035" refreshError="1"/>
      <sheetData sheetId="30036" refreshError="1"/>
      <sheetData sheetId="30037"/>
      <sheetData sheetId="30038"/>
      <sheetData sheetId="30039" refreshError="1"/>
      <sheetData sheetId="30040"/>
      <sheetData sheetId="30041"/>
      <sheetData sheetId="30042"/>
      <sheetData sheetId="30043" refreshError="1"/>
      <sheetData sheetId="30044" refreshError="1"/>
      <sheetData sheetId="30045"/>
      <sheetData sheetId="30046"/>
      <sheetData sheetId="30047"/>
      <sheetData sheetId="30048" refreshError="1"/>
      <sheetData sheetId="30049"/>
      <sheetData sheetId="30050"/>
      <sheetData sheetId="30051"/>
      <sheetData sheetId="30052" refreshError="1"/>
      <sheetData sheetId="30053" refreshError="1"/>
      <sheetData sheetId="30054"/>
      <sheetData sheetId="30055"/>
      <sheetData sheetId="30056" refreshError="1"/>
      <sheetData sheetId="30057"/>
      <sheetData sheetId="30058"/>
      <sheetData sheetId="30059"/>
      <sheetData sheetId="30060" refreshError="1"/>
      <sheetData sheetId="30061" refreshError="1"/>
      <sheetData sheetId="30062"/>
      <sheetData sheetId="30063"/>
      <sheetData sheetId="30064"/>
      <sheetData sheetId="30065" refreshError="1"/>
      <sheetData sheetId="30066" refreshError="1"/>
      <sheetData sheetId="30067" refreshError="1"/>
      <sheetData sheetId="30068"/>
      <sheetData sheetId="30069" refreshError="1"/>
      <sheetData sheetId="30070"/>
      <sheetData sheetId="30071"/>
      <sheetData sheetId="30072"/>
      <sheetData sheetId="30073"/>
      <sheetData sheetId="30074"/>
      <sheetData sheetId="30075"/>
      <sheetData sheetId="30076"/>
      <sheetData sheetId="30077"/>
      <sheetData sheetId="30078"/>
      <sheetData sheetId="30079"/>
      <sheetData sheetId="30080"/>
      <sheetData sheetId="30081"/>
      <sheetData sheetId="30082"/>
      <sheetData sheetId="30083"/>
      <sheetData sheetId="30084"/>
      <sheetData sheetId="30085"/>
      <sheetData sheetId="30086"/>
      <sheetData sheetId="30087"/>
      <sheetData sheetId="30088"/>
      <sheetData sheetId="30089"/>
      <sheetData sheetId="30090"/>
      <sheetData sheetId="30091" refreshError="1"/>
      <sheetData sheetId="30092" refreshError="1"/>
      <sheetData sheetId="30093"/>
      <sheetData sheetId="30094"/>
      <sheetData sheetId="30095"/>
      <sheetData sheetId="30096" refreshError="1"/>
      <sheetData sheetId="30097" refreshError="1"/>
      <sheetData sheetId="30098" refreshError="1"/>
      <sheetData sheetId="30099"/>
      <sheetData sheetId="30100" refreshError="1"/>
      <sheetData sheetId="30101"/>
      <sheetData sheetId="30102"/>
      <sheetData sheetId="30103"/>
      <sheetData sheetId="30104"/>
      <sheetData sheetId="30105"/>
      <sheetData sheetId="30106"/>
      <sheetData sheetId="30107"/>
      <sheetData sheetId="30108"/>
      <sheetData sheetId="30109"/>
      <sheetData sheetId="30110"/>
      <sheetData sheetId="30111"/>
      <sheetData sheetId="30112"/>
      <sheetData sheetId="30113"/>
      <sheetData sheetId="30114"/>
      <sheetData sheetId="30115"/>
      <sheetData sheetId="30116"/>
      <sheetData sheetId="30117"/>
      <sheetData sheetId="30118"/>
      <sheetData sheetId="30119"/>
      <sheetData sheetId="30120"/>
      <sheetData sheetId="30121"/>
      <sheetData sheetId="30122" refreshError="1"/>
      <sheetData sheetId="30123" refreshError="1"/>
      <sheetData sheetId="30124"/>
      <sheetData sheetId="30125"/>
      <sheetData sheetId="30126" refreshError="1"/>
      <sheetData sheetId="30127"/>
      <sheetData sheetId="30128"/>
      <sheetData sheetId="30129" refreshError="1"/>
      <sheetData sheetId="30130" refreshError="1"/>
      <sheetData sheetId="30131" refreshError="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 refreshError="1"/>
      <sheetData sheetId="30154"/>
      <sheetData sheetId="30155"/>
      <sheetData sheetId="30156"/>
      <sheetData sheetId="30157" refreshError="1"/>
      <sheetData sheetId="30158" refreshError="1"/>
      <sheetData sheetId="30159" refreshError="1"/>
      <sheetData sheetId="30160" refreshError="1"/>
      <sheetData sheetId="30161"/>
      <sheetData sheetId="30162" refreshError="1"/>
      <sheetData sheetId="30163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/>
      <sheetData sheetId="30178"/>
      <sheetData sheetId="30179"/>
      <sheetData sheetId="30180"/>
      <sheetData sheetId="30181"/>
      <sheetData sheetId="30182"/>
      <sheetData sheetId="30183"/>
      <sheetData sheetId="30184"/>
      <sheetData sheetId="30185" refreshError="1"/>
      <sheetData sheetId="30186"/>
      <sheetData sheetId="30187"/>
      <sheetData sheetId="30188" refreshError="1"/>
      <sheetData sheetId="30189" refreshError="1"/>
      <sheetData sheetId="30190"/>
      <sheetData sheetId="30191"/>
      <sheetData sheetId="30192" refreshError="1"/>
      <sheetData sheetId="30193"/>
      <sheetData sheetId="30194"/>
      <sheetData sheetId="30195"/>
      <sheetData sheetId="30196"/>
      <sheetData sheetId="30197" refreshError="1"/>
      <sheetData sheetId="30198" refreshError="1"/>
      <sheetData sheetId="30199" refreshError="1"/>
      <sheetData sheetId="30200"/>
      <sheetData sheetId="30201"/>
      <sheetData sheetId="30202"/>
      <sheetData sheetId="30203"/>
      <sheetData sheetId="30204"/>
      <sheetData sheetId="30205"/>
      <sheetData sheetId="30206"/>
      <sheetData sheetId="30207"/>
      <sheetData sheetId="30208"/>
      <sheetData sheetId="30209"/>
      <sheetData sheetId="30210"/>
      <sheetData sheetId="30211"/>
      <sheetData sheetId="30212"/>
      <sheetData sheetId="30213"/>
      <sheetData sheetId="30214"/>
      <sheetData sheetId="30215"/>
      <sheetData sheetId="30216"/>
      <sheetData sheetId="30217"/>
      <sheetData sheetId="30218"/>
      <sheetData sheetId="30219"/>
      <sheetData sheetId="30220"/>
      <sheetData sheetId="30221"/>
      <sheetData sheetId="30222"/>
      <sheetData sheetId="30223"/>
      <sheetData sheetId="30224"/>
      <sheetData sheetId="30225"/>
      <sheetData sheetId="30226" refreshError="1"/>
      <sheetData sheetId="30227" refreshError="1"/>
      <sheetData sheetId="30228"/>
      <sheetData sheetId="30229"/>
      <sheetData sheetId="30230"/>
      <sheetData sheetId="30231" refreshError="1"/>
      <sheetData sheetId="30232" refreshError="1"/>
      <sheetData sheetId="30233"/>
      <sheetData sheetId="30234"/>
      <sheetData sheetId="30235"/>
      <sheetData sheetId="30236" refreshError="1"/>
      <sheetData sheetId="30237" refreshError="1"/>
      <sheetData sheetId="30238" refreshError="1"/>
      <sheetData sheetId="30239" refreshError="1"/>
      <sheetData sheetId="30240"/>
      <sheetData sheetId="30241"/>
      <sheetData sheetId="30242"/>
      <sheetData sheetId="30243"/>
      <sheetData sheetId="30244" refreshError="1"/>
      <sheetData sheetId="30245"/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/>
      <sheetData sheetId="30260"/>
      <sheetData sheetId="30261"/>
      <sheetData sheetId="30262"/>
      <sheetData sheetId="30263"/>
      <sheetData sheetId="30264"/>
      <sheetData sheetId="30265"/>
      <sheetData sheetId="30266"/>
      <sheetData sheetId="30267" refreshError="1"/>
      <sheetData sheetId="30268" refreshError="1"/>
      <sheetData sheetId="30269"/>
      <sheetData sheetId="30270"/>
      <sheetData sheetId="3027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/>
      <sheetData sheetId="30278"/>
      <sheetData sheetId="30279"/>
      <sheetData sheetId="30280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 refreshError="1"/>
      <sheetData sheetId="30300" refreshError="1"/>
      <sheetData sheetId="30301" refreshError="1"/>
      <sheetData sheetId="30302" refreshError="1"/>
      <sheetData sheetId="30303" refreshError="1"/>
      <sheetData sheetId="30304" refreshError="1"/>
      <sheetData sheetId="30305" refreshError="1"/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/>
      <sheetData sheetId="30364"/>
      <sheetData sheetId="30365"/>
      <sheetData sheetId="30366" refreshError="1"/>
      <sheetData sheetId="30367" refreshError="1"/>
      <sheetData sheetId="30368"/>
      <sheetData sheetId="30369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/>
      <sheetData sheetId="30376"/>
      <sheetData sheetId="30377"/>
      <sheetData sheetId="30378"/>
      <sheetData sheetId="30379" refreshError="1"/>
      <sheetData sheetId="30380" refreshError="1"/>
      <sheetData sheetId="30381"/>
      <sheetData sheetId="30382"/>
      <sheetData sheetId="30383"/>
      <sheetData sheetId="30384" refreshError="1"/>
      <sheetData sheetId="30385" refreshError="1"/>
      <sheetData sheetId="30386" refreshError="1"/>
      <sheetData sheetId="30387" refreshError="1"/>
      <sheetData sheetId="30388"/>
      <sheetData sheetId="30389"/>
      <sheetData sheetId="30390" refreshError="1"/>
      <sheetData sheetId="30391" refreshError="1"/>
      <sheetData sheetId="30392"/>
      <sheetData sheetId="30393"/>
      <sheetData sheetId="30394"/>
      <sheetData sheetId="30395" refreshError="1"/>
      <sheetData sheetId="30396" refreshError="1"/>
      <sheetData sheetId="30397" refreshError="1"/>
      <sheetData sheetId="30398" refreshError="1"/>
      <sheetData sheetId="30399"/>
      <sheetData sheetId="30400"/>
      <sheetData sheetId="30401" refreshError="1"/>
      <sheetData sheetId="30402" refreshError="1"/>
      <sheetData sheetId="30403"/>
      <sheetData sheetId="30404"/>
      <sheetData sheetId="30405"/>
      <sheetData sheetId="30406" refreshError="1"/>
      <sheetData sheetId="30407" refreshError="1"/>
      <sheetData sheetId="30408" refreshError="1"/>
      <sheetData sheetId="30409" refreshError="1"/>
      <sheetData sheetId="30410"/>
      <sheetData sheetId="30411"/>
      <sheetData sheetId="30412" refreshError="1"/>
      <sheetData sheetId="30413"/>
      <sheetData sheetId="30414"/>
      <sheetData sheetId="30415"/>
      <sheetData sheetId="30416"/>
      <sheetData sheetId="30417" refreshError="1"/>
      <sheetData sheetId="30418" refreshError="1"/>
      <sheetData sheetId="30419" refreshError="1"/>
      <sheetData sheetId="30420" refreshError="1"/>
      <sheetData sheetId="30421"/>
      <sheetData sheetId="30422"/>
      <sheetData sheetId="30423" refreshError="1"/>
      <sheetData sheetId="30424" refreshError="1"/>
      <sheetData sheetId="30425"/>
      <sheetData sheetId="30426"/>
      <sheetData sheetId="30427"/>
      <sheetData sheetId="30428" refreshError="1"/>
      <sheetData sheetId="30429"/>
      <sheetData sheetId="30430"/>
      <sheetData sheetId="30431"/>
      <sheetData sheetId="30432" refreshError="1"/>
      <sheetData sheetId="30433"/>
      <sheetData sheetId="30434"/>
      <sheetData sheetId="30435"/>
      <sheetData sheetId="30436" refreshError="1"/>
      <sheetData sheetId="30437" refreshError="1"/>
      <sheetData sheetId="30438"/>
      <sheetData sheetId="30439"/>
      <sheetData sheetId="30440" refreshError="1"/>
      <sheetData sheetId="30441"/>
      <sheetData sheetId="30442"/>
      <sheetData sheetId="30443"/>
      <sheetData sheetId="30444"/>
      <sheetData sheetId="30445"/>
      <sheetData sheetId="30446"/>
      <sheetData sheetId="30447"/>
      <sheetData sheetId="30448"/>
      <sheetData sheetId="30449"/>
      <sheetData sheetId="30450"/>
      <sheetData sheetId="30451"/>
      <sheetData sheetId="30452"/>
      <sheetData sheetId="30453"/>
      <sheetData sheetId="30454"/>
      <sheetData sheetId="30455"/>
      <sheetData sheetId="30456"/>
      <sheetData sheetId="30457"/>
      <sheetData sheetId="30458"/>
      <sheetData sheetId="30459"/>
      <sheetData sheetId="30460"/>
      <sheetData sheetId="30461"/>
      <sheetData sheetId="30462"/>
      <sheetData sheetId="30463" refreshError="1"/>
      <sheetData sheetId="30464" refreshError="1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 refreshError="1"/>
      <sheetData sheetId="30481"/>
      <sheetData sheetId="30482" refreshError="1"/>
      <sheetData sheetId="30483" refreshError="1"/>
      <sheetData sheetId="30484"/>
      <sheetData sheetId="30485"/>
      <sheetData sheetId="30486"/>
      <sheetData sheetId="30487"/>
      <sheetData sheetId="30488"/>
      <sheetData sheetId="30489"/>
      <sheetData sheetId="30490"/>
      <sheetData sheetId="30491"/>
      <sheetData sheetId="30492"/>
      <sheetData sheetId="30493"/>
      <sheetData sheetId="30494"/>
      <sheetData sheetId="30495"/>
      <sheetData sheetId="30496"/>
      <sheetData sheetId="30497"/>
      <sheetData sheetId="30498"/>
      <sheetData sheetId="30499"/>
      <sheetData sheetId="30500"/>
      <sheetData sheetId="30501"/>
      <sheetData sheetId="30502"/>
      <sheetData sheetId="30503"/>
      <sheetData sheetId="30504"/>
      <sheetData sheetId="30505"/>
      <sheetData sheetId="30506"/>
      <sheetData sheetId="30507"/>
      <sheetData sheetId="30508"/>
      <sheetData sheetId="30509"/>
      <sheetData sheetId="30510"/>
      <sheetData sheetId="30511"/>
      <sheetData sheetId="30512"/>
      <sheetData sheetId="30513"/>
      <sheetData sheetId="30514"/>
      <sheetData sheetId="30515"/>
      <sheetData sheetId="30516"/>
      <sheetData sheetId="30517"/>
      <sheetData sheetId="30518"/>
      <sheetData sheetId="30519"/>
      <sheetData sheetId="30520"/>
      <sheetData sheetId="30521"/>
      <sheetData sheetId="30522"/>
      <sheetData sheetId="30523"/>
      <sheetData sheetId="30524"/>
      <sheetData sheetId="30525" refreshError="1"/>
      <sheetData sheetId="30526"/>
      <sheetData sheetId="30527"/>
      <sheetData sheetId="30528"/>
      <sheetData sheetId="30529" refreshError="1"/>
      <sheetData sheetId="30530" refreshError="1"/>
      <sheetData sheetId="30531"/>
      <sheetData sheetId="30532"/>
      <sheetData sheetId="30533"/>
      <sheetData sheetId="30534"/>
      <sheetData sheetId="30535"/>
      <sheetData sheetId="30536"/>
      <sheetData sheetId="30537"/>
      <sheetData sheetId="30538"/>
      <sheetData sheetId="30539"/>
      <sheetData sheetId="30540"/>
      <sheetData sheetId="30541"/>
      <sheetData sheetId="30542"/>
      <sheetData sheetId="30543"/>
      <sheetData sheetId="30544"/>
      <sheetData sheetId="30545"/>
      <sheetData sheetId="30546"/>
      <sheetData sheetId="30547"/>
      <sheetData sheetId="30548"/>
      <sheetData sheetId="30549"/>
      <sheetData sheetId="30550"/>
      <sheetData sheetId="30551"/>
      <sheetData sheetId="30552"/>
      <sheetData sheetId="30553"/>
      <sheetData sheetId="30554"/>
      <sheetData sheetId="30555"/>
      <sheetData sheetId="30556"/>
      <sheetData sheetId="30557"/>
      <sheetData sheetId="30558"/>
      <sheetData sheetId="30559"/>
      <sheetData sheetId="30560"/>
      <sheetData sheetId="30561"/>
      <sheetData sheetId="30562"/>
      <sheetData sheetId="30563"/>
      <sheetData sheetId="30564"/>
      <sheetData sheetId="30565"/>
      <sheetData sheetId="30566"/>
      <sheetData sheetId="30567"/>
      <sheetData sheetId="30568"/>
      <sheetData sheetId="30569"/>
      <sheetData sheetId="30570"/>
      <sheetData sheetId="30571"/>
      <sheetData sheetId="30572"/>
      <sheetData sheetId="30573"/>
      <sheetData sheetId="30574"/>
      <sheetData sheetId="30575"/>
      <sheetData sheetId="30576"/>
      <sheetData sheetId="30577"/>
      <sheetData sheetId="30578"/>
      <sheetData sheetId="30579"/>
      <sheetData sheetId="30580"/>
      <sheetData sheetId="30581"/>
      <sheetData sheetId="30582"/>
      <sheetData sheetId="30583"/>
      <sheetData sheetId="30584"/>
      <sheetData sheetId="30585"/>
      <sheetData sheetId="30586"/>
      <sheetData sheetId="30587"/>
      <sheetData sheetId="30588"/>
      <sheetData sheetId="30589"/>
      <sheetData sheetId="30590"/>
      <sheetData sheetId="30591"/>
      <sheetData sheetId="30592"/>
      <sheetData sheetId="30593"/>
      <sheetData sheetId="30594"/>
      <sheetData sheetId="30595"/>
      <sheetData sheetId="30596"/>
      <sheetData sheetId="30597"/>
      <sheetData sheetId="30598"/>
      <sheetData sheetId="30599"/>
      <sheetData sheetId="30600"/>
      <sheetData sheetId="30601"/>
      <sheetData sheetId="30602"/>
      <sheetData sheetId="30603"/>
      <sheetData sheetId="30604"/>
      <sheetData sheetId="30605"/>
      <sheetData sheetId="30606"/>
      <sheetData sheetId="30607"/>
      <sheetData sheetId="30608"/>
      <sheetData sheetId="30609"/>
      <sheetData sheetId="30610"/>
      <sheetData sheetId="30611"/>
      <sheetData sheetId="30612"/>
      <sheetData sheetId="30613" refreshError="1"/>
      <sheetData sheetId="30614" refreshError="1"/>
      <sheetData sheetId="30615"/>
      <sheetData sheetId="30616"/>
      <sheetData sheetId="30617"/>
      <sheetData sheetId="30618"/>
      <sheetData sheetId="30619"/>
      <sheetData sheetId="30620"/>
      <sheetData sheetId="30621"/>
      <sheetData sheetId="30622" refreshError="1"/>
      <sheetData sheetId="30623"/>
      <sheetData sheetId="30624"/>
      <sheetData sheetId="30625" refreshError="1"/>
      <sheetData sheetId="30626" refreshError="1"/>
      <sheetData sheetId="30627"/>
      <sheetData sheetId="30628"/>
      <sheetData sheetId="30629" refreshError="1"/>
      <sheetData sheetId="30630"/>
      <sheetData sheetId="30631" refreshError="1"/>
      <sheetData sheetId="30632"/>
      <sheetData sheetId="30633"/>
      <sheetData sheetId="30634" refreshError="1"/>
      <sheetData sheetId="30635" refreshError="1"/>
      <sheetData sheetId="30636" refreshError="1"/>
      <sheetData sheetId="30637"/>
      <sheetData sheetId="30638" refreshError="1"/>
      <sheetData sheetId="30639" refreshError="1"/>
      <sheetData sheetId="30640"/>
      <sheetData sheetId="30641"/>
      <sheetData sheetId="30642"/>
      <sheetData sheetId="30643" refreshError="1"/>
      <sheetData sheetId="30644" refreshError="1"/>
      <sheetData sheetId="30645" refreshError="1"/>
      <sheetData sheetId="30646"/>
      <sheetData sheetId="30647" refreshError="1"/>
      <sheetData sheetId="30648"/>
      <sheetData sheetId="30649"/>
      <sheetData sheetId="30650"/>
      <sheetData sheetId="30651"/>
      <sheetData sheetId="30652"/>
      <sheetData sheetId="30653"/>
      <sheetData sheetId="30654"/>
      <sheetData sheetId="30655"/>
      <sheetData sheetId="30656"/>
      <sheetData sheetId="30657"/>
      <sheetData sheetId="30658"/>
      <sheetData sheetId="30659"/>
      <sheetData sheetId="30660"/>
      <sheetData sheetId="30661"/>
      <sheetData sheetId="30662"/>
      <sheetData sheetId="30663"/>
      <sheetData sheetId="30664"/>
      <sheetData sheetId="30665"/>
      <sheetData sheetId="30666"/>
      <sheetData sheetId="30667"/>
      <sheetData sheetId="30668"/>
      <sheetData sheetId="30669"/>
      <sheetData sheetId="30670" refreshError="1"/>
      <sheetData sheetId="30671" refreshError="1"/>
      <sheetData sheetId="30672"/>
      <sheetData sheetId="30673"/>
      <sheetData sheetId="30674" refreshError="1"/>
      <sheetData sheetId="30675"/>
      <sheetData sheetId="30676"/>
      <sheetData sheetId="30677" refreshError="1"/>
      <sheetData sheetId="30678" refreshError="1"/>
      <sheetData sheetId="30679" refreshError="1"/>
      <sheetData sheetId="30680"/>
      <sheetData sheetId="30681"/>
      <sheetData sheetId="30682"/>
      <sheetData sheetId="30683"/>
      <sheetData sheetId="30684"/>
      <sheetData sheetId="30685"/>
      <sheetData sheetId="30686"/>
      <sheetData sheetId="30687"/>
      <sheetData sheetId="30688"/>
      <sheetData sheetId="30689"/>
      <sheetData sheetId="30690"/>
      <sheetData sheetId="30691"/>
      <sheetData sheetId="30692"/>
      <sheetData sheetId="30693"/>
      <sheetData sheetId="30694"/>
      <sheetData sheetId="30695"/>
      <sheetData sheetId="30696"/>
      <sheetData sheetId="30697"/>
      <sheetData sheetId="30698"/>
      <sheetData sheetId="30699"/>
      <sheetData sheetId="30700"/>
      <sheetData sheetId="30701"/>
      <sheetData sheetId="30702"/>
      <sheetData sheetId="30703" refreshError="1"/>
      <sheetData sheetId="30704"/>
      <sheetData sheetId="30705" refreshError="1"/>
      <sheetData sheetId="30706" refreshError="1"/>
      <sheetData sheetId="30707" refreshError="1"/>
      <sheetData sheetId="30708"/>
      <sheetData sheetId="30709" refreshError="1"/>
      <sheetData sheetId="30710"/>
      <sheetData sheetId="30711"/>
      <sheetData sheetId="30712"/>
      <sheetData sheetId="30713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/>
      <sheetData sheetId="30725"/>
      <sheetData sheetId="30726"/>
      <sheetData sheetId="30727"/>
      <sheetData sheetId="30728"/>
      <sheetData sheetId="30729"/>
      <sheetData sheetId="30730" refreshError="1"/>
      <sheetData sheetId="30731" refreshError="1"/>
      <sheetData sheetId="30732"/>
      <sheetData sheetId="30733"/>
      <sheetData sheetId="30734"/>
      <sheetData sheetId="30735" refreshError="1"/>
      <sheetData sheetId="30736" refreshError="1"/>
      <sheetData sheetId="30737" refreshError="1"/>
      <sheetData sheetId="30738"/>
      <sheetData sheetId="30739"/>
      <sheetData sheetId="30740"/>
      <sheetData sheetId="30741" refreshError="1"/>
      <sheetData sheetId="30742" refreshError="1"/>
      <sheetData sheetId="30743" refreshError="1"/>
      <sheetData sheetId="30744"/>
      <sheetData sheetId="30745" refreshError="1"/>
      <sheetData sheetId="30746"/>
      <sheetData sheetId="30747"/>
      <sheetData sheetId="30748"/>
      <sheetData sheetId="30749"/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 refreshError="1"/>
      <sheetData sheetId="30772"/>
      <sheetData sheetId="30773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/>
      <sheetData sheetId="30798"/>
      <sheetData sheetId="30799"/>
      <sheetData sheetId="30800"/>
      <sheetData sheetId="30801" refreshError="1"/>
      <sheetData sheetId="30802" refreshError="1"/>
      <sheetData sheetId="30803" refreshError="1"/>
      <sheetData sheetId="30804"/>
      <sheetData sheetId="30805"/>
      <sheetData sheetId="30806" refreshError="1"/>
      <sheetData sheetId="30807" refreshError="1"/>
      <sheetData sheetId="30808" refreshError="1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 refreshError="1"/>
      <sheetData sheetId="30833" refreshError="1"/>
      <sheetData sheetId="30834"/>
      <sheetData sheetId="30835"/>
      <sheetData sheetId="30836"/>
      <sheetData sheetId="30837" refreshError="1"/>
      <sheetData sheetId="30838"/>
      <sheetData sheetId="30839"/>
      <sheetData sheetId="30840" refreshError="1"/>
      <sheetData sheetId="30841" refreshError="1"/>
      <sheetData sheetId="30842"/>
      <sheetData sheetId="30843"/>
      <sheetData sheetId="30844"/>
      <sheetData sheetId="30845" refreshError="1"/>
      <sheetData sheetId="30846" refreshError="1"/>
      <sheetData sheetId="30847" refreshError="1"/>
      <sheetData sheetId="30848"/>
      <sheetData sheetId="30849" refreshError="1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/>
      <sheetData sheetId="30861"/>
      <sheetData sheetId="30862"/>
      <sheetData sheetId="30863"/>
      <sheetData sheetId="30864"/>
      <sheetData sheetId="30865"/>
      <sheetData sheetId="30866"/>
      <sheetData sheetId="30867"/>
      <sheetData sheetId="30868"/>
      <sheetData sheetId="30869"/>
      <sheetData sheetId="30870"/>
      <sheetData sheetId="30871" refreshError="1"/>
      <sheetData sheetId="30872" refreshError="1"/>
      <sheetData sheetId="30873"/>
      <sheetData sheetId="30874"/>
      <sheetData sheetId="30875"/>
      <sheetData sheetId="30876" refreshError="1"/>
      <sheetData sheetId="30877" refreshError="1"/>
      <sheetData sheetId="30878" refreshError="1"/>
      <sheetData sheetId="30879"/>
      <sheetData sheetId="30880" refreshError="1"/>
      <sheetData sheetId="30881"/>
      <sheetData sheetId="30882"/>
      <sheetData sheetId="30883"/>
      <sheetData sheetId="30884"/>
      <sheetData sheetId="30885"/>
      <sheetData sheetId="30886"/>
      <sheetData sheetId="30887"/>
      <sheetData sheetId="30888"/>
      <sheetData sheetId="30889"/>
      <sheetData sheetId="30890"/>
      <sheetData sheetId="30891"/>
      <sheetData sheetId="30892"/>
      <sheetData sheetId="30893"/>
      <sheetData sheetId="30894"/>
      <sheetData sheetId="30895"/>
      <sheetData sheetId="30896"/>
      <sheetData sheetId="30897"/>
      <sheetData sheetId="30898"/>
      <sheetData sheetId="30899"/>
      <sheetData sheetId="30900"/>
      <sheetData sheetId="30901"/>
      <sheetData sheetId="30902"/>
      <sheetData sheetId="30903"/>
      <sheetData sheetId="30904"/>
      <sheetData sheetId="30905"/>
      <sheetData sheetId="30906"/>
      <sheetData sheetId="30907" refreshError="1"/>
      <sheetData sheetId="30908"/>
      <sheetData sheetId="30909" refreshError="1"/>
      <sheetData sheetId="30910" refreshError="1"/>
      <sheetData sheetId="30911"/>
      <sheetData sheetId="30912"/>
      <sheetData sheetId="30913"/>
      <sheetData sheetId="30914" refreshError="1"/>
      <sheetData sheetId="30915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/>
      <sheetData sheetId="30923"/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/>
      <sheetData sheetId="30933"/>
      <sheetData sheetId="30934"/>
      <sheetData sheetId="30935"/>
      <sheetData sheetId="30936"/>
      <sheetData sheetId="30937"/>
      <sheetData sheetId="30938"/>
      <sheetData sheetId="30939"/>
      <sheetData sheetId="30940"/>
      <sheetData sheetId="30941"/>
      <sheetData sheetId="30942"/>
      <sheetData sheetId="30943"/>
      <sheetData sheetId="30944"/>
      <sheetData sheetId="30945" refreshError="1"/>
      <sheetData sheetId="30946"/>
      <sheetData sheetId="30947"/>
      <sheetData sheetId="30948" refreshError="1"/>
      <sheetData sheetId="30949" refreshError="1"/>
      <sheetData sheetId="30950" refreshError="1"/>
      <sheetData sheetId="30951"/>
      <sheetData sheetId="30952"/>
      <sheetData sheetId="30953" refreshError="1"/>
      <sheetData sheetId="30954" refreshError="1"/>
      <sheetData sheetId="30955"/>
      <sheetData sheetId="30956"/>
      <sheetData sheetId="30957"/>
      <sheetData sheetId="30958" refreshError="1"/>
      <sheetData sheetId="30959"/>
      <sheetData sheetId="30960"/>
      <sheetData sheetId="30961" refreshError="1"/>
      <sheetData sheetId="30962" refreshError="1"/>
      <sheetData sheetId="30963"/>
      <sheetData sheetId="30964"/>
      <sheetData sheetId="30965"/>
      <sheetData sheetId="30966" refreshError="1"/>
      <sheetData sheetId="30967"/>
      <sheetData sheetId="30968" refreshError="1"/>
      <sheetData sheetId="30969" refreshError="1"/>
      <sheetData sheetId="30970"/>
      <sheetData sheetId="30971"/>
      <sheetData sheetId="30972" refreshError="1"/>
      <sheetData sheetId="30973" refreshError="1"/>
      <sheetData sheetId="30974" refreshError="1"/>
      <sheetData sheetId="30975"/>
      <sheetData sheetId="30976" refreshError="1"/>
      <sheetData sheetId="30977"/>
      <sheetData sheetId="30978"/>
      <sheetData sheetId="30979"/>
      <sheetData sheetId="30980"/>
      <sheetData sheetId="30981"/>
      <sheetData sheetId="30982"/>
      <sheetData sheetId="30983"/>
      <sheetData sheetId="30984"/>
      <sheetData sheetId="30985"/>
      <sheetData sheetId="30986"/>
      <sheetData sheetId="30987"/>
      <sheetData sheetId="30988"/>
      <sheetData sheetId="30989"/>
      <sheetData sheetId="30990"/>
      <sheetData sheetId="30991"/>
      <sheetData sheetId="30992"/>
      <sheetData sheetId="30993"/>
      <sheetData sheetId="30994"/>
      <sheetData sheetId="30995"/>
      <sheetData sheetId="30996"/>
      <sheetData sheetId="30997"/>
      <sheetData sheetId="30998"/>
      <sheetData sheetId="30999"/>
      <sheetData sheetId="31000" refreshError="1"/>
      <sheetData sheetId="31001"/>
      <sheetData sheetId="31002" refreshError="1"/>
      <sheetData sheetId="31003" refreshError="1"/>
      <sheetData sheetId="31004"/>
      <sheetData sheetId="31005"/>
      <sheetData sheetId="31006" refreshError="1"/>
      <sheetData sheetId="31007" refreshError="1"/>
      <sheetData sheetId="31008" refreshError="1"/>
      <sheetData sheetId="31009"/>
      <sheetData sheetId="31010" refreshError="1"/>
      <sheetData sheetId="31011"/>
      <sheetData sheetId="31012"/>
      <sheetData sheetId="31013"/>
      <sheetData sheetId="31014"/>
      <sheetData sheetId="31015"/>
      <sheetData sheetId="31016"/>
      <sheetData sheetId="31017"/>
      <sheetData sheetId="31018"/>
      <sheetData sheetId="31019"/>
      <sheetData sheetId="31020"/>
      <sheetData sheetId="31021"/>
      <sheetData sheetId="31022"/>
      <sheetData sheetId="31023"/>
      <sheetData sheetId="31024"/>
      <sheetData sheetId="31025"/>
      <sheetData sheetId="31026"/>
      <sheetData sheetId="31027"/>
      <sheetData sheetId="31028"/>
      <sheetData sheetId="31029"/>
      <sheetData sheetId="31030"/>
      <sheetData sheetId="31031" refreshError="1"/>
      <sheetData sheetId="31032" refreshError="1"/>
      <sheetData sheetId="31033"/>
      <sheetData sheetId="31034"/>
      <sheetData sheetId="31035"/>
      <sheetData sheetId="31036"/>
      <sheetData sheetId="31037"/>
      <sheetData sheetId="31038"/>
      <sheetData sheetId="31039"/>
      <sheetData sheetId="31040"/>
      <sheetData sheetId="31041"/>
      <sheetData sheetId="31042"/>
      <sheetData sheetId="31043"/>
      <sheetData sheetId="31044"/>
      <sheetData sheetId="31045"/>
      <sheetData sheetId="31046"/>
      <sheetData sheetId="31047"/>
      <sheetData sheetId="31048"/>
      <sheetData sheetId="31049"/>
      <sheetData sheetId="31050"/>
      <sheetData sheetId="31051"/>
      <sheetData sheetId="31052"/>
      <sheetData sheetId="31053" refreshError="1"/>
      <sheetData sheetId="31054" refreshError="1"/>
      <sheetData sheetId="31055"/>
      <sheetData sheetId="31056"/>
      <sheetData sheetId="31057"/>
      <sheetData sheetId="31058"/>
      <sheetData sheetId="31059"/>
      <sheetData sheetId="31060"/>
      <sheetData sheetId="31061"/>
      <sheetData sheetId="31062"/>
      <sheetData sheetId="31063"/>
      <sheetData sheetId="31064"/>
      <sheetData sheetId="31065"/>
      <sheetData sheetId="31066"/>
      <sheetData sheetId="31067"/>
      <sheetData sheetId="31068"/>
      <sheetData sheetId="31069"/>
      <sheetData sheetId="31070"/>
      <sheetData sheetId="31071"/>
      <sheetData sheetId="31072"/>
      <sheetData sheetId="31073"/>
      <sheetData sheetId="31074"/>
      <sheetData sheetId="31075" refreshError="1"/>
      <sheetData sheetId="31076" refreshError="1"/>
      <sheetData sheetId="31077"/>
      <sheetData sheetId="31078"/>
      <sheetData sheetId="31079"/>
      <sheetData sheetId="31080"/>
      <sheetData sheetId="31081"/>
      <sheetData sheetId="31082"/>
      <sheetData sheetId="31083"/>
      <sheetData sheetId="31084"/>
      <sheetData sheetId="31085"/>
      <sheetData sheetId="31086"/>
      <sheetData sheetId="31087"/>
      <sheetData sheetId="31088"/>
      <sheetData sheetId="31089"/>
      <sheetData sheetId="31090"/>
      <sheetData sheetId="31091"/>
      <sheetData sheetId="31092"/>
      <sheetData sheetId="31093"/>
      <sheetData sheetId="31094"/>
      <sheetData sheetId="31095"/>
      <sheetData sheetId="31096"/>
      <sheetData sheetId="31097" refreshError="1"/>
      <sheetData sheetId="31098" refreshError="1"/>
      <sheetData sheetId="31099" refreshError="1"/>
      <sheetData sheetId="31100"/>
      <sheetData sheetId="31101"/>
      <sheetData sheetId="31102"/>
      <sheetData sheetId="31103"/>
      <sheetData sheetId="31104"/>
      <sheetData sheetId="31105"/>
      <sheetData sheetId="31106"/>
      <sheetData sheetId="31107"/>
      <sheetData sheetId="31108"/>
      <sheetData sheetId="31109"/>
      <sheetData sheetId="31110"/>
      <sheetData sheetId="31111"/>
      <sheetData sheetId="31112"/>
      <sheetData sheetId="31113"/>
      <sheetData sheetId="31114"/>
      <sheetData sheetId="31115"/>
      <sheetData sheetId="31116"/>
      <sheetData sheetId="31117"/>
      <sheetData sheetId="31118"/>
      <sheetData sheetId="31119"/>
      <sheetData sheetId="31120"/>
      <sheetData sheetId="31121" refreshError="1"/>
      <sheetData sheetId="31122" refreshError="1"/>
      <sheetData sheetId="31123"/>
      <sheetData sheetId="31124"/>
      <sheetData sheetId="31125"/>
      <sheetData sheetId="31126" refreshError="1"/>
      <sheetData sheetId="31127"/>
      <sheetData sheetId="31128"/>
      <sheetData sheetId="31129" refreshError="1"/>
      <sheetData sheetId="31130" refreshError="1"/>
      <sheetData sheetId="31131"/>
      <sheetData sheetId="31132"/>
      <sheetData sheetId="31133" refreshError="1"/>
      <sheetData sheetId="31134" refreshError="1"/>
      <sheetData sheetId="31135" refreshError="1"/>
      <sheetData sheetId="31136"/>
      <sheetData sheetId="31137" refreshError="1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/>
      <sheetData sheetId="31169"/>
      <sheetData sheetId="31170"/>
      <sheetData sheetId="31171"/>
      <sheetData sheetId="31172"/>
      <sheetData sheetId="31173"/>
      <sheetData sheetId="31174"/>
      <sheetData sheetId="31175"/>
      <sheetData sheetId="31176"/>
      <sheetData sheetId="31177"/>
      <sheetData sheetId="31178"/>
      <sheetData sheetId="31179"/>
      <sheetData sheetId="31180"/>
      <sheetData sheetId="31181"/>
      <sheetData sheetId="31182"/>
      <sheetData sheetId="31183"/>
      <sheetData sheetId="31184"/>
      <sheetData sheetId="31185"/>
      <sheetData sheetId="31186"/>
      <sheetData sheetId="31187"/>
      <sheetData sheetId="31188" refreshError="1"/>
      <sheetData sheetId="31189" refreshError="1"/>
      <sheetData sheetId="31190"/>
      <sheetData sheetId="31191"/>
      <sheetData sheetId="31192"/>
      <sheetData sheetId="31193" refreshError="1"/>
      <sheetData sheetId="31194" refreshError="1"/>
      <sheetData sheetId="31195" refreshError="1"/>
      <sheetData sheetId="31196"/>
      <sheetData sheetId="31197" refreshError="1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/>
      <sheetData sheetId="31213"/>
      <sheetData sheetId="31214"/>
      <sheetData sheetId="31215"/>
      <sheetData sheetId="31216"/>
      <sheetData sheetId="31217"/>
      <sheetData sheetId="31218"/>
      <sheetData sheetId="31219" refreshError="1"/>
      <sheetData sheetId="31220" refreshError="1"/>
      <sheetData sheetId="31221"/>
      <sheetData sheetId="31222"/>
      <sheetData sheetId="31223"/>
      <sheetData sheetId="31224" refreshError="1"/>
      <sheetData sheetId="31225"/>
      <sheetData sheetId="31226"/>
      <sheetData sheetId="31227" refreshError="1"/>
      <sheetData sheetId="31228" refreshError="1"/>
      <sheetData sheetId="31229"/>
      <sheetData sheetId="31230"/>
      <sheetData sheetId="31231"/>
      <sheetData sheetId="31232" refreshError="1"/>
      <sheetData sheetId="31233" refreshError="1"/>
      <sheetData sheetId="31234" refreshError="1"/>
      <sheetData sheetId="31235"/>
      <sheetData sheetId="31236" refreshError="1"/>
      <sheetData sheetId="31237"/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/>
      <sheetData sheetId="31253"/>
      <sheetData sheetId="31254"/>
      <sheetData sheetId="31255"/>
      <sheetData sheetId="31256"/>
      <sheetData sheetId="31257"/>
      <sheetData sheetId="31258" refreshError="1"/>
      <sheetData sheetId="31259" refreshError="1"/>
      <sheetData sheetId="31260"/>
      <sheetData sheetId="31261"/>
      <sheetData sheetId="31262"/>
      <sheetData sheetId="31263" refreshError="1"/>
      <sheetData sheetId="31264" refreshError="1"/>
      <sheetData sheetId="31265" refreshError="1"/>
      <sheetData sheetId="31266"/>
      <sheetData sheetId="31267" refreshError="1"/>
      <sheetData sheetId="31268"/>
      <sheetData sheetId="31269"/>
      <sheetData sheetId="31270"/>
      <sheetData sheetId="31271"/>
      <sheetData sheetId="31272"/>
      <sheetData sheetId="31273"/>
      <sheetData sheetId="31274"/>
      <sheetData sheetId="31275"/>
      <sheetData sheetId="31276"/>
      <sheetData sheetId="31277"/>
      <sheetData sheetId="31278"/>
      <sheetData sheetId="31279"/>
      <sheetData sheetId="31280"/>
      <sheetData sheetId="31281"/>
      <sheetData sheetId="31282"/>
      <sheetData sheetId="31283"/>
      <sheetData sheetId="31284"/>
      <sheetData sheetId="31285"/>
      <sheetData sheetId="31286"/>
      <sheetData sheetId="31287"/>
      <sheetData sheetId="31288"/>
      <sheetData sheetId="31289"/>
      <sheetData sheetId="31290" refreshError="1"/>
      <sheetData sheetId="31291" refreshError="1"/>
      <sheetData sheetId="31292"/>
      <sheetData sheetId="31293"/>
      <sheetData sheetId="31294" refreshError="1"/>
      <sheetData sheetId="31295"/>
      <sheetData sheetId="31296"/>
      <sheetData sheetId="31297" refreshError="1"/>
      <sheetData sheetId="31298" refreshError="1"/>
      <sheetData sheetId="31299" refreshError="1"/>
      <sheetData sheetId="31300"/>
      <sheetData sheetId="31301"/>
      <sheetData sheetId="31302"/>
      <sheetData sheetId="31303"/>
      <sheetData sheetId="31304"/>
      <sheetData sheetId="31305"/>
      <sheetData sheetId="31306"/>
      <sheetData sheetId="31307"/>
      <sheetData sheetId="31308"/>
      <sheetData sheetId="31309"/>
      <sheetData sheetId="31310"/>
      <sheetData sheetId="31311"/>
      <sheetData sheetId="31312"/>
      <sheetData sheetId="31313"/>
      <sheetData sheetId="31314"/>
      <sheetData sheetId="31315"/>
      <sheetData sheetId="31316"/>
      <sheetData sheetId="31317"/>
      <sheetData sheetId="31318"/>
      <sheetData sheetId="31319"/>
      <sheetData sheetId="31320"/>
      <sheetData sheetId="31321" refreshError="1"/>
      <sheetData sheetId="31322" refreshError="1"/>
      <sheetData sheetId="31323"/>
      <sheetData sheetId="31324"/>
      <sheetData sheetId="31325" refreshError="1"/>
      <sheetData sheetId="31326"/>
      <sheetData sheetId="31327"/>
      <sheetData sheetId="31328" refreshError="1"/>
      <sheetData sheetId="31329" refreshError="1"/>
      <sheetData sheetId="31330" refreshError="1"/>
      <sheetData sheetId="31331"/>
      <sheetData sheetId="31332"/>
      <sheetData sheetId="31333"/>
      <sheetData sheetId="31334"/>
      <sheetData sheetId="31335"/>
      <sheetData sheetId="31336"/>
      <sheetData sheetId="31337"/>
      <sheetData sheetId="31338"/>
      <sheetData sheetId="31339"/>
      <sheetData sheetId="31340"/>
      <sheetData sheetId="31341"/>
      <sheetData sheetId="31342"/>
      <sheetData sheetId="31343"/>
      <sheetData sheetId="31344"/>
      <sheetData sheetId="31345"/>
      <sheetData sheetId="31346"/>
      <sheetData sheetId="31347"/>
      <sheetData sheetId="31348"/>
      <sheetData sheetId="31349"/>
      <sheetData sheetId="31350"/>
      <sheetData sheetId="31351"/>
      <sheetData sheetId="31352" refreshError="1"/>
      <sheetData sheetId="31353" refreshError="1"/>
      <sheetData sheetId="31354"/>
      <sheetData sheetId="31355"/>
      <sheetData sheetId="31356" refreshError="1"/>
      <sheetData sheetId="31357"/>
      <sheetData sheetId="31358"/>
      <sheetData sheetId="31359" refreshError="1"/>
      <sheetData sheetId="31360" refreshError="1"/>
      <sheetData sheetId="31361" refreshError="1"/>
      <sheetData sheetId="31362"/>
      <sheetData sheetId="31363"/>
      <sheetData sheetId="31364"/>
      <sheetData sheetId="31365"/>
      <sheetData sheetId="31366"/>
      <sheetData sheetId="31367"/>
      <sheetData sheetId="31368"/>
      <sheetData sheetId="31369"/>
      <sheetData sheetId="31370"/>
      <sheetData sheetId="31371"/>
      <sheetData sheetId="31372"/>
      <sheetData sheetId="31373"/>
      <sheetData sheetId="31374"/>
      <sheetData sheetId="31375"/>
      <sheetData sheetId="31376"/>
      <sheetData sheetId="31377"/>
      <sheetData sheetId="31378"/>
      <sheetData sheetId="31379"/>
      <sheetData sheetId="31380"/>
      <sheetData sheetId="31381"/>
      <sheetData sheetId="31382" refreshError="1"/>
      <sheetData sheetId="31383" refreshError="1"/>
      <sheetData sheetId="31384"/>
      <sheetData sheetId="31385"/>
      <sheetData sheetId="31386"/>
      <sheetData sheetId="31387" refreshError="1"/>
      <sheetData sheetId="31388"/>
      <sheetData sheetId="31389"/>
      <sheetData sheetId="31390" refreshError="1"/>
      <sheetData sheetId="31391" refreshError="1"/>
      <sheetData sheetId="31392"/>
      <sheetData sheetId="31393"/>
      <sheetData sheetId="31394"/>
      <sheetData sheetId="31395" refreshError="1"/>
      <sheetData sheetId="31396" refreshError="1"/>
      <sheetData sheetId="31397" refreshError="1"/>
      <sheetData sheetId="31398"/>
      <sheetData sheetId="31399" refreshError="1"/>
      <sheetData sheetId="31400"/>
      <sheetData sheetId="31401"/>
      <sheetData sheetId="31402"/>
      <sheetData sheetId="31403"/>
      <sheetData sheetId="31404"/>
      <sheetData sheetId="31405"/>
      <sheetData sheetId="31406"/>
      <sheetData sheetId="31407"/>
      <sheetData sheetId="31408"/>
      <sheetData sheetId="31409"/>
      <sheetData sheetId="31410"/>
      <sheetData sheetId="31411"/>
      <sheetData sheetId="31412"/>
      <sheetData sheetId="31413"/>
      <sheetData sheetId="31414"/>
      <sheetData sheetId="31415"/>
      <sheetData sheetId="31416"/>
      <sheetData sheetId="31417"/>
      <sheetData sheetId="31418"/>
      <sheetData sheetId="31419"/>
      <sheetData sheetId="31420"/>
      <sheetData sheetId="31421"/>
      <sheetData sheetId="31422" refreshError="1"/>
      <sheetData sheetId="31423" refreshError="1"/>
      <sheetData sheetId="31424"/>
      <sheetData sheetId="31425"/>
      <sheetData sheetId="31426"/>
      <sheetData sheetId="31427" refreshError="1"/>
      <sheetData sheetId="31428"/>
      <sheetData sheetId="31429"/>
      <sheetData sheetId="31430"/>
      <sheetData sheetId="31431" refreshError="1"/>
      <sheetData sheetId="31432" refreshError="1"/>
      <sheetData sheetId="31433"/>
      <sheetData sheetId="31434" refreshError="1"/>
      <sheetData sheetId="31435"/>
      <sheetData sheetId="31436" refreshError="1"/>
      <sheetData sheetId="31437" refreshError="1"/>
      <sheetData sheetId="31438"/>
      <sheetData sheetId="31439"/>
      <sheetData sheetId="31440"/>
      <sheetData sheetId="31441" refreshError="1"/>
      <sheetData sheetId="31442"/>
      <sheetData sheetId="31443" refreshError="1"/>
      <sheetData sheetId="31444" refreshError="1"/>
      <sheetData sheetId="31445" refreshError="1"/>
      <sheetData sheetId="31446"/>
      <sheetData sheetId="31447"/>
      <sheetData sheetId="31448"/>
      <sheetData sheetId="31449"/>
      <sheetData sheetId="31450"/>
      <sheetData sheetId="31451"/>
      <sheetData sheetId="31452"/>
      <sheetData sheetId="31453"/>
      <sheetData sheetId="31454"/>
      <sheetData sheetId="31455"/>
      <sheetData sheetId="31456"/>
      <sheetData sheetId="31457"/>
      <sheetData sheetId="31458"/>
      <sheetData sheetId="31459"/>
      <sheetData sheetId="31460"/>
      <sheetData sheetId="31461"/>
      <sheetData sheetId="31462"/>
      <sheetData sheetId="31463"/>
      <sheetData sheetId="31464"/>
      <sheetData sheetId="31465"/>
      <sheetData sheetId="31466"/>
      <sheetData sheetId="31467"/>
      <sheetData sheetId="31468"/>
      <sheetData sheetId="31469"/>
      <sheetData sheetId="31470"/>
      <sheetData sheetId="31471" refreshError="1"/>
      <sheetData sheetId="31472" refreshError="1"/>
      <sheetData sheetId="31473"/>
      <sheetData sheetId="31474" refreshError="1"/>
      <sheetData sheetId="31475" refreshError="1"/>
      <sheetData sheetId="31476"/>
      <sheetData sheetId="31477"/>
      <sheetData sheetId="31478"/>
      <sheetData sheetId="31479"/>
      <sheetData sheetId="31480" refreshError="1"/>
      <sheetData sheetId="31481" refreshError="1"/>
      <sheetData sheetId="31482"/>
      <sheetData sheetId="31483"/>
      <sheetData sheetId="31484" refreshError="1"/>
      <sheetData sheetId="31485"/>
      <sheetData sheetId="31486"/>
      <sheetData sheetId="31487"/>
      <sheetData sheetId="31488" refreshError="1"/>
      <sheetData sheetId="31489" refreshError="1"/>
      <sheetData sheetId="31490"/>
      <sheetData sheetId="31491"/>
      <sheetData sheetId="31492" refreshError="1"/>
      <sheetData sheetId="31493"/>
      <sheetData sheetId="31494"/>
      <sheetData sheetId="31495"/>
      <sheetData sheetId="31496" refreshError="1"/>
      <sheetData sheetId="31497"/>
      <sheetData sheetId="31498"/>
      <sheetData sheetId="31499" refreshError="1"/>
      <sheetData sheetId="31500" refreshError="1"/>
      <sheetData sheetId="31501" refreshError="1"/>
      <sheetData sheetId="31502"/>
      <sheetData sheetId="31503"/>
      <sheetData sheetId="31504" refreshError="1"/>
      <sheetData sheetId="31505"/>
      <sheetData sheetId="31506"/>
      <sheetData sheetId="31507" refreshError="1"/>
      <sheetData sheetId="31508" refreshError="1"/>
      <sheetData sheetId="31509" refreshError="1"/>
      <sheetData sheetId="31510" refreshError="1"/>
      <sheetData sheetId="31511"/>
      <sheetData sheetId="31512"/>
      <sheetData sheetId="31513"/>
      <sheetData sheetId="31514"/>
      <sheetData sheetId="31515"/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/>
      <sheetData sheetId="31531"/>
      <sheetData sheetId="31532"/>
      <sheetData sheetId="31533"/>
      <sheetData sheetId="31534"/>
      <sheetData sheetId="31535"/>
      <sheetData sheetId="31536" refreshError="1"/>
      <sheetData sheetId="31537"/>
      <sheetData sheetId="31538"/>
      <sheetData sheetId="31539" refreshError="1"/>
      <sheetData sheetId="31540" refreshError="1"/>
      <sheetData sheetId="31541"/>
      <sheetData sheetId="31542"/>
      <sheetData sheetId="31543"/>
      <sheetData sheetId="31544"/>
      <sheetData sheetId="31545" refreshError="1"/>
      <sheetData sheetId="31546"/>
      <sheetData sheetId="31547"/>
      <sheetData sheetId="31548" refreshError="1"/>
      <sheetData sheetId="31549" refreshError="1"/>
      <sheetData sheetId="31550"/>
      <sheetData sheetId="31551"/>
      <sheetData sheetId="31552"/>
      <sheetData sheetId="31553" refreshError="1"/>
      <sheetData sheetId="31554"/>
      <sheetData sheetId="31555"/>
      <sheetData sheetId="31556" refreshError="1"/>
      <sheetData sheetId="31557" refreshError="1"/>
      <sheetData sheetId="31558" refreshError="1"/>
      <sheetData sheetId="31559" refreshError="1"/>
      <sheetData sheetId="31560"/>
      <sheetData sheetId="31561" refreshError="1"/>
      <sheetData sheetId="31562" refreshError="1"/>
      <sheetData sheetId="31563"/>
      <sheetData sheetId="31564"/>
      <sheetData sheetId="31565"/>
      <sheetData sheetId="31566"/>
      <sheetData sheetId="31567"/>
      <sheetData sheetId="31568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/>
      <sheetData sheetId="31579"/>
      <sheetData sheetId="31580"/>
      <sheetData sheetId="31581"/>
      <sheetData sheetId="31582"/>
      <sheetData sheetId="31583"/>
      <sheetData sheetId="31584"/>
      <sheetData sheetId="31585"/>
      <sheetData sheetId="31586" refreshError="1"/>
      <sheetData sheetId="31587" refreshError="1"/>
      <sheetData sheetId="31588"/>
      <sheetData sheetId="31589"/>
      <sheetData sheetId="31590"/>
      <sheetData sheetId="31591" refreshError="1"/>
      <sheetData sheetId="31592"/>
      <sheetData sheetId="31593"/>
      <sheetData sheetId="31594" refreshError="1"/>
      <sheetData sheetId="31595" refreshError="1"/>
      <sheetData sheetId="31596"/>
      <sheetData sheetId="31597"/>
      <sheetData sheetId="31598"/>
      <sheetData sheetId="31599" refreshError="1"/>
      <sheetData sheetId="31600" refreshError="1"/>
      <sheetData sheetId="31601" refreshError="1"/>
      <sheetData sheetId="31602"/>
      <sheetData sheetId="31603" refreshError="1"/>
      <sheetData sheetId="31604"/>
      <sheetData sheetId="31605"/>
      <sheetData sheetId="31606"/>
      <sheetData sheetId="31607"/>
      <sheetData sheetId="31608"/>
      <sheetData sheetId="31609"/>
      <sheetData sheetId="31610"/>
      <sheetData sheetId="31611"/>
      <sheetData sheetId="31612"/>
      <sheetData sheetId="31613"/>
      <sheetData sheetId="31614"/>
      <sheetData sheetId="31615"/>
      <sheetData sheetId="31616"/>
      <sheetData sheetId="31617"/>
      <sheetData sheetId="31618"/>
      <sheetData sheetId="31619"/>
      <sheetData sheetId="31620"/>
      <sheetData sheetId="31621"/>
      <sheetData sheetId="31622"/>
      <sheetData sheetId="31623"/>
      <sheetData sheetId="31624"/>
      <sheetData sheetId="31625"/>
      <sheetData sheetId="31626"/>
      <sheetData sheetId="31627"/>
      <sheetData sheetId="31628"/>
      <sheetData sheetId="31629" refreshError="1"/>
      <sheetData sheetId="31630" refreshError="1"/>
      <sheetData sheetId="31631" refreshError="1"/>
      <sheetData sheetId="31632"/>
      <sheetData sheetId="31633" refreshError="1"/>
      <sheetData sheetId="31634" refreshError="1"/>
      <sheetData sheetId="31635" refreshError="1"/>
      <sheetData sheetId="31636"/>
      <sheetData sheetId="31637"/>
      <sheetData sheetId="31638"/>
      <sheetData sheetId="31639"/>
      <sheetData sheetId="31640"/>
      <sheetData sheetId="31641"/>
      <sheetData sheetId="31642"/>
      <sheetData sheetId="31643"/>
      <sheetData sheetId="31644"/>
      <sheetData sheetId="31645"/>
      <sheetData sheetId="31646"/>
      <sheetData sheetId="31647"/>
      <sheetData sheetId="31648"/>
      <sheetData sheetId="31649"/>
      <sheetData sheetId="31650"/>
      <sheetData sheetId="31651"/>
      <sheetData sheetId="31652"/>
      <sheetData sheetId="31653"/>
      <sheetData sheetId="31654"/>
      <sheetData sheetId="31655"/>
      <sheetData sheetId="31656"/>
      <sheetData sheetId="31657" refreshError="1"/>
      <sheetData sheetId="31658" refreshError="1"/>
      <sheetData sheetId="31659"/>
      <sheetData sheetId="31660"/>
      <sheetData sheetId="31661" refreshError="1"/>
      <sheetData sheetId="31662"/>
      <sheetData sheetId="31663"/>
      <sheetData sheetId="31664"/>
      <sheetData sheetId="31665"/>
      <sheetData sheetId="31666"/>
      <sheetData sheetId="31667"/>
      <sheetData sheetId="31668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/>
      <sheetData sheetId="31677" refreshError="1"/>
      <sheetData sheetId="31678" refreshError="1"/>
      <sheetData sheetId="31679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/>
      <sheetData sheetId="31687"/>
      <sheetData sheetId="31688"/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/>
      <sheetData sheetId="31703"/>
      <sheetData sheetId="31704"/>
      <sheetData sheetId="31705"/>
      <sheetData sheetId="31706"/>
      <sheetData sheetId="31707"/>
      <sheetData sheetId="31708"/>
      <sheetData sheetId="31709"/>
      <sheetData sheetId="31710"/>
      <sheetData sheetId="31711"/>
      <sheetData sheetId="31712" refreshError="1"/>
      <sheetData sheetId="31713"/>
      <sheetData sheetId="31714"/>
      <sheetData sheetId="31715" refreshError="1"/>
      <sheetData sheetId="31716" refreshError="1"/>
      <sheetData sheetId="31717"/>
      <sheetData sheetId="31718"/>
      <sheetData sheetId="31719"/>
      <sheetData sheetId="31720"/>
      <sheetData sheetId="31721"/>
      <sheetData sheetId="31722"/>
      <sheetData sheetId="31723"/>
      <sheetData sheetId="31724"/>
      <sheetData sheetId="31725" refreshError="1"/>
      <sheetData sheetId="31726" refreshError="1"/>
      <sheetData sheetId="31727"/>
      <sheetData sheetId="31728"/>
      <sheetData sheetId="31729"/>
      <sheetData sheetId="31730" refreshError="1"/>
      <sheetData sheetId="31731" refreshError="1"/>
      <sheetData sheetId="31732"/>
      <sheetData sheetId="31733" refreshError="1"/>
      <sheetData sheetId="31734" refreshError="1"/>
      <sheetData sheetId="31735"/>
      <sheetData sheetId="31736" refreshError="1"/>
      <sheetData sheetId="31737"/>
      <sheetData sheetId="31738"/>
      <sheetData sheetId="31739"/>
      <sheetData sheetId="31740"/>
      <sheetData sheetId="31741"/>
      <sheetData sheetId="31742"/>
      <sheetData sheetId="31743"/>
      <sheetData sheetId="31744"/>
      <sheetData sheetId="31745"/>
      <sheetData sheetId="31746"/>
      <sheetData sheetId="31747"/>
      <sheetData sheetId="31748"/>
      <sheetData sheetId="31749"/>
      <sheetData sheetId="31750"/>
      <sheetData sheetId="31751"/>
      <sheetData sheetId="31752"/>
      <sheetData sheetId="31753"/>
      <sheetData sheetId="31754"/>
      <sheetData sheetId="31755"/>
      <sheetData sheetId="31756"/>
      <sheetData sheetId="31757"/>
      <sheetData sheetId="31758"/>
      <sheetData sheetId="31759" refreshError="1"/>
      <sheetData sheetId="31760" refreshError="1"/>
      <sheetData sheetId="31761"/>
      <sheetData sheetId="31762"/>
      <sheetData sheetId="31763"/>
      <sheetData sheetId="31764" refreshError="1"/>
      <sheetData sheetId="31765"/>
      <sheetData sheetId="31766"/>
      <sheetData sheetId="31767"/>
      <sheetData sheetId="31768" refreshError="1"/>
      <sheetData sheetId="31769" refreshError="1"/>
      <sheetData sheetId="31770"/>
      <sheetData sheetId="31771"/>
      <sheetData sheetId="31772"/>
      <sheetData sheetId="31773" refreshError="1"/>
      <sheetData sheetId="31774" refreshError="1"/>
      <sheetData sheetId="31775"/>
      <sheetData sheetId="31776"/>
      <sheetData sheetId="31777"/>
      <sheetData sheetId="31778" refreshError="1"/>
      <sheetData sheetId="31779" refreshError="1"/>
      <sheetData sheetId="31780"/>
      <sheetData sheetId="31781" refreshError="1"/>
      <sheetData sheetId="31782" refreshError="1"/>
      <sheetData sheetId="31783"/>
      <sheetData sheetId="31784" refreshError="1"/>
      <sheetData sheetId="31785"/>
      <sheetData sheetId="31786"/>
      <sheetData sheetId="31787"/>
      <sheetData sheetId="31788"/>
      <sheetData sheetId="31789"/>
      <sheetData sheetId="31790"/>
      <sheetData sheetId="31791"/>
      <sheetData sheetId="31792"/>
      <sheetData sheetId="31793"/>
      <sheetData sheetId="31794"/>
      <sheetData sheetId="31795"/>
      <sheetData sheetId="31796"/>
      <sheetData sheetId="31797"/>
      <sheetData sheetId="31798"/>
      <sheetData sheetId="31799"/>
      <sheetData sheetId="31800"/>
      <sheetData sheetId="31801"/>
      <sheetData sheetId="31802"/>
      <sheetData sheetId="31803"/>
      <sheetData sheetId="31804"/>
      <sheetData sheetId="31805"/>
      <sheetData sheetId="31806"/>
      <sheetData sheetId="31807"/>
      <sheetData sheetId="31808" refreshError="1"/>
      <sheetData sheetId="31809" refreshError="1"/>
      <sheetData sheetId="31810"/>
      <sheetData sheetId="31811"/>
      <sheetData sheetId="31812"/>
      <sheetData sheetId="31813" refreshError="1"/>
      <sheetData sheetId="31814"/>
      <sheetData sheetId="31815"/>
      <sheetData sheetId="31816" refreshError="1"/>
      <sheetData sheetId="31817" refreshError="1"/>
      <sheetData sheetId="31818"/>
      <sheetData sheetId="31819"/>
      <sheetData sheetId="31820"/>
      <sheetData sheetId="31821" refreshError="1"/>
      <sheetData sheetId="31822" refreshError="1"/>
      <sheetData sheetId="31823" refreshError="1"/>
      <sheetData sheetId="31824"/>
      <sheetData sheetId="31825" refreshError="1"/>
      <sheetData sheetId="31826"/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 refreshError="1"/>
      <sheetData sheetId="31848" refreshError="1"/>
      <sheetData sheetId="31849"/>
      <sheetData sheetId="31850"/>
      <sheetData sheetId="31851"/>
      <sheetData sheetId="31852" refreshError="1"/>
      <sheetData sheetId="31853" refreshError="1"/>
      <sheetData sheetId="31854" refreshError="1"/>
      <sheetData sheetId="31855"/>
      <sheetData sheetId="31856" refreshError="1"/>
      <sheetData sheetId="31857"/>
      <sheetData sheetId="31858"/>
      <sheetData sheetId="31859"/>
      <sheetData sheetId="31860"/>
      <sheetData sheetId="31861"/>
      <sheetData sheetId="31862"/>
      <sheetData sheetId="31863"/>
      <sheetData sheetId="31864"/>
      <sheetData sheetId="31865"/>
      <sheetData sheetId="31866"/>
      <sheetData sheetId="31867"/>
      <sheetData sheetId="31868"/>
      <sheetData sheetId="31869"/>
      <sheetData sheetId="31870"/>
      <sheetData sheetId="31871"/>
      <sheetData sheetId="31872"/>
      <sheetData sheetId="31873"/>
      <sheetData sheetId="31874"/>
      <sheetData sheetId="31875"/>
      <sheetData sheetId="31876"/>
      <sheetData sheetId="31877"/>
      <sheetData sheetId="31878" refreshError="1"/>
      <sheetData sheetId="31879" refreshError="1"/>
      <sheetData sheetId="31880"/>
      <sheetData sheetId="31881"/>
      <sheetData sheetId="31882"/>
      <sheetData sheetId="31883" refreshError="1"/>
      <sheetData sheetId="31884" refreshError="1"/>
      <sheetData sheetId="31885" refreshError="1"/>
      <sheetData sheetId="31886"/>
      <sheetData sheetId="31887" refreshError="1"/>
      <sheetData sheetId="31888"/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/>
      <sheetData sheetId="31899"/>
      <sheetData sheetId="31900"/>
      <sheetData sheetId="31901"/>
      <sheetData sheetId="31902"/>
      <sheetData sheetId="31903"/>
      <sheetData sheetId="31904"/>
      <sheetData sheetId="31905"/>
      <sheetData sheetId="31906"/>
      <sheetData sheetId="31907"/>
      <sheetData sheetId="31908"/>
      <sheetData sheetId="31909"/>
      <sheetData sheetId="31910" refreshError="1"/>
      <sheetData sheetId="31911" refreshError="1"/>
      <sheetData sheetId="31912"/>
      <sheetData sheetId="31913"/>
      <sheetData sheetId="31914" refreshError="1"/>
      <sheetData sheetId="31915"/>
      <sheetData sheetId="31916"/>
      <sheetData sheetId="31917" refreshError="1"/>
      <sheetData sheetId="31918" refreshError="1"/>
      <sheetData sheetId="31919" refreshError="1"/>
      <sheetData sheetId="31920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/>
      <sheetData sheetId="31935"/>
      <sheetData sheetId="31936"/>
      <sheetData sheetId="31937"/>
      <sheetData sheetId="31938"/>
      <sheetData sheetId="31939"/>
      <sheetData sheetId="31940"/>
      <sheetData sheetId="31941" refreshError="1"/>
      <sheetData sheetId="31942" refreshError="1"/>
      <sheetData sheetId="31943"/>
      <sheetData sheetId="31944"/>
      <sheetData sheetId="31945"/>
      <sheetData sheetId="31946" refreshError="1"/>
      <sheetData sheetId="31947" refreshError="1"/>
      <sheetData sheetId="31948"/>
      <sheetData sheetId="31949"/>
      <sheetData sheetId="31950"/>
      <sheetData sheetId="31951" refreshError="1"/>
      <sheetData sheetId="31952" refreshError="1"/>
      <sheetData sheetId="31953"/>
      <sheetData sheetId="31954" refreshError="1"/>
      <sheetData sheetId="31955" refreshError="1"/>
      <sheetData sheetId="31956"/>
      <sheetData sheetId="31957" refreshError="1"/>
      <sheetData sheetId="31958"/>
      <sheetData sheetId="31959"/>
      <sheetData sheetId="31960"/>
      <sheetData sheetId="31961"/>
      <sheetData sheetId="31962"/>
      <sheetData sheetId="31963"/>
      <sheetData sheetId="31964"/>
      <sheetData sheetId="31965"/>
      <sheetData sheetId="31966"/>
      <sheetData sheetId="31967"/>
      <sheetData sheetId="31968"/>
      <sheetData sheetId="31969"/>
      <sheetData sheetId="31970"/>
      <sheetData sheetId="31971"/>
      <sheetData sheetId="31972"/>
      <sheetData sheetId="31973"/>
      <sheetData sheetId="31974"/>
      <sheetData sheetId="31975"/>
      <sheetData sheetId="31976"/>
      <sheetData sheetId="31977"/>
      <sheetData sheetId="31978"/>
      <sheetData sheetId="31979"/>
      <sheetData sheetId="31980" refreshError="1"/>
      <sheetData sheetId="31981" refreshError="1"/>
      <sheetData sheetId="31982"/>
      <sheetData sheetId="31983"/>
      <sheetData sheetId="31984"/>
      <sheetData sheetId="31985" refreshError="1"/>
      <sheetData sheetId="31986"/>
      <sheetData sheetId="31987"/>
      <sheetData sheetId="31988" refreshError="1"/>
      <sheetData sheetId="31989" refreshError="1"/>
      <sheetData sheetId="31990"/>
      <sheetData sheetId="31991"/>
      <sheetData sheetId="31992"/>
      <sheetData sheetId="31993" refreshError="1"/>
      <sheetData sheetId="31994" refreshError="1"/>
      <sheetData sheetId="31995"/>
      <sheetData sheetId="31996"/>
      <sheetData sheetId="31997"/>
      <sheetData sheetId="31998" refreshError="1"/>
      <sheetData sheetId="31999" refreshError="1"/>
      <sheetData sheetId="32000"/>
      <sheetData sheetId="32001" refreshError="1"/>
      <sheetData sheetId="32002" refreshError="1"/>
      <sheetData sheetId="32003"/>
      <sheetData sheetId="32004" refreshError="1"/>
      <sheetData sheetId="32005"/>
      <sheetData sheetId="32006"/>
      <sheetData sheetId="32007"/>
      <sheetData sheetId="32008"/>
      <sheetData sheetId="32009"/>
      <sheetData sheetId="32010"/>
      <sheetData sheetId="32011"/>
      <sheetData sheetId="32012"/>
      <sheetData sheetId="32013"/>
      <sheetData sheetId="32014"/>
      <sheetData sheetId="32015"/>
      <sheetData sheetId="32016"/>
      <sheetData sheetId="32017"/>
      <sheetData sheetId="32018"/>
      <sheetData sheetId="32019"/>
      <sheetData sheetId="32020"/>
      <sheetData sheetId="32021"/>
      <sheetData sheetId="32022"/>
      <sheetData sheetId="32023"/>
      <sheetData sheetId="32024"/>
      <sheetData sheetId="32025"/>
      <sheetData sheetId="32026"/>
      <sheetData sheetId="32027" refreshError="1"/>
      <sheetData sheetId="32028" refreshError="1"/>
      <sheetData sheetId="32029"/>
      <sheetData sheetId="32030"/>
      <sheetData sheetId="32031"/>
      <sheetData sheetId="32032" refreshError="1"/>
      <sheetData sheetId="32033" refreshError="1"/>
      <sheetData sheetId="32034" refreshError="1"/>
      <sheetData sheetId="32035"/>
      <sheetData sheetId="32036" refreshError="1"/>
      <sheetData sheetId="32037"/>
      <sheetData sheetId="32038"/>
      <sheetData sheetId="32039"/>
      <sheetData sheetId="32040"/>
      <sheetData sheetId="32041"/>
      <sheetData sheetId="32042"/>
      <sheetData sheetId="32043"/>
      <sheetData sheetId="32044"/>
      <sheetData sheetId="32045"/>
      <sheetData sheetId="32046"/>
      <sheetData sheetId="32047"/>
      <sheetData sheetId="32048"/>
      <sheetData sheetId="32049"/>
      <sheetData sheetId="32050"/>
      <sheetData sheetId="32051"/>
      <sheetData sheetId="32052"/>
      <sheetData sheetId="32053"/>
      <sheetData sheetId="32054"/>
      <sheetData sheetId="32055"/>
      <sheetData sheetId="32056"/>
      <sheetData sheetId="32057"/>
      <sheetData sheetId="32058" refreshError="1"/>
      <sheetData sheetId="32059" refreshError="1"/>
      <sheetData sheetId="32060" refreshError="1"/>
      <sheetData sheetId="32061"/>
      <sheetData sheetId="32062"/>
      <sheetData sheetId="32063"/>
      <sheetData sheetId="32064" refreshError="1"/>
      <sheetData sheetId="32065" refreshError="1"/>
      <sheetData sheetId="32066"/>
      <sheetData sheetId="32067"/>
      <sheetData sheetId="32068"/>
      <sheetData sheetId="32069" refreshError="1"/>
      <sheetData sheetId="32070" refreshError="1"/>
      <sheetData sheetId="32071" refreshError="1"/>
      <sheetData sheetId="32072"/>
      <sheetData sheetId="32073" refreshError="1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/>
      <sheetData sheetId="32092"/>
      <sheetData sheetId="32093"/>
      <sheetData sheetId="32094"/>
      <sheetData sheetId="32095"/>
      <sheetData sheetId="32096"/>
      <sheetData sheetId="32097" refreshError="1"/>
      <sheetData sheetId="32098" refreshError="1"/>
      <sheetData sheetId="32099"/>
      <sheetData sheetId="32100"/>
      <sheetData sheetId="32101"/>
      <sheetData sheetId="32102" refreshError="1"/>
      <sheetData sheetId="32103"/>
      <sheetData sheetId="32104"/>
      <sheetData sheetId="32105"/>
      <sheetData sheetId="32106"/>
      <sheetData sheetId="32107" refreshError="1"/>
      <sheetData sheetId="32108" refreshError="1"/>
      <sheetData sheetId="32109"/>
      <sheetData sheetId="32110"/>
      <sheetData sheetId="32111"/>
      <sheetData sheetId="32112" refreshError="1"/>
      <sheetData sheetId="32113"/>
      <sheetData sheetId="32114"/>
      <sheetData sheetId="32115"/>
      <sheetData sheetId="32116"/>
      <sheetData sheetId="32117"/>
      <sheetData sheetId="32118"/>
      <sheetData sheetId="32119" refreshError="1"/>
      <sheetData sheetId="32120" refreshError="1"/>
      <sheetData sheetId="32121"/>
      <sheetData sheetId="32122"/>
      <sheetData sheetId="32123"/>
      <sheetData sheetId="32124"/>
      <sheetData sheetId="32125" refreshError="1"/>
      <sheetData sheetId="32126"/>
      <sheetData sheetId="32127"/>
      <sheetData sheetId="32128" refreshError="1"/>
      <sheetData sheetId="32129" refreshError="1"/>
      <sheetData sheetId="32130"/>
      <sheetData sheetId="32131"/>
      <sheetData sheetId="32132"/>
      <sheetData sheetId="32133" refreshError="1"/>
      <sheetData sheetId="32134" refreshError="1"/>
      <sheetData sheetId="32135"/>
      <sheetData sheetId="32136"/>
      <sheetData sheetId="32137"/>
      <sheetData sheetId="32138" refreshError="1"/>
      <sheetData sheetId="32139" refreshError="1"/>
      <sheetData sheetId="32140"/>
      <sheetData sheetId="32141" refreshError="1"/>
      <sheetData sheetId="32142" refreshError="1"/>
      <sheetData sheetId="32143"/>
      <sheetData sheetId="32144" refreshError="1"/>
      <sheetData sheetId="32145"/>
      <sheetData sheetId="32146"/>
      <sheetData sheetId="32147"/>
      <sheetData sheetId="32148"/>
      <sheetData sheetId="32149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/>
      <sheetData sheetId="32168" refreshError="1"/>
      <sheetData sheetId="32169" refreshError="1"/>
      <sheetData sheetId="32170"/>
      <sheetData sheetId="32171"/>
      <sheetData sheetId="32172"/>
      <sheetData sheetId="32173" refreshError="1"/>
      <sheetData sheetId="32174" refreshError="1"/>
      <sheetData sheetId="32175"/>
      <sheetData sheetId="32176"/>
      <sheetData sheetId="32177"/>
      <sheetData sheetId="32178" refreshError="1"/>
      <sheetData sheetId="32179" refreshError="1"/>
      <sheetData sheetId="32180"/>
      <sheetData sheetId="32181" refreshError="1"/>
      <sheetData sheetId="32182" refreshError="1"/>
      <sheetData sheetId="32183"/>
      <sheetData sheetId="32184" refreshError="1"/>
      <sheetData sheetId="32185"/>
      <sheetData sheetId="32186"/>
      <sheetData sheetId="32187"/>
      <sheetData sheetId="32188"/>
      <sheetData sheetId="32189"/>
      <sheetData sheetId="32190"/>
      <sheetData sheetId="32191"/>
      <sheetData sheetId="32192"/>
      <sheetData sheetId="32193"/>
      <sheetData sheetId="32194"/>
      <sheetData sheetId="32195"/>
      <sheetData sheetId="32196"/>
      <sheetData sheetId="32197"/>
      <sheetData sheetId="32198"/>
      <sheetData sheetId="32199"/>
      <sheetData sheetId="32200"/>
      <sheetData sheetId="32201"/>
      <sheetData sheetId="32202"/>
      <sheetData sheetId="32203"/>
      <sheetData sheetId="32204"/>
      <sheetData sheetId="32205"/>
      <sheetData sheetId="32206"/>
      <sheetData sheetId="32207"/>
      <sheetData sheetId="32208" refreshError="1"/>
      <sheetData sheetId="32209" refreshError="1"/>
      <sheetData sheetId="32210"/>
      <sheetData sheetId="32211"/>
      <sheetData sheetId="32212" refreshError="1"/>
      <sheetData sheetId="32213"/>
      <sheetData sheetId="32214"/>
      <sheetData sheetId="32215"/>
      <sheetData sheetId="32216"/>
      <sheetData sheetId="32217"/>
      <sheetData sheetId="32218" refreshError="1"/>
      <sheetData sheetId="32219" refreshError="1"/>
      <sheetData sheetId="32220"/>
      <sheetData sheetId="32221"/>
      <sheetData sheetId="32222" refreshError="1"/>
      <sheetData sheetId="32223" refreshError="1"/>
      <sheetData sheetId="32224"/>
      <sheetData sheetId="32225"/>
      <sheetData sheetId="32226"/>
      <sheetData sheetId="32227" refreshError="1"/>
      <sheetData sheetId="32228" refreshError="1"/>
      <sheetData sheetId="32229"/>
      <sheetData sheetId="32230" refreshError="1"/>
      <sheetData sheetId="32231" refreshError="1"/>
      <sheetData sheetId="32232"/>
      <sheetData sheetId="32233" refreshError="1"/>
      <sheetData sheetId="32234"/>
      <sheetData sheetId="32235"/>
      <sheetData sheetId="32236"/>
      <sheetData sheetId="32237"/>
      <sheetData sheetId="32238"/>
      <sheetData sheetId="32239"/>
      <sheetData sheetId="32240"/>
      <sheetData sheetId="32241"/>
      <sheetData sheetId="32242"/>
      <sheetData sheetId="32243"/>
      <sheetData sheetId="32244"/>
      <sheetData sheetId="32245"/>
      <sheetData sheetId="32246"/>
      <sheetData sheetId="32247"/>
      <sheetData sheetId="32248"/>
      <sheetData sheetId="32249"/>
      <sheetData sheetId="32250"/>
      <sheetData sheetId="32251"/>
      <sheetData sheetId="32252"/>
      <sheetData sheetId="32253"/>
      <sheetData sheetId="32254"/>
      <sheetData sheetId="32255"/>
      <sheetData sheetId="32256" refreshError="1"/>
      <sheetData sheetId="32257" refreshError="1"/>
      <sheetData sheetId="32258"/>
      <sheetData sheetId="32259"/>
      <sheetData sheetId="32260"/>
      <sheetData sheetId="32261" refreshError="1"/>
      <sheetData sheetId="32262" refreshError="1"/>
      <sheetData sheetId="32263"/>
      <sheetData sheetId="32264"/>
      <sheetData sheetId="32265"/>
      <sheetData sheetId="32266" refreshError="1"/>
      <sheetData sheetId="32267" refreshError="1"/>
      <sheetData sheetId="32268"/>
      <sheetData sheetId="32269" refreshError="1"/>
      <sheetData sheetId="32270" refreshError="1"/>
      <sheetData sheetId="32271"/>
      <sheetData sheetId="32272" refreshError="1"/>
      <sheetData sheetId="32273"/>
      <sheetData sheetId="32274"/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/>
      <sheetData sheetId="32290"/>
      <sheetData sheetId="32291"/>
      <sheetData sheetId="32292"/>
      <sheetData sheetId="32293"/>
      <sheetData sheetId="32294"/>
      <sheetData sheetId="32295" refreshError="1"/>
      <sheetData sheetId="32296" refreshError="1"/>
      <sheetData sheetId="32297"/>
      <sheetData sheetId="32298"/>
      <sheetData sheetId="32299"/>
      <sheetData sheetId="32300" refreshError="1"/>
      <sheetData sheetId="32301"/>
      <sheetData sheetId="32302"/>
      <sheetData sheetId="32303"/>
      <sheetData sheetId="32304" refreshError="1"/>
      <sheetData sheetId="32305" refreshError="1"/>
      <sheetData sheetId="32306"/>
      <sheetData sheetId="32307"/>
      <sheetData sheetId="32308" refreshError="1"/>
      <sheetData sheetId="32309"/>
      <sheetData sheetId="32310"/>
      <sheetData sheetId="32311"/>
      <sheetData sheetId="32312"/>
      <sheetData sheetId="32313" refreshError="1"/>
      <sheetData sheetId="32314" refreshError="1"/>
      <sheetData sheetId="32315"/>
      <sheetData sheetId="32316"/>
      <sheetData sheetId="32317" refreshError="1"/>
      <sheetData sheetId="32318"/>
      <sheetData sheetId="32319"/>
      <sheetData sheetId="32320" refreshError="1"/>
      <sheetData sheetId="32321" refreshError="1"/>
      <sheetData sheetId="32322"/>
      <sheetData sheetId="32323"/>
      <sheetData sheetId="32324"/>
      <sheetData sheetId="32325" refreshError="1"/>
      <sheetData sheetId="32326" refreshError="1"/>
      <sheetData sheetId="32327" refreshError="1"/>
      <sheetData sheetId="32328"/>
      <sheetData sheetId="32329" refreshError="1"/>
      <sheetData sheetId="32330"/>
      <sheetData sheetId="32331"/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/>
      <sheetData sheetId="32343"/>
      <sheetData sheetId="32344"/>
      <sheetData sheetId="32345"/>
      <sheetData sheetId="32346"/>
      <sheetData sheetId="32347"/>
      <sheetData sheetId="32348"/>
      <sheetData sheetId="32349"/>
      <sheetData sheetId="32350"/>
      <sheetData sheetId="32351" refreshError="1"/>
      <sheetData sheetId="32352" refreshError="1"/>
      <sheetData sheetId="32353" refreshError="1"/>
      <sheetData sheetId="32354"/>
      <sheetData sheetId="32355"/>
      <sheetData sheetId="32356"/>
      <sheetData sheetId="32357"/>
      <sheetData sheetId="32358"/>
      <sheetData sheetId="32359"/>
      <sheetData sheetId="32360"/>
      <sheetData sheetId="32361"/>
      <sheetData sheetId="32362"/>
      <sheetData sheetId="32363"/>
      <sheetData sheetId="32364"/>
      <sheetData sheetId="32365"/>
      <sheetData sheetId="32366"/>
      <sheetData sheetId="32367"/>
      <sheetData sheetId="32368"/>
      <sheetData sheetId="32369"/>
      <sheetData sheetId="32370"/>
      <sheetData sheetId="32371"/>
      <sheetData sheetId="32372"/>
      <sheetData sheetId="32373"/>
      <sheetData sheetId="32374" refreshError="1"/>
      <sheetData sheetId="32375" refreshError="1"/>
      <sheetData sheetId="32376"/>
      <sheetData sheetId="32377"/>
      <sheetData sheetId="32378" refreshError="1"/>
      <sheetData sheetId="32379" refreshError="1"/>
      <sheetData sheetId="32380"/>
      <sheetData sheetId="32381"/>
      <sheetData sheetId="32382"/>
      <sheetData sheetId="32383" refreshError="1"/>
      <sheetData sheetId="32384" refreshError="1"/>
      <sheetData sheetId="32385"/>
      <sheetData sheetId="32386" refreshError="1"/>
      <sheetData sheetId="32387" refreshError="1"/>
      <sheetData sheetId="32388"/>
      <sheetData sheetId="32389" refreshError="1"/>
      <sheetData sheetId="32390"/>
      <sheetData sheetId="32391"/>
      <sheetData sheetId="32392"/>
      <sheetData sheetId="32393"/>
      <sheetData sheetId="32394"/>
      <sheetData sheetId="32395"/>
      <sheetData sheetId="32396"/>
      <sheetData sheetId="32397"/>
      <sheetData sheetId="32398"/>
      <sheetData sheetId="32399"/>
      <sheetData sheetId="32400"/>
      <sheetData sheetId="32401"/>
      <sheetData sheetId="32402"/>
      <sheetData sheetId="32403"/>
      <sheetData sheetId="32404"/>
      <sheetData sheetId="32405"/>
      <sheetData sheetId="32406"/>
      <sheetData sheetId="32407"/>
      <sheetData sheetId="32408"/>
      <sheetData sheetId="32409"/>
      <sheetData sheetId="32410"/>
      <sheetData sheetId="32411"/>
      <sheetData sheetId="32412" refreshError="1"/>
      <sheetData sheetId="32413" refreshError="1"/>
      <sheetData sheetId="32414"/>
      <sheetData sheetId="32415"/>
      <sheetData sheetId="32416"/>
      <sheetData sheetId="32417"/>
      <sheetData sheetId="32418" refreshError="1"/>
      <sheetData sheetId="32419"/>
      <sheetData sheetId="32420"/>
      <sheetData sheetId="32421" refreshError="1"/>
      <sheetData sheetId="32422" refreshError="1"/>
      <sheetData sheetId="32423"/>
      <sheetData sheetId="32424"/>
      <sheetData sheetId="32425"/>
      <sheetData sheetId="32426" refreshError="1"/>
      <sheetData sheetId="32427" refreshError="1"/>
      <sheetData sheetId="32428" refreshError="1"/>
      <sheetData sheetId="32429"/>
      <sheetData sheetId="32430" refreshError="1"/>
      <sheetData sheetId="32431"/>
      <sheetData sheetId="32432"/>
      <sheetData sheetId="32433"/>
      <sheetData sheetId="32434"/>
      <sheetData sheetId="32435"/>
      <sheetData sheetId="32436"/>
      <sheetData sheetId="32437"/>
      <sheetData sheetId="32438"/>
      <sheetData sheetId="32439"/>
      <sheetData sheetId="32440"/>
      <sheetData sheetId="32441"/>
      <sheetData sheetId="32442"/>
      <sheetData sheetId="32443"/>
      <sheetData sheetId="32444"/>
      <sheetData sheetId="32445"/>
      <sheetData sheetId="32446"/>
      <sheetData sheetId="32447"/>
      <sheetData sheetId="32448"/>
      <sheetData sheetId="32449"/>
      <sheetData sheetId="32450"/>
      <sheetData sheetId="32451"/>
      <sheetData sheetId="32452"/>
      <sheetData sheetId="32453"/>
      <sheetData sheetId="32454"/>
      <sheetData sheetId="32455" refreshError="1"/>
      <sheetData sheetId="32456" refreshError="1"/>
      <sheetData sheetId="32457"/>
      <sheetData sheetId="32458"/>
      <sheetData sheetId="32459"/>
      <sheetData sheetId="32460" refreshError="1"/>
      <sheetData sheetId="32461"/>
      <sheetData sheetId="32462"/>
      <sheetData sheetId="32463"/>
      <sheetData sheetId="32464" refreshError="1"/>
      <sheetData sheetId="32465" refreshError="1"/>
      <sheetData sheetId="32466"/>
      <sheetData sheetId="32467"/>
      <sheetData sheetId="32468"/>
      <sheetData sheetId="32469" refreshError="1"/>
      <sheetData sheetId="32470"/>
      <sheetData sheetId="32471"/>
      <sheetData sheetId="32472" refreshError="1"/>
      <sheetData sheetId="32473" refreshError="1"/>
      <sheetData sheetId="32474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/>
      <sheetData sheetId="32484"/>
      <sheetData sheetId="32485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/>
      <sheetData sheetId="32505"/>
      <sheetData sheetId="32506" refreshError="1"/>
      <sheetData sheetId="32507"/>
      <sheetData sheetId="32508" refreshError="1"/>
      <sheetData sheetId="32509" refreshError="1"/>
      <sheetData sheetId="32510" refreshError="1"/>
      <sheetData sheetId="32511"/>
      <sheetData sheetId="32512"/>
      <sheetData sheetId="32513" refreshError="1"/>
      <sheetData sheetId="32514"/>
      <sheetData sheetId="32515"/>
      <sheetData sheetId="32516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/>
      <sheetData sheetId="32526"/>
      <sheetData sheetId="32527" refreshError="1"/>
      <sheetData sheetId="32528" refreshError="1"/>
      <sheetData sheetId="32529" refreshError="1"/>
      <sheetData sheetId="32530"/>
      <sheetData sheetId="32531"/>
      <sheetData sheetId="32532" refreshError="1"/>
      <sheetData sheetId="32533"/>
      <sheetData sheetId="32534"/>
      <sheetData sheetId="32535"/>
      <sheetData sheetId="32536" refreshError="1"/>
      <sheetData sheetId="32537" refreshError="1"/>
      <sheetData sheetId="32538" refreshError="1"/>
      <sheetData sheetId="32539"/>
      <sheetData sheetId="32540"/>
      <sheetData sheetId="32541" refreshError="1"/>
      <sheetData sheetId="32542" refreshError="1"/>
      <sheetData sheetId="32543" refreshError="1"/>
      <sheetData sheetId="32544" refreshError="1"/>
      <sheetData sheetId="32545" refreshError="1"/>
      <sheetData sheetId="32546" refreshError="1"/>
      <sheetData sheetId="32547" refreshError="1"/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 refreshError="1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 refreshError="1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 refreshError="1"/>
      <sheetData sheetId="32606" refreshError="1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/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/>
      <sheetData sheetId="32657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/>
      <sheetData sheetId="32664" refreshError="1"/>
      <sheetData sheetId="32665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/>
      <sheetData sheetId="32682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 refreshError="1"/>
      <sheetData sheetId="32714" refreshError="1"/>
      <sheetData sheetId="32715" refreshError="1"/>
      <sheetData sheetId="32716" refreshError="1"/>
      <sheetData sheetId="32717" refreshError="1"/>
      <sheetData sheetId="32718" refreshError="1"/>
      <sheetData sheetId="32719" refreshError="1"/>
      <sheetData sheetId="32720" refreshError="1"/>
      <sheetData sheetId="32721" refreshError="1"/>
      <sheetData sheetId="32722" refreshError="1"/>
      <sheetData sheetId="32723" refreshError="1"/>
      <sheetData sheetId="32724" refreshError="1"/>
      <sheetData sheetId="32725" refreshError="1"/>
      <sheetData sheetId="32726" refreshError="1"/>
      <sheetData sheetId="32727" refreshError="1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 refreshError="1"/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 refreshError="1"/>
      <sheetData sheetId="32841" refreshError="1"/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 refreshError="1"/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 refreshError="1"/>
      <sheetData sheetId="33010" refreshError="1"/>
      <sheetData sheetId="33011" refreshError="1"/>
      <sheetData sheetId="33012" refreshError="1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/>
      <sheetData sheetId="33042" refreshError="1"/>
      <sheetData sheetId="33043"/>
      <sheetData sheetId="33044"/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/>
      <sheetData sheetId="33064" refreshError="1"/>
      <sheetData sheetId="33065" refreshError="1"/>
      <sheetData sheetId="33066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/>
      <sheetData sheetId="33135"/>
      <sheetData sheetId="33136" refreshError="1"/>
      <sheetData sheetId="33137"/>
      <sheetData sheetId="33138"/>
      <sheetData sheetId="33139"/>
      <sheetData sheetId="33140"/>
      <sheetData sheetId="33141" refreshError="1"/>
      <sheetData sheetId="33142" refreshError="1"/>
      <sheetData sheetId="33143" refreshError="1"/>
      <sheetData sheetId="33144"/>
      <sheetData sheetId="33145" refreshError="1"/>
      <sheetData sheetId="33146" refreshError="1"/>
      <sheetData sheetId="33147"/>
      <sheetData sheetId="33148"/>
      <sheetData sheetId="33149"/>
      <sheetData sheetId="33150" refreshError="1"/>
      <sheetData sheetId="33151" refreshError="1"/>
      <sheetData sheetId="33152" refreshError="1"/>
      <sheetData sheetId="33153"/>
      <sheetData sheetId="33154" refreshError="1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/>
      <sheetData sheetId="33207"/>
      <sheetData sheetId="33208" refreshError="1"/>
      <sheetData sheetId="33209" refreshError="1"/>
      <sheetData sheetId="33210"/>
      <sheetData sheetId="33211"/>
      <sheetData sheetId="33212"/>
      <sheetData sheetId="33213" refreshError="1"/>
      <sheetData sheetId="33214"/>
      <sheetData sheetId="33215"/>
      <sheetData sheetId="33216"/>
      <sheetData sheetId="33217" refreshError="1"/>
      <sheetData sheetId="33218" refreshError="1"/>
      <sheetData sheetId="33219"/>
      <sheetData sheetId="33220"/>
      <sheetData sheetId="33221"/>
      <sheetData sheetId="33222" refreshError="1"/>
      <sheetData sheetId="33223"/>
      <sheetData sheetId="33224"/>
      <sheetData sheetId="33225"/>
      <sheetData sheetId="33226" refreshError="1"/>
      <sheetData sheetId="33227" refreshError="1"/>
      <sheetData sheetId="33228" refreshError="1"/>
      <sheetData sheetId="33229" refreshError="1"/>
      <sheetData sheetId="33230"/>
      <sheetData sheetId="332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COV"/>
      <sheetName val="rabill 4"/>
      <sheetName val="Revfmt"/>
      <sheetName val="rabill1"/>
      <sheetName val="rabill2"/>
      <sheetName val="rabill 3"/>
      <sheetName val="350"/>
      <sheetName val="351"/>
      <sheetName val="rabill1 (2)"/>
      <sheetName val="BILL_COV"/>
      <sheetName val="rabill_4"/>
      <sheetName val="rabill_3"/>
      <sheetName val="rabill1_(2)"/>
      <sheetName val="B &amp; C class items "/>
      <sheetName val="Rate analysis"/>
      <sheetName val="SPT vs PHI"/>
      <sheetName val="Estimate for approval"/>
      <sheetName val="A1-Continuous"/>
      <sheetName val="rcc( sub)"/>
      <sheetName val="BILL_COV6"/>
      <sheetName val="rabill_46"/>
      <sheetName val="rabill_36"/>
      <sheetName val="rabill1_(2)6"/>
      <sheetName val="B_&amp;_C_class_items_5"/>
      <sheetName val="Rate_analysis5"/>
      <sheetName val="SPT_vs_PHI5"/>
      <sheetName val="Estimate_for_approval5"/>
      <sheetName val="rcc(_sub)5"/>
      <sheetName val="BILL_COV4"/>
      <sheetName val="rabill_44"/>
      <sheetName val="rabill_34"/>
      <sheetName val="rabill1_(2)4"/>
      <sheetName val="B_&amp;_C_class_items_3"/>
      <sheetName val="Rate_analysis3"/>
      <sheetName val="SPT_vs_PHI3"/>
      <sheetName val="Estimate_for_approval3"/>
      <sheetName val="BILL_COV3"/>
      <sheetName val="rabill_43"/>
      <sheetName val="rabill_33"/>
      <sheetName val="rabill1_(2)3"/>
      <sheetName val="B_&amp;_C_class_items_2"/>
      <sheetName val="Rate_analysis2"/>
      <sheetName val="SPT_vs_PHI2"/>
      <sheetName val="Estimate_for_approval2"/>
      <sheetName val="rcc(_sub)2"/>
      <sheetName val="BILL_COV1"/>
      <sheetName val="rabill_41"/>
      <sheetName val="rabill_31"/>
      <sheetName val="rabill1_(2)1"/>
      <sheetName val="B_&amp;_C_class_items_"/>
      <sheetName val="Rate_analysis"/>
      <sheetName val="SPT_vs_PHI"/>
      <sheetName val="Estimate_for_approval"/>
      <sheetName val="rcc(_sub)"/>
      <sheetName val="BILL_COV2"/>
      <sheetName val="rabill_42"/>
      <sheetName val="rabill_32"/>
      <sheetName val="rabill1_(2)2"/>
      <sheetName val="B_&amp;_C_class_items_1"/>
      <sheetName val="Rate_analysis1"/>
      <sheetName val="SPT_vs_PHI1"/>
      <sheetName val="Estimate_for_approval1"/>
      <sheetName val="rcc(_sub)1"/>
      <sheetName val="rcc(_sub)3"/>
      <sheetName val="BILL_COV5"/>
      <sheetName val="rabill_45"/>
      <sheetName val="rabill_35"/>
      <sheetName val="rabill1_(2)5"/>
      <sheetName val="B_&amp;_C_class_items_4"/>
      <sheetName val="Rate_analysis4"/>
      <sheetName val="SPT_vs_PHI4"/>
      <sheetName val="Estimate_for_approval4"/>
      <sheetName val="rcc(_sub)4"/>
      <sheetName val="ABS Amani"/>
      <sheetName val="HF Blk 1"/>
      <sheetName val="BILL_COV7"/>
      <sheetName val="rabill_47"/>
      <sheetName val="rabill_37"/>
      <sheetName val="rabill1_(2)7"/>
      <sheetName val="B_&amp;_C_class_items_6"/>
      <sheetName val="Rate_analysis6"/>
      <sheetName val="SPT_vs_PHI6"/>
      <sheetName val="Estimate_for_approval6"/>
      <sheetName val="rcc(_sub)6"/>
      <sheetName val="ABS_Amani"/>
      <sheetName val="intr stool brkup"/>
      <sheetName val="Material List "/>
      <sheetName val="Report"/>
      <sheetName val="Boq"/>
      <sheetName val="girder"/>
      <sheetName val="col-reinft1"/>
      <sheetName val="OHT_Abs"/>
      <sheetName val="Design"/>
      <sheetName val="d-safe DELUXE"/>
      <sheetName val="Abstract Sheet"/>
      <sheetName val="MASTER_RATE ANALYSIS"/>
      <sheetName val="Detail In Door Stad"/>
      <sheetName val="156"/>
      <sheetName val="BILL_COV8"/>
      <sheetName val="rabill_48"/>
      <sheetName val="rabill_38"/>
      <sheetName val="rabill1_(2)8"/>
      <sheetName val="B_&amp;_C_class_items_7"/>
      <sheetName val="Rate_analysis7"/>
      <sheetName val="rcc(_sub)7"/>
      <sheetName val="SPT_vs_PHI7"/>
      <sheetName val="Estimate_for_approval7"/>
      <sheetName val="ABS_Amani1"/>
      <sheetName val="HF_Blk_1"/>
      <sheetName val="intr_stool_brkup"/>
      <sheetName val="Material_List_"/>
      <sheetName val="d-safe_DELUXE"/>
      <sheetName val="Abstract_Sheet"/>
      <sheetName val="MASTER_RATE_ANALYSIS"/>
      <sheetName val="Detail_In_Door_Stad"/>
      <sheetName val="BILL_COV11"/>
      <sheetName val="rabill_411"/>
      <sheetName val="rabill_311"/>
      <sheetName val="rabill1_(2)11"/>
      <sheetName val="B_&amp;_C_class_items_10"/>
      <sheetName val="Rate_analysis10"/>
      <sheetName val="rcc(_sub)10"/>
      <sheetName val="SPT_vs_PHI10"/>
      <sheetName val="Estimate_for_approval10"/>
      <sheetName val="ABS_Amani4"/>
      <sheetName val="HF_Blk_13"/>
      <sheetName val="intr_stool_brkup3"/>
      <sheetName val="Material_List_3"/>
      <sheetName val="d-safe_DELUXE3"/>
      <sheetName val="Abstract_Sheet3"/>
      <sheetName val="MASTER_RATE_ANALYSIS3"/>
      <sheetName val="Detail_In_Door_Stad3"/>
      <sheetName val="BILL_COV10"/>
      <sheetName val="rabill_410"/>
      <sheetName val="rabill_310"/>
      <sheetName val="rabill1_(2)10"/>
      <sheetName val="B_&amp;_C_class_items_9"/>
      <sheetName val="Rate_analysis9"/>
      <sheetName val="rcc(_sub)9"/>
      <sheetName val="SPT_vs_PHI9"/>
      <sheetName val="Estimate_for_approval9"/>
      <sheetName val="ABS_Amani3"/>
      <sheetName val="HF_Blk_12"/>
      <sheetName val="intr_stool_brkup2"/>
      <sheetName val="Material_List_2"/>
      <sheetName val="d-safe_DELUXE2"/>
      <sheetName val="Abstract_Sheet2"/>
      <sheetName val="MASTER_RATE_ANALYSIS2"/>
      <sheetName val="Detail_In_Door_Stad2"/>
      <sheetName val="BILL_COV9"/>
      <sheetName val="rabill_49"/>
      <sheetName val="rabill_39"/>
      <sheetName val="rabill1_(2)9"/>
      <sheetName val="B_&amp;_C_class_items_8"/>
      <sheetName val="Rate_analysis8"/>
      <sheetName val="rcc(_sub)8"/>
      <sheetName val="SPT_vs_PHI8"/>
      <sheetName val="Estimate_for_approval8"/>
      <sheetName val="ABS_Amani2"/>
      <sheetName val="HF_Blk_11"/>
      <sheetName val="intr_stool_brkup1"/>
      <sheetName val="Material_List_1"/>
      <sheetName val="d-safe_DELUXE1"/>
      <sheetName val="Abstract_Sheet1"/>
      <sheetName val="MASTER_RATE_ANALYSIS1"/>
      <sheetName val="Detail_In_Door_Sta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ck base"/>
      <sheetName val="Sheet1"/>
      <sheetName val="var3"/>
      <sheetName val="ag81 var"/>
      <sheetName val="studs"/>
      <sheetName val="ag81 f1 brkup"/>
      <sheetName val="ag81 studs"/>
      <sheetName val="ag50 f11"/>
      <sheetName val="ag50 f4"/>
      <sheetName val="hos dining s"/>
      <sheetName val="HOS dining"/>
      <sheetName val="hos round s"/>
      <sheetName val="HOS round side table"/>
      <sheetName val="var 2"/>
      <sheetName val="fab"/>
      <sheetName val="fabric rev"/>
      <sheetName val="intr stool brkup (2)"/>
      <sheetName val="var1A"/>
      <sheetName val="intr stool brkup"/>
      <sheetName val="side tables-brkup"/>
      <sheetName val="boq final"/>
      <sheetName val="base only"/>
      <sheetName val="oil gldng"/>
      <sheetName val="clock base brk"/>
      <sheetName val="clock_base"/>
      <sheetName val="ag81_var"/>
      <sheetName val="ag81_f1_brkup"/>
      <sheetName val="ag81_studs"/>
      <sheetName val="ag50_f11"/>
      <sheetName val="ag50_f4"/>
      <sheetName val="hos_dining_s"/>
      <sheetName val="HOS_dining"/>
      <sheetName val="hos_round_s"/>
      <sheetName val="HOS_round_side_table"/>
      <sheetName val="var_2"/>
      <sheetName val="fabric_rev"/>
      <sheetName val="intr_stool_brkup_(2)"/>
      <sheetName val="intr_stool_brkup"/>
      <sheetName val="side_tables-brkup"/>
      <sheetName val="boq_final"/>
      <sheetName val="base_only"/>
      <sheetName val="oil_gldng"/>
      <sheetName val="clock_base_brk"/>
      <sheetName val="BILL COV"/>
      <sheetName val="vb 9&amp;10"/>
      <sheetName val="SPT vs PHI"/>
      <sheetName val="Rate analysis"/>
      <sheetName val="Estimate for approval"/>
      <sheetName val="col-reinft1"/>
      <sheetName val="clock_base6"/>
      <sheetName val="ag81_var6"/>
      <sheetName val="ag81_f1_brkup6"/>
      <sheetName val="ag81_studs6"/>
      <sheetName val="ag50_f116"/>
      <sheetName val="ag50_f46"/>
      <sheetName val="hos_dining_s6"/>
      <sheetName val="HOS_dining6"/>
      <sheetName val="hos_round_s6"/>
      <sheetName val="HOS_round_side_table6"/>
      <sheetName val="var_26"/>
      <sheetName val="fabric_rev6"/>
      <sheetName val="intr_stool_brkup_(2)6"/>
      <sheetName val="intr_stool_brkup6"/>
      <sheetName val="side_tables-brkup6"/>
      <sheetName val="boq_final6"/>
      <sheetName val="base_only6"/>
      <sheetName val="oil_gldng6"/>
      <sheetName val="clock_base_brk6"/>
      <sheetName val="BILL_COV5"/>
      <sheetName val="vb_9&amp;105"/>
      <sheetName val="SPT_vs_PHI5"/>
      <sheetName val="Rate_analysis5"/>
      <sheetName val="Estimate_for_approval5"/>
      <sheetName val="clock_base4"/>
      <sheetName val="ag81_var4"/>
      <sheetName val="ag81_f1_brkup4"/>
      <sheetName val="ag81_studs4"/>
      <sheetName val="ag50_f114"/>
      <sheetName val="ag50_f44"/>
      <sheetName val="hos_dining_s4"/>
      <sheetName val="HOS_dining4"/>
      <sheetName val="hos_round_s4"/>
      <sheetName val="HOS_round_side_table4"/>
      <sheetName val="var_24"/>
      <sheetName val="fabric_rev4"/>
      <sheetName val="intr_stool_brkup_(2)4"/>
      <sheetName val="intr_stool_brkup4"/>
      <sheetName val="side_tables-brkup4"/>
      <sheetName val="boq_final4"/>
      <sheetName val="base_only4"/>
      <sheetName val="oil_gldng4"/>
      <sheetName val="clock_base_brk4"/>
      <sheetName val="BILL_COV3"/>
      <sheetName val="vb_9&amp;103"/>
      <sheetName val="SPT_vs_PHI3"/>
      <sheetName val="Rate_analysis3"/>
      <sheetName val="Estimate_for_approval3"/>
      <sheetName val="clock_base3"/>
      <sheetName val="ag81_var3"/>
      <sheetName val="ag81_f1_brkup3"/>
      <sheetName val="ag81_studs3"/>
      <sheetName val="ag50_f113"/>
      <sheetName val="ag50_f43"/>
      <sheetName val="hos_dining_s3"/>
      <sheetName val="HOS_dining3"/>
      <sheetName val="hos_round_s3"/>
      <sheetName val="HOS_round_side_table3"/>
      <sheetName val="var_23"/>
      <sheetName val="fabric_rev3"/>
      <sheetName val="intr_stool_brkup_(2)3"/>
      <sheetName val="intr_stool_brkup3"/>
      <sheetName val="side_tables-brkup3"/>
      <sheetName val="boq_final3"/>
      <sheetName val="base_only3"/>
      <sheetName val="oil_gldng3"/>
      <sheetName val="clock_base_brk3"/>
      <sheetName val="BILL_COV2"/>
      <sheetName val="vb_9&amp;102"/>
      <sheetName val="SPT_vs_PHI2"/>
      <sheetName val="Rate_analysis2"/>
      <sheetName val="Estimate_for_approval2"/>
      <sheetName val="clock_base1"/>
      <sheetName val="ag81_var1"/>
      <sheetName val="ag81_f1_brkup1"/>
      <sheetName val="ag81_studs1"/>
      <sheetName val="ag50_f111"/>
      <sheetName val="ag50_f41"/>
      <sheetName val="hos_dining_s1"/>
      <sheetName val="HOS_dining1"/>
      <sheetName val="hos_round_s1"/>
      <sheetName val="HOS_round_side_table1"/>
      <sheetName val="var_21"/>
      <sheetName val="fabric_rev1"/>
      <sheetName val="intr_stool_brkup_(2)1"/>
      <sheetName val="intr_stool_brkup1"/>
      <sheetName val="side_tables-brkup1"/>
      <sheetName val="boq_final1"/>
      <sheetName val="base_only1"/>
      <sheetName val="oil_gldng1"/>
      <sheetName val="clock_base_brk1"/>
      <sheetName val="BILL_COV"/>
      <sheetName val="vb_9&amp;10"/>
      <sheetName val="SPT_vs_PHI"/>
      <sheetName val="Rate_analysis"/>
      <sheetName val="Estimate_for_approval"/>
      <sheetName val="clock_base2"/>
      <sheetName val="ag81_var2"/>
      <sheetName val="ag81_f1_brkup2"/>
      <sheetName val="ag81_studs2"/>
      <sheetName val="ag50_f112"/>
      <sheetName val="ag50_f42"/>
      <sheetName val="hos_dining_s2"/>
      <sheetName val="HOS_dining2"/>
      <sheetName val="hos_round_s2"/>
      <sheetName val="HOS_round_side_table2"/>
      <sheetName val="var_22"/>
      <sheetName val="fabric_rev2"/>
      <sheetName val="intr_stool_brkup_(2)2"/>
      <sheetName val="intr_stool_brkup2"/>
      <sheetName val="side_tables-brkup2"/>
      <sheetName val="boq_final2"/>
      <sheetName val="base_only2"/>
      <sheetName val="oil_gldng2"/>
      <sheetName val="clock_base_brk2"/>
      <sheetName val="BILL_COV1"/>
      <sheetName val="vb_9&amp;101"/>
      <sheetName val="SPT_vs_PHI1"/>
      <sheetName val="Rate_analysis1"/>
      <sheetName val="Estimate_for_approval1"/>
      <sheetName val="clock_base5"/>
      <sheetName val="ag81_var5"/>
      <sheetName val="ag81_f1_brkup5"/>
      <sheetName val="ag81_studs5"/>
      <sheetName val="ag50_f115"/>
      <sheetName val="ag50_f45"/>
      <sheetName val="hos_dining_s5"/>
      <sheetName val="HOS_dining5"/>
      <sheetName val="hos_round_s5"/>
      <sheetName val="HOS_round_side_table5"/>
      <sheetName val="var_25"/>
      <sheetName val="fabric_rev5"/>
      <sheetName val="intr_stool_brkup_(2)5"/>
      <sheetName val="intr_stool_brkup5"/>
      <sheetName val="side_tables-brkup5"/>
      <sheetName val="boq_final5"/>
      <sheetName val="base_only5"/>
      <sheetName val="oil_gldng5"/>
      <sheetName val="clock_base_brk5"/>
      <sheetName val="BILL_COV4"/>
      <sheetName val="vb_9&amp;104"/>
      <sheetName val="SPT_vs_PHI4"/>
      <sheetName val="Rate_analysis4"/>
      <sheetName val="Estimate_for_approval4"/>
      <sheetName val="B &amp; C class items "/>
      <sheetName val="Surface preparation"/>
      <sheetName val="General works"/>
      <sheetName val="Plastering"/>
      <sheetName val="earth works"/>
      <sheetName val="Concrete"/>
      <sheetName val="Shuttering"/>
      <sheetName val="Reinf"/>
      <sheetName val="Masonary"/>
      <sheetName val="Check"/>
      <sheetName val="Maintenance &amp; other codes"/>
      <sheetName val="clock_base7"/>
      <sheetName val="ag81_var7"/>
      <sheetName val="ag81_f1_brkup7"/>
      <sheetName val="ag81_studs7"/>
      <sheetName val="ag50_f117"/>
      <sheetName val="ag50_f47"/>
      <sheetName val="hos_dining_s7"/>
      <sheetName val="HOS_dining7"/>
      <sheetName val="hos_round_s7"/>
      <sheetName val="HOS_round_side_table7"/>
      <sheetName val="var_27"/>
      <sheetName val="fabric_rev7"/>
      <sheetName val="intr_stool_brkup_(2)7"/>
      <sheetName val="intr_stool_brkup7"/>
      <sheetName val="side_tables-brkup7"/>
      <sheetName val="boq_final7"/>
      <sheetName val="base_only7"/>
      <sheetName val="oil_gldng7"/>
      <sheetName val="clock_base_brk7"/>
      <sheetName val="BILL_COV6"/>
      <sheetName val="vb_9&amp;106"/>
      <sheetName val="SPT_vs_PHI6"/>
      <sheetName val="Rate_analysis6"/>
      <sheetName val="Estimate_for_approval6"/>
      <sheetName val="Surface_preparation"/>
      <sheetName val="General_works"/>
      <sheetName val="earth_works"/>
      <sheetName val="Maintenance_&amp;_other_codes"/>
      <sheetName val="B_&amp;_C_class_items_"/>
      <sheetName val="rcc( sub)"/>
      <sheetName val="POWER"/>
      <sheetName val="PROJECT BRIEF_EX_NEW_"/>
      <sheetName val="Plinthbeam"/>
      <sheetName val="BM"/>
      <sheetName val="Data"/>
      <sheetName val="Names"/>
      <sheetName val="BOQ"/>
      <sheetName val="#REF!"/>
      <sheetName val="FitOutConfCentre"/>
      <sheetName val="GYPSUM_PRICING"/>
      <sheetName val="149"/>
      <sheetName val="Démol."/>
      <sheetName val="Ravalement"/>
      <sheetName val="Schedules"/>
      <sheetName val="CTC"/>
      <sheetName val="Main Villa-Walls"/>
      <sheetName val="CERTIFICATE"/>
      <sheetName val="analysis"/>
      <sheetName val="INDIGINEOUS ITEMS "/>
      <sheetName val="Lead"/>
      <sheetName val="Control"/>
      <sheetName val="d-safe DELUXE"/>
      <sheetName val="Abstract Sheet"/>
      <sheetName val="clock_base8"/>
      <sheetName val="ag81_var8"/>
      <sheetName val="ag81_f1_brkup8"/>
      <sheetName val="ag81_studs8"/>
      <sheetName val="ag50_f118"/>
      <sheetName val="ag50_f48"/>
      <sheetName val="hos_dining_s8"/>
      <sheetName val="HOS_dining8"/>
      <sheetName val="hos_round_s8"/>
      <sheetName val="HOS_round_side_table8"/>
      <sheetName val="var_28"/>
      <sheetName val="fabric_rev8"/>
      <sheetName val="intr_stool_brkup_(2)8"/>
      <sheetName val="intr_stool_brkup8"/>
      <sheetName val="side_tables-brkup8"/>
      <sheetName val="boq_final8"/>
      <sheetName val="base_only8"/>
      <sheetName val="oil_gldng8"/>
      <sheetName val="clock_base_brk8"/>
      <sheetName val="BILL_COV7"/>
      <sheetName val="vb_9&amp;107"/>
      <sheetName val="SPT_vs_PHI7"/>
      <sheetName val="Rate_analysis7"/>
      <sheetName val="Estimate_for_approval7"/>
      <sheetName val="B_&amp;_C_class_items_1"/>
      <sheetName val="Surface_preparation1"/>
      <sheetName val="General_works1"/>
      <sheetName val="earth_works1"/>
      <sheetName val="Maintenance_&amp;_other_codes1"/>
      <sheetName val="rcc(_sub)"/>
      <sheetName val="PROJECT_BRIEF_EX_NEW_"/>
      <sheetName val="Démol_"/>
      <sheetName val="Main_Villa-Walls"/>
      <sheetName val="INDIGINEOUS_ITEMS_"/>
      <sheetName val="d-safe_DELUXE"/>
      <sheetName val="Abstract_Sheet"/>
      <sheetName val="clock_base11"/>
      <sheetName val="ag81_var11"/>
      <sheetName val="ag81_f1_brkup11"/>
      <sheetName val="ag81_studs11"/>
      <sheetName val="ag50_f1111"/>
      <sheetName val="ag50_f411"/>
      <sheetName val="hos_dining_s11"/>
      <sheetName val="HOS_dining11"/>
      <sheetName val="hos_round_s11"/>
      <sheetName val="HOS_round_side_table11"/>
      <sheetName val="var_211"/>
      <sheetName val="fabric_rev11"/>
      <sheetName val="intr_stool_brkup_(2)11"/>
      <sheetName val="intr_stool_brkup11"/>
      <sheetName val="side_tables-brkup11"/>
      <sheetName val="boq_final11"/>
      <sheetName val="base_only11"/>
      <sheetName val="oil_gldng11"/>
      <sheetName val="clock_base_brk11"/>
      <sheetName val="BILL_COV10"/>
      <sheetName val="vb_9&amp;1010"/>
      <sheetName val="SPT_vs_PHI10"/>
      <sheetName val="Rate_analysis10"/>
      <sheetName val="Estimate_for_approval10"/>
      <sheetName val="B_&amp;_C_class_items_4"/>
      <sheetName val="Surface_preparation4"/>
      <sheetName val="General_works4"/>
      <sheetName val="earth_works4"/>
      <sheetName val="Maintenance_&amp;_other_codes4"/>
      <sheetName val="rcc(_sub)3"/>
      <sheetName val="PROJECT_BRIEF_EX_NEW_3"/>
      <sheetName val="Démol_3"/>
      <sheetName val="Main_Villa-Walls3"/>
      <sheetName val="INDIGINEOUS_ITEMS_3"/>
      <sheetName val="d-safe_DELUXE3"/>
      <sheetName val="Abstract_Sheet3"/>
      <sheetName val="clock_base10"/>
      <sheetName val="ag81_var10"/>
      <sheetName val="ag81_f1_brkup10"/>
      <sheetName val="ag81_studs10"/>
      <sheetName val="ag50_f1110"/>
      <sheetName val="ag50_f410"/>
      <sheetName val="hos_dining_s10"/>
      <sheetName val="HOS_dining10"/>
      <sheetName val="hos_round_s10"/>
      <sheetName val="HOS_round_side_table10"/>
      <sheetName val="var_210"/>
      <sheetName val="fabric_rev10"/>
      <sheetName val="intr_stool_brkup_(2)10"/>
      <sheetName val="intr_stool_brkup10"/>
      <sheetName val="side_tables-brkup10"/>
      <sheetName val="boq_final10"/>
      <sheetName val="base_only10"/>
      <sheetName val="oil_gldng10"/>
      <sheetName val="clock_base_brk10"/>
      <sheetName val="BILL_COV9"/>
      <sheetName val="vb_9&amp;109"/>
      <sheetName val="SPT_vs_PHI9"/>
      <sheetName val="Rate_analysis9"/>
      <sheetName val="Estimate_for_approval9"/>
      <sheetName val="B_&amp;_C_class_items_3"/>
      <sheetName val="Surface_preparation3"/>
      <sheetName val="General_works3"/>
      <sheetName val="earth_works3"/>
      <sheetName val="Maintenance_&amp;_other_codes3"/>
      <sheetName val="rcc(_sub)2"/>
      <sheetName val="PROJECT_BRIEF_EX_NEW_2"/>
      <sheetName val="Démol_2"/>
      <sheetName val="Main_Villa-Walls2"/>
      <sheetName val="INDIGINEOUS_ITEMS_2"/>
      <sheetName val="d-safe_DELUXE2"/>
      <sheetName val="Abstract_Sheet2"/>
      <sheetName val="clock_base9"/>
      <sheetName val="ag81_var9"/>
      <sheetName val="ag81_f1_brkup9"/>
      <sheetName val="ag81_studs9"/>
      <sheetName val="ag50_f119"/>
      <sheetName val="ag50_f49"/>
      <sheetName val="hos_dining_s9"/>
      <sheetName val="HOS_dining9"/>
      <sheetName val="hos_round_s9"/>
      <sheetName val="HOS_round_side_table9"/>
      <sheetName val="var_29"/>
      <sheetName val="fabric_rev9"/>
      <sheetName val="intr_stool_brkup_(2)9"/>
      <sheetName val="intr_stool_brkup9"/>
      <sheetName val="side_tables-brkup9"/>
      <sheetName val="boq_final9"/>
      <sheetName val="base_only9"/>
      <sheetName val="oil_gldng9"/>
      <sheetName val="clock_base_brk9"/>
      <sheetName val="BILL_COV8"/>
      <sheetName val="vb_9&amp;108"/>
      <sheetName val="SPT_vs_PHI8"/>
      <sheetName val="Rate_analysis8"/>
      <sheetName val="Estimate_for_approval8"/>
      <sheetName val="B_&amp;_C_class_items_2"/>
      <sheetName val="Surface_preparation2"/>
      <sheetName val="General_works2"/>
      <sheetName val="earth_works2"/>
      <sheetName val="Maintenance_&amp;_other_codes2"/>
      <sheetName val="rcc(_sub)1"/>
      <sheetName val="PROJECT_BRIEF_EX_NEW_1"/>
      <sheetName val="Démol_1"/>
      <sheetName val="Main_Villa-Walls1"/>
      <sheetName val="INDIGINEOUS_ITEMS_1"/>
      <sheetName val="d-safe_DELUXE1"/>
      <sheetName val="Abstract_Sheet1"/>
      <sheetName val="dBase"/>
      <sheetName val="B3-B4-B5-B6"/>
      <sheetName val="PRELIM5"/>
      <sheetName val="SS MH"/>
      <sheetName val="SS_MH"/>
      <sheetName val="India F&amp;S Template"/>
      <sheetName val="Day work"/>
      <sheetName val="Te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RATE ANALYSIS"/>
      <sheetName val="intr stool brkup"/>
      <sheetName val="Column Blk 1"/>
      <sheetName val="Rft Footing Blk 1"/>
      <sheetName val="Beam FF,SF Blk 1"/>
      <sheetName val="Slab FF,SF Blk 2"/>
      <sheetName val="Swimming pool"/>
      <sheetName val="Estimate for approval"/>
      <sheetName val="SPT vs PHI"/>
      <sheetName val="RA-markate"/>
      <sheetName val="Lift Updated Sheet"/>
      <sheetName val="Abstract - Released"/>
      <sheetName val="Withheld Bills"/>
      <sheetName val="ITD Tracking sheet"/>
      <sheetName val="SIL &amp; SGML Stock Projects"/>
      <sheetName val="SIL &amp; SGML Stock (MockUp)"/>
      <sheetName val="BILL CO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GINEOUS ITEMS "/>
      <sheetName val="MASTER_RATE ANALYSIS"/>
      <sheetName val="intr stool brkup"/>
      <sheetName val="Headings"/>
      <sheetName val="PRELIM5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F1a-Pile"/>
      <sheetName val="SUMMARY OPTION"/>
      <sheetName val="IMPORTED EQUIPMENTS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Summary"/>
      <sheetName val=" B1"/>
      <sheetName val="Cost summary"/>
      <sheetName val="RA-markate"/>
      <sheetName val="Data sheet"/>
      <sheetName val="Per Unit"/>
      <sheetName val="1-Internal electrical"/>
      <sheetName val="3. Elemental Summary"/>
      <sheetName val="12a. CFTable"/>
      <sheetName val="Meas.-Hotel Part"/>
      <sheetName val="Lintel"/>
      <sheetName val="CASHFLOWS"/>
      <sheetName val="Names&amp;Cases"/>
      <sheetName val="PRECAST lightconc-II"/>
      <sheetName val="run"/>
      <sheetName val="product prices"/>
      <sheetName val="price"/>
      <sheetName val="07"/>
      <sheetName val="PUMP"/>
      <sheetName val=" B3"/>
      <sheetName val="Budget"/>
      <sheetName val="Design"/>
      <sheetName val="BOQ"/>
      <sheetName val="Break_Up"/>
      <sheetName val="RESULT"/>
      <sheetName val="Pacakges split"/>
      <sheetName val="dlvoid"/>
      <sheetName val="9. Package split - Cost "/>
      <sheetName val="10. &amp; 11. Rate Code &amp; BQ"/>
      <sheetName val="Cashflow projection"/>
      <sheetName val="INDEX"/>
      <sheetName val="AREAS"/>
      <sheetName val="Sheet2"/>
      <sheetName val="PANEL ANNEXURE"/>
      <sheetName val="ELEC_BOQ"/>
      <sheetName val="LIST OF MAKES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final abstract"/>
      <sheetName val="currency"/>
      <sheetName val="Switch costs lookup"/>
      <sheetName val="jobhist"/>
      <sheetName val="Fill this out first..."/>
      <sheetName val="p&amp;m"/>
      <sheetName val="A"/>
      <sheetName val="Approved MTD Proj #'s"/>
      <sheetName val="final estimate"/>
      <sheetName val="Sheet 1"/>
      <sheetName val="STAFFSCHED "/>
      <sheetName val="Codes"/>
      <sheetName val="BOQ "/>
      <sheetName val="재1"/>
      <sheetName val="PA- Consutant "/>
      <sheetName val="INTERIOR"/>
      <sheetName val="Bill 1-BOQ-Civil Works"/>
      <sheetName val="HEAD"/>
      <sheetName val="Site Dev BOQ"/>
      <sheetName val="HT WORKS PART-A"/>
      <sheetName val="MN T.B."/>
      <sheetName val="환율"/>
      <sheetName val="BHANDUP"/>
      <sheetName val="calcul"/>
      <sheetName val="GEN REQ"/>
      <sheetName val="SD and START UP"/>
      <sheetName val="analysis"/>
      <sheetName val="Formwork"/>
      <sheetName val="Door"/>
      <sheetName val="Window"/>
      <sheetName val="PRECAST lightconc_II"/>
      <sheetName val="Rate analysis"/>
      <sheetName val="horizontal"/>
      <sheetName val="Assumptions"/>
      <sheetName val="Summ"/>
      <sheetName val="Fossil_DCF"/>
      <sheetName val="INDIGINEOUS_ITEMS_"/>
      <sheetName val="MN_T_B_"/>
      <sheetName val="final_abstract"/>
      <sheetName val="Switch_costs_lookup"/>
      <sheetName val="Fill_this_out_first___"/>
      <sheetName val="ACAD_Finishes"/>
      <sheetName val="Site_Details"/>
      <sheetName val="Site_Area_Statement"/>
      <sheetName val="SUMMARY_OPTION"/>
      <sheetName val="IMPORTED_EQUIPMENTS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_B1"/>
      <sheetName val="Cost_summary"/>
      <sheetName val="Data_sheet"/>
      <sheetName val="Per_Unit"/>
      <sheetName val="1-Internal_electrical"/>
      <sheetName val="3__Elemental_Summary"/>
      <sheetName val="12a__CFTable"/>
      <sheetName val="Meas_-Hotel_Part"/>
      <sheetName val="MASTER_RATE_ANALYSIS"/>
      <sheetName val="PRECAST_lightconc-II"/>
      <sheetName val="product_prices"/>
      <sheetName val="_B3"/>
      <sheetName val="INDIGINEOUS_ITEMS_1"/>
      <sheetName val="MN_T_B_1"/>
      <sheetName val="final_abstract1"/>
      <sheetName val="Switch_costs_lookup1"/>
      <sheetName val="Fill_this_out_first___1"/>
      <sheetName val="ACAD_Finishes1"/>
      <sheetName val="Site_Details1"/>
      <sheetName val="Site_Area_Statement1"/>
      <sheetName val="SUMMARY_OPTION1"/>
      <sheetName val="IMPORTED_EQUIPMENTS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_B11"/>
      <sheetName val="Cost_summary1"/>
      <sheetName val="Data_sheet1"/>
      <sheetName val="Per_Unit1"/>
      <sheetName val="1-Internal_electrical1"/>
      <sheetName val="3__Elemental_Summary1"/>
      <sheetName val="12a__CFTable1"/>
      <sheetName val="Meas_-Hotel_Part1"/>
      <sheetName val="MASTER_RATE_ANALYSIS1"/>
      <sheetName val="PRECAST_lightconc-II1"/>
      <sheetName val="product_prices1"/>
      <sheetName val="_B31"/>
      <sheetName val="Pacakges_split"/>
      <sheetName val="9__Package_split_-_Cost_"/>
      <sheetName val="10__&amp;_11__Rate_Code_&amp;_BQ"/>
      <sheetName val="Cashflow_projection"/>
      <sheetName val="PANEL_ANNEXURE"/>
      <sheetName val="PCS DATA"/>
      <sheetName val="Costing"/>
      <sheetName val="Major Qty."/>
      <sheetName val="IV-Utility"/>
      <sheetName val="SPT vs PHI"/>
      <sheetName val="A class reconciliation"/>
      <sheetName val="Shuttering consumables"/>
      <sheetName val="Paint"/>
      <sheetName val="Grills"/>
      <sheetName val="B &amp; C class items "/>
      <sheetName val="SOR"/>
      <sheetName val="INDIGINEOUS_ITEMS_2"/>
      <sheetName val="MASTER_RATE_ANALYSIS2"/>
      <sheetName val="intr_stool_brkup"/>
      <sheetName val="ACAD_Finishes2"/>
      <sheetName val="Site_Details2"/>
      <sheetName val="Site_Area_Statement2"/>
      <sheetName val="SUMMARY_OPTION2"/>
      <sheetName val="IMPORTED_EQUIPMENTS2"/>
      <sheetName val="VRV_Install2"/>
      <sheetName val="Cu_Tube_with_insulation_2"/>
      <sheetName val="PVC_PIPE2"/>
      <sheetName val="Nitrile_Ins_for_CHW_Pipe_&amp;_Duc2"/>
      <sheetName val="Fire_Damper2"/>
      <sheetName val="Grill,_Diffuser_Revised2"/>
      <sheetName val="DUCT_INSULATION2"/>
      <sheetName val="Lock_Former_Ducting2"/>
      <sheetName val="Insulated_Flexible_Ducts2"/>
      <sheetName val="_B12"/>
      <sheetName val="Cost_summary2"/>
      <sheetName val="Data_sheet2"/>
      <sheetName val="Per_Unit2"/>
      <sheetName val="1-Internal_electrical2"/>
      <sheetName val="3__Elemental_Summary2"/>
      <sheetName val="12a__CFTable2"/>
      <sheetName val="Meas_-Hotel_Part2"/>
      <sheetName val="PRECAST_lightconc-II2"/>
      <sheetName val="product_prices2"/>
      <sheetName val="_B32"/>
      <sheetName val="Pacakges_split1"/>
      <sheetName val="9__Package_split_-_Cost_1"/>
      <sheetName val="10__&amp;_11__Rate_Code_&amp;_BQ1"/>
      <sheetName val="Cashflow_projection1"/>
      <sheetName val="PANEL_ANNEXURE1"/>
      <sheetName val="LIST_OF_MAKES"/>
      <sheetName val="CFForecast_detail"/>
      <sheetName val="INPUT_SHEET"/>
      <sheetName val="Basement_Budget"/>
      <sheetName val="SCurv_(3)"/>
      <sheetName val="WORK_TABLE"/>
      <sheetName val="final_abstract2"/>
      <sheetName val="Switch_costs_lookup2"/>
      <sheetName val="Fill_this_out_first___2"/>
      <sheetName val="Approved_MTD_Proj_#'s"/>
      <sheetName val="final_estimate"/>
      <sheetName val="Sheet_1"/>
      <sheetName val="STAFFSCHED_"/>
      <sheetName val="BOQ_"/>
      <sheetName val="PA-_Consutant_"/>
      <sheetName val="Bill_1-BOQ-Civil_Works"/>
      <sheetName val="Site_Dev_BOQ"/>
      <sheetName val="HT_WORKS_PART-A"/>
      <sheetName val="MN_T_B_2"/>
      <sheetName val="GEN_REQ"/>
      <sheetName val="SD_and_START_UP"/>
      <sheetName val="PRECAST_lightconc_II"/>
      <sheetName val="Rate_analysis"/>
      <sheetName val="PCS_DATA"/>
      <sheetName val="Major_Qty_"/>
      <sheetName val="SPT_vs_PHI"/>
      <sheetName val="A_class_reconciliation"/>
      <sheetName val="Shuttering_consumables"/>
      <sheetName val="B_&amp;_C_class_items_"/>
      <sheetName val="RCC,Ret. Wall"/>
      <sheetName val="02"/>
      <sheetName val="03"/>
      <sheetName val="04"/>
      <sheetName val="01"/>
      <sheetName val="Material List "/>
      <sheetName val="07016, Master List-Major Minor"/>
      <sheetName val="월선수금"/>
      <sheetName val="Old"/>
      <sheetName val="Introduction"/>
      <sheetName val="Sheet3"/>
      <sheetName val="Operating Statistics"/>
      <sheetName val="#REF"/>
      <sheetName val="Financials"/>
      <sheetName val="Input"/>
      <sheetName val="escon"/>
      <sheetName val="PLANT"/>
      <sheetName val="INSTRUMENT"/>
      <sheetName val="SpecITEM"/>
      <sheetName val="LINE_Sc"/>
      <sheetName val="MOTOR"/>
      <sheetName val="Materials "/>
      <sheetName val="Labour"/>
      <sheetName val="MAchinery(R1)"/>
      <sheetName val="PrintManager"/>
      <sheetName val="Assumption"/>
      <sheetName val="hist&amp;proj"/>
      <sheetName val="SITE OVERHEADS"/>
      <sheetName val="list"/>
      <sheetName val="CivilOld"/>
      <sheetName val="RA BILL"/>
      <sheetName val="Balustrade"/>
      <sheetName val="office"/>
      <sheetName val="Lab"/>
      <sheetName val="ABS_Sec C"/>
      <sheetName val="CONC. &amp; STEEL - PILES"/>
      <sheetName val="WS RA"/>
      <sheetName val="labour coeff"/>
      <sheetName val="B.O.Q 04-05-07"/>
      <sheetName val="BLK2"/>
      <sheetName val="BLK3"/>
      <sheetName val="E &amp; R"/>
      <sheetName val="radar"/>
      <sheetName val="UG"/>
      <sheetName val="Core Data"/>
      <sheetName val="Cement"/>
      <sheetName val="Site facilities"/>
      <sheetName val="Ins &amp; Bonds"/>
      <sheetName val="Clients Requirements"/>
      <sheetName val="concrete"/>
      <sheetName val="beam-reinft-IIInd floor"/>
      <sheetName val="IO List"/>
      <sheetName val="FORM7"/>
      <sheetName val="MAT.8.1"/>
      <sheetName val="BOQ DG BQ PP"/>
      <sheetName val="RA"/>
      <sheetName val="COST"/>
      <sheetName val="dBase"/>
      <sheetName val="Sheet1"/>
      <sheetName val="PPA Summary"/>
      <sheetName val="Voucher"/>
      <sheetName val="Data"/>
      <sheetName val=" "/>
      <sheetName val="A.O.R."/>
      <sheetName val="FitOutConfCentre"/>
      <sheetName val="STOCKWTG"/>
      <sheetName val="Sales &amp; Prod"/>
      <sheetName val="Mat_Cost"/>
      <sheetName val="TBAL9697 -group wise  sdpl"/>
      <sheetName val="pri-com"/>
      <sheetName val="Main-Material"/>
      <sheetName val="Structure Bills Qty"/>
      <sheetName val="S1BOQ"/>
      <sheetName val="costing_ESDV"/>
      <sheetName val="costing_FE"/>
      <sheetName val="costing_Misc"/>
      <sheetName val="costing_MOV"/>
      <sheetName val="costing_Press"/>
      <sheetName val="Cash Flow Working"/>
      <sheetName val="foot-slab reinft"/>
      <sheetName val="key dates"/>
      <sheetName val="Actuals"/>
      <sheetName val="Parameter"/>
      <sheetName val="1_Project_Profile"/>
      <sheetName val="Evaluate"/>
      <sheetName val="BOQ LT"/>
      <sheetName val="Config"/>
      <sheetName val="Break Dw"/>
      <sheetName val="Dimensions"/>
      <sheetName val="crews"/>
      <sheetName val="Lead"/>
      <sheetName val="ETC Plant Cost"/>
      <sheetName val="공사비집계"/>
      <sheetName val="Estimation"/>
      <sheetName val="Fee Rate Summary"/>
      <sheetName val="C23"/>
      <sheetName val="31st_Oct"/>
      <sheetName val="01st_Nov"/>
      <sheetName val="CABLE DATA"/>
      <sheetName val="Basement"/>
      <sheetName val="External HT"/>
      <sheetName val="External LT"/>
      <sheetName val="Assmpn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Meas__Hotel Part"/>
      <sheetName val="Inputs"/>
      <sheetName val="Data Input"/>
      <sheetName val="Ass4"/>
      <sheetName val="DCF"/>
      <sheetName val="Key Ass"/>
      <sheetName val="WORKING boq"/>
      <sheetName val="S3 - Summary"/>
      <sheetName val="Chennai"/>
      <sheetName val="Phasing"/>
      <sheetName val="Shuttering costing-Annex-IV"/>
      <sheetName val="Detail In Door Stad"/>
      <sheetName val="upa"/>
      <sheetName val="Sqn_Abs"/>
      <sheetName val="New33KVSS_E3"/>
      <sheetName val="Prop aug of Ex 33KVSS_E3a"/>
      <sheetName val="Qty SR"/>
      <sheetName val="Model"/>
      <sheetName val="CONSTRUCTION COMPONENT"/>
      <sheetName val="Cover"/>
      <sheetName val="LCS SCHEDULE "/>
      <sheetName val="Eqpmnt Plng"/>
      <sheetName val="Area Statement _ OPTION C"/>
      <sheetName val="activit-graph  "/>
      <sheetName val="Driveway Beams"/>
      <sheetName val="BOQ_Direct_selling cost"/>
      <sheetName val="CAHD"/>
      <sheetName val="ivy G"/>
      <sheetName val="Cheque Receipt"/>
      <sheetName val="RDPL"/>
      <sheetName val="factor sheet"/>
      <sheetName val="Footings"/>
      <sheetName val="Mat.Cost"/>
      <sheetName val="VCH-SLC"/>
      <sheetName val="Supplier"/>
      <sheetName val="BFS"/>
      <sheetName val="Break up Sheet"/>
      <sheetName val="Break_Up (bc)"/>
      <sheetName val="Break_Up (bc1)"/>
      <sheetName val="Break_Up (bc2)"/>
      <sheetName val="MH Compensate-Nov"/>
      <sheetName val="India F&amp;S Template"/>
      <sheetName val="Detail"/>
      <sheetName val="Factor_sheet"/>
      <sheetName val="Estimate for approval"/>
      <sheetName val="BLOCK-A (MEA.SHEET)"/>
      <sheetName val="sheet6"/>
      <sheetName val="Abstract"/>
      <sheetName val="Summe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INDIGINEOUS ITEMS "/>
      <sheetName val="MASTER_RATE ANALYSIS"/>
      <sheetName val="intr stool brkup"/>
      <sheetName val="Fire Fighting Abs"/>
      <sheetName val="BOQ"/>
      <sheetName val="Cal"/>
      <sheetName val="Data"/>
      <sheetName val="Voucher"/>
      <sheetName val="Booking Form"/>
      <sheetName val="Site Dev BOQ"/>
      <sheetName val="loadcal"/>
      <sheetName val="Material "/>
      <sheetName val="Intro"/>
      <sheetName val="Labour &amp; Plant"/>
      <sheetName val="Balustrade"/>
      <sheetName val="Detail"/>
      <sheetName val="EST-CIVIL"/>
      <sheetName val="CFForecast detail"/>
      <sheetName val="HEAD"/>
      <sheetName val="재1"/>
      <sheetName val="Report"/>
      <sheetName val="Design"/>
      <sheetName val="beam-reinft"/>
      <sheetName val="Break up Sheet"/>
      <sheetName val="Basement Budget"/>
      <sheetName val="analysis"/>
      <sheetName val="fco"/>
      <sheetName val="Erection grider"/>
      <sheetName val="LOCAL RATES"/>
      <sheetName val="concrete"/>
      <sheetName val="Abstract Sheet"/>
      <sheetName val="horizontal"/>
      <sheetName val="Staircase-All Floors"/>
      <sheetName val="IO LIST"/>
      <sheetName val="INPUT SHEET"/>
      <sheetName val="Extra Item"/>
      <sheetName val="RES-PLANNING"/>
      <sheetName val="Outgoing"/>
      <sheetName val="Incoming"/>
      <sheetName val="RA"/>
      <sheetName val="RA-markate"/>
      <sheetName val="GBW"/>
      <sheetName val="Set"/>
      <sheetName val="Macro1"/>
      <sheetName val="DSLP"/>
      <sheetName val="RCC,Ret. Wall"/>
      <sheetName val="PHE"/>
      <sheetName val="girder"/>
      <sheetName val="S &amp; A"/>
      <sheetName val="Base data Security Procedures"/>
      <sheetName val="3"/>
      <sheetName val="Rate Analysis"/>
      <sheetName val="PLANT"/>
      <sheetName val="INSTRUMENT"/>
      <sheetName val="SpecITEM"/>
      <sheetName val="LINE_Sc"/>
      <sheetName val="MOTOR"/>
      <sheetName val="Sheet1"/>
      <sheetName val="FY00Budget info"/>
      <sheetName val="pivot"/>
      <sheetName val="GF Columns"/>
      <sheetName val="월선수금"/>
      <sheetName val="Timesheet"/>
      <sheetName val="INDEX"/>
      <sheetName val="AREAS"/>
      <sheetName val="BLOCK-A (MEA.SHEET)"/>
      <sheetName val="PPA Summary"/>
      <sheetName val="sq ftg detail"/>
      <sheetName val="lookup"/>
      <sheetName val="電気設備表"/>
      <sheetName val="HPL"/>
      <sheetName val="Msht 5F"/>
      <sheetName val="INDIGINEOUS_ITEMS_"/>
      <sheetName val="Booking_Form"/>
      <sheetName val="Site_Dev_BOQ"/>
      <sheetName val="Material_"/>
      <sheetName val="Labour_&amp;_Plant"/>
      <sheetName val="CFForecast_detail"/>
      <sheetName val="Break_up_Sheet"/>
      <sheetName val="Basement_Budget"/>
      <sheetName val="Erection_grider"/>
      <sheetName val="LOCAL_RATES"/>
      <sheetName val="Staircase-All_Floors"/>
      <sheetName val="IO_LIST"/>
      <sheetName val="INPUT_SHEET"/>
      <sheetName val="Extra_Item"/>
      <sheetName val="Abstract_Sheet"/>
      <sheetName val="MASTER_RATE_ANALYSIS"/>
      <sheetName val="Site_Dev_BOQ1"/>
      <sheetName val="INDIGINEOUS_ITEMS_1"/>
      <sheetName val="MASTER_RATE_ANALYSIS1"/>
      <sheetName val="Booking_Form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PRECAST lightconc-II"/>
      <sheetName val="Fin. Assumpt. - Sensitivities"/>
      <sheetName val="CASHFLOWS"/>
      <sheetName val="SUMMARY"/>
      <sheetName val="Sheet2"/>
      <sheetName val="Meas.-Hotel Part"/>
      <sheetName val="RA_markate"/>
      <sheetName val="INDIGINEOUS_ITEMS_2"/>
      <sheetName val="MASTER_RATE_ANALYSIS2"/>
      <sheetName val="intr_stool_brkup"/>
      <sheetName val="Fire_Fighting_Abs"/>
      <sheetName val="Booking_Form2"/>
      <sheetName val="Site_Dev_BOQ2"/>
      <sheetName val="Material_2"/>
      <sheetName val="Labour_&amp;_Plant2"/>
      <sheetName val="CFForecast_detail2"/>
      <sheetName val="Break_up_Sheet2"/>
      <sheetName val="Basement_Budget2"/>
      <sheetName val="Erection_grider2"/>
      <sheetName val="LOCAL_RATES2"/>
      <sheetName val="Abstract_Sheet2"/>
      <sheetName val="Staircase-All_Floors2"/>
      <sheetName val="IO_LIST2"/>
      <sheetName val="INPUT_SHEET2"/>
      <sheetName val="Extra_Item2"/>
      <sheetName val="RCC,Ret__Wall"/>
      <sheetName val="S_&amp;_A"/>
      <sheetName val="Base_data_Security_Procedures"/>
      <sheetName val="Rate_Analysis"/>
      <sheetName val="FY00Budget_info"/>
      <sheetName val="GF_Columns"/>
      <sheetName val="BLOCK-A_(MEA_SHEET)"/>
      <sheetName val="PPA_Summary"/>
      <sheetName val="sq_ftg_detail"/>
      <sheetName val="Msht_5F"/>
      <sheetName val="PRECAST_lightconc-II"/>
      <sheetName val="Fin__Assumpt__-_Sensitivities"/>
      <sheetName val="Material List "/>
      <sheetName val="Ass4"/>
      <sheetName val="DCF"/>
      <sheetName val="Key Ass"/>
      <sheetName val="PRELIM5"/>
      <sheetName val="SOR"/>
      <sheetName val="Sch. Areas"/>
      <sheetName val="2.0 Floor Area Summary"/>
      <sheetName val=" B1"/>
      <sheetName val="jobhist"/>
      <sheetName val="XREF"/>
      <sheetName val="Code"/>
      <sheetName val="Fill this out first..."/>
      <sheetName val="electr_ work CA "/>
      <sheetName val="meas-wp"/>
      <sheetName val="환율"/>
      <sheetName val="BHANDUP"/>
      <sheetName val="LIST OF MAKES"/>
      <sheetName val="X rate"/>
      <sheetName val="Fee Rate Summary"/>
      <sheetName val="CivilOld"/>
      <sheetName val="SPT vs PHI"/>
      <sheetName val="Electrical"/>
      <sheetName val="Sheet14"/>
      <sheetName val="Sheet15"/>
      <sheetName val="Estimation"/>
      <sheetName val="GVL"/>
      <sheetName val="Cost summary"/>
      <sheetName val="Msht-Int-Msht-GF"/>
      <sheetName val="Überblick"/>
      <sheetName val="GN_ST_10"/>
      <sheetName val="Estimate"/>
      <sheetName val="A-General"/>
      <sheetName val="PROG_DATA"/>
      <sheetName val="EST_CIVIL"/>
      <sheetName val="Beam at Ground flr lvl(Steel)"/>
      <sheetName val="Shuttering costing-Annex-IV"/>
      <sheetName val="SB - reinf"/>
      <sheetName val="Format F-8 (T-05)"/>
      <sheetName val="rc01"/>
      <sheetName val="TBAL9697 -group wise  sdpl"/>
      <sheetName val="G.1-AV SYSTEM"/>
      <sheetName val="Basic"/>
      <sheetName val="sheeet7"/>
      <sheetName val="PANEL ANNEXURE"/>
      <sheetName val="ACS(1)"/>
      <sheetName val="FAS-C(4)"/>
      <sheetName val="CCTV(old)"/>
      <sheetName val="협조전"/>
      <sheetName val="Hardware"/>
      <sheetName val="대외공문"/>
      <sheetName val="Internal"/>
      <sheetName val="HDPE-pipe-rates"/>
      <sheetName val="pvc-pipe-rates"/>
      <sheetName val="Booking_Form3"/>
      <sheetName val="Cost_summary"/>
      <sheetName val="p&amp;m"/>
      <sheetName val="factors"/>
      <sheetName val="ABB"/>
      <sheetName val="Current Bill MB r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Words"/>
      <sheetName val="opd"/>
      <sheetName val="SITE OVERHEADS"/>
      <sheetName val="05. BUDGET"/>
      <sheetName val="Cement"/>
      <sheetName val="2gii"/>
      <sheetName val="BLK2"/>
      <sheetName val="BLK3"/>
      <sheetName val="E &amp; R"/>
      <sheetName val="Labour Rate "/>
      <sheetName val="(M+L)"/>
      <sheetName val="radar"/>
      <sheetName val="UG"/>
      <sheetName val="MN T.B."/>
      <sheetName val="SILICATE"/>
      <sheetName val="Bill 3 - Site Works"/>
      <sheetName val="except wiring"/>
      <sheetName val="Pay_Sep06"/>
      <sheetName val="co_5"/>
      <sheetName val="Assumptions"/>
      <sheetName val="CONC. &amp; STEEL - PILES"/>
      <sheetName val="BookingForm jcs"/>
      <sheetName val="M-Book_for_Conc"/>
      <sheetName val="M-Book_for_FW"/>
      <sheetName val="공사비 내역 (가)"/>
      <sheetName val="Fin Sum"/>
      <sheetName val="BFS"/>
      <sheetName val="KALK"/>
      <sheetName val="int. pla."/>
      <sheetName val="final abstract"/>
      <sheetName val="Summ"/>
      <sheetName val="Model"/>
      <sheetName val="RateAnalysis"/>
      <sheetName val="Next Weeks Plan"/>
      <sheetName val="Site facilities"/>
      <sheetName val="Ins &amp; Bonds"/>
      <sheetName val="Clients Requirements"/>
      <sheetName val="labour coeff"/>
      <sheetName val="98Price"/>
      <sheetName val="SP Break Up"/>
      <sheetName val="starter"/>
      <sheetName val="ABBR"/>
      <sheetName val="PRICE COMP"/>
      <sheetName val="sept-plan"/>
      <sheetName val="F1a-Pile"/>
      <sheetName val="Bill 1"/>
      <sheetName val="Bill 2"/>
      <sheetName val="Bill 3"/>
      <sheetName val="Bill 4"/>
      <sheetName val="Bill 5"/>
      <sheetName val="Bill 6"/>
      <sheetName val="Bill 7"/>
      <sheetName val="Data sheet"/>
      <sheetName val="pri-com"/>
      <sheetName val="S1BOQ"/>
      <sheetName val="Demand"/>
      <sheetName val="Occ"/>
      <sheetName val="10. &amp; 11. Rate Code &amp; BQ"/>
      <sheetName val="Riser-1"/>
      <sheetName val="Variables_x"/>
      <sheetName val="System"/>
      <sheetName val="Form 6"/>
      <sheetName val="A"/>
      <sheetName val="Malaysia incl. RET"/>
      <sheetName val="costing_ESDV"/>
      <sheetName val="costing_Misc"/>
      <sheetName val="costing_MOV"/>
      <sheetName val="costing_Press"/>
      <sheetName val="Approved MTD Proj #'s"/>
      <sheetName val="SPILL OVER"/>
      <sheetName val="gen"/>
      <sheetName val="beam-reinft-machine rm"/>
      <sheetName val="Groupings-final"/>
      <sheetName val="Sched"/>
      <sheetName val="Trial"/>
      <sheetName val="FA_Final"/>
      <sheetName val="Lead"/>
      <sheetName val="RCC Rates"/>
      <sheetName val="Project Budget Worksheet"/>
      <sheetName val="AOR"/>
      <sheetName val="A.O.R."/>
      <sheetName val="hist&amp;proj"/>
      <sheetName val="REVENUES &amp; BS"/>
      <sheetName val="Sch-3"/>
      <sheetName val="1st -vpd"/>
      <sheetName val="Tender Summary"/>
      <sheetName val="Labour"/>
      <sheetName val="CONNECT"/>
      <sheetName val="I-BEAM-BASE-SLAB(0-1)"/>
      <sheetName val="I-BEAM-(PLINTH)"/>
      <sheetName val="Main-Material"/>
      <sheetName val="PLAN_FEB97"/>
      <sheetName val="Staff Acco."/>
      <sheetName val="SCHEDULE"/>
      <sheetName val="INPUT (BPL)"/>
      <sheetName val="BLOCK_A _MEA_SHEET_"/>
      <sheetName val="FORM7"/>
      <sheetName val="QS Name"/>
      <sheetName val="PRICE-COMP"/>
      <sheetName val="Equipment List (Process)"/>
      <sheetName val="hdpe weights"/>
      <sheetName val="PVC weights"/>
      <sheetName val="GE"/>
      <sheetName val="Internet"/>
      <sheetName val="beam-reinft-IIInd floor"/>
      <sheetName val="sheet6"/>
      <sheetName val="dBase"/>
      <sheetName val="Builtup Area"/>
      <sheetName val="Field Values"/>
      <sheetName val="Price Comparison"/>
      <sheetName val="Exc"/>
      <sheetName val="RCC"/>
      <sheetName val="BOQ Distribution"/>
      <sheetName val="costing_FE"/>
      <sheetName val="WING - A RAFT (23-08-09)"/>
      <sheetName val="Civil Works"/>
      <sheetName val="CAHD"/>
      <sheetName val="ivy G"/>
      <sheetName val="Cheque Receipt"/>
      <sheetName val="RDPL"/>
      <sheetName val="HWDG"/>
      <sheetName val="dyes"/>
      <sheetName val="Sales &amp; Prod"/>
      <sheetName val="Sheet3"/>
      <sheetName val="UTILITY"/>
      <sheetName val="OHT_Abs"/>
      <sheetName val="BOQ-Civil"/>
      <sheetName val="Cable-data"/>
      <sheetName val="M.S."/>
      <sheetName val="Boiler&amp;TG"/>
      <sheetName val="Block A - BOQ"/>
      <sheetName val="CABLE DATA"/>
      <sheetName val="Sheet3 (2)"/>
      <sheetName val="Basic Rates"/>
      <sheetName val="keyword"/>
      <sheetName val="labour rates"/>
      <sheetName val="collections plan 0401"/>
      <sheetName val="sqn_ldr_3 Unit_2_"/>
      <sheetName val="NEW-PANEL"/>
      <sheetName val="20_002"/>
      <sheetName val="Customize Your Invoice"/>
      <sheetName val="CONSTRUCTION COMPONENT"/>
      <sheetName val="Cat A Change Control"/>
      <sheetName val="Costing"/>
      <sheetName val="Mat_Cost"/>
      <sheetName val="External"/>
      <sheetName val="SUPPLY -Sanitary Fixtures"/>
      <sheetName val="ITEMS FOR CIVIL TENDER"/>
      <sheetName val="Detail In Door Stad"/>
      <sheetName val="Top Sheet-Civil-Revised"/>
      <sheetName val="Material_List_"/>
      <sheetName val="Key_Ass"/>
      <sheetName val="Sch__Areas"/>
      <sheetName val="2_0_Floor_Area_Summary"/>
      <sheetName val="_B1"/>
      <sheetName val="Fill_this_out_first___"/>
      <sheetName val="electr__work_CA_"/>
      <sheetName val="Bill_3_-_Site_Works"/>
      <sheetName val="except_wiring"/>
      <sheetName val="SPT_vs_PHI"/>
      <sheetName val="Meas_-Hotel_Part"/>
      <sheetName val="MN_T_B_"/>
      <sheetName val="E_&amp;_R"/>
      <sheetName val="Labour_Rate_"/>
      <sheetName val="X_rate"/>
      <sheetName val="final_abstract"/>
      <sheetName val="05__BUDGET"/>
      <sheetName val="SITE_OVERHEADS"/>
      <sheetName val="ISSUES"/>
      <sheetName val="pol-6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LOCK-A (MEA.SHEET)"/>
      <sheetName val="BLOCK_A _MEA_SHEET_"/>
      <sheetName val="Headings"/>
      <sheetName val="intr stool brkup"/>
      <sheetName val="Design"/>
      <sheetName val="INDIGINEOUS ITEMS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SPT vs PHI"/>
      <sheetName val="Notes"/>
      <sheetName val="IO List"/>
      <sheetName val="Detail"/>
      <sheetName val="FitOutConfCentre"/>
      <sheetName val="Stress Calculation"/>
      <sheetName val="Fill this out first..."/>
      <sheetName val="Summary 0506"/>
      <sheetName val="Summary 0607- 31.MAR"/>
      <sheetName val="149"/>
      <sheetName val="AutoOpen_Stub_Data"/>
      <sheetName val="SPT_vs_PHI"/>
      <sheetName val="Summary_0506"/>
      <sheetName val="Summary_0607-_31_MAR"/>
      <sheetName val="IO_List"/>
      <sheetName val="Stress_Calculation"/>
      <sheetName val="Fill_this_out_first___"/>
      <sheetName val="1.00"/>
      <sheetName val="BLOCK-A (MEA.SHEET)"/>
      <sheetName val="AutoOpen_Stub_Data1"/>
      <sheetName val="SPT_vs_PHI1"/>
      <sheetName val="IO_List1"/>
      <sheetName val="Stress_Calculation1"/>
      <sheetName val="Fill_this_out_first___1"/>
      <sheetName val="Summary_05061"/>
      <sheetName val="Summary_0607-_31_MAR1"/>
      <sheetName val="1_00"/>
      <sheetName val="BLOCK-A_(MEA_SHEET)"/>
      <sheetName val="PCC"/>
      <sheetName val="B &amp; C class items "/>
      <sheetName val="Admin"/>
      <sheetName val="CH Bud"/>
      <sheetName val="HK Bud"/>
      <sheetName val="PEPL Income"/>
      <sheetName val="Tech Bud"/>
      <sheetName val="wdr bldg"/>
      <sheetName val="intr stool brkup"/>
      <sheetName val="Estimate for approval"/>
      <sheetName val="GN-ST-06(2)(Design Sheet-Ruled)"/>
      <sheetName val="Headings"/>
      <sheetName val="COLUMN"/>
      <sheetName val="M.S."/>
      <sheetName val="pt-cw"/>
      <sheetName val="Boq"/>
      <sheetName val="2gii"/>
      <sheetName val="PRECAST lightconc-II"/>
      <sheetName val="Pur"/>
      <sheetName val="Civil Boq"/>
      <sheetName val="conc-foot-gradeslab"/>
      <sheetName val="Sheet2"/>
      <sheetName val="Citrix"/>
      <sheetName val="Estimate Abstract"/>
      <sheetName val="Structure Bills Qty"/>
      <sheetName val="Analysis"/>
      <sheetName val="Basement Budget"/>
      <sheetName val="AutoOpen_Stub_Data7"/>
      <sheetName val="SPT_vs_PHI7"/>
      <sheetName val="IO_List7"/>
      <sheetName val="Stress_Calculation7"/>
      <sheetName val="Fill_this_out_first___7"/>
      <sheetName val="Summary_05067"/>
      <sheetName val="Summary_0607-_31_MAR7"/>
      <sheetName val="1_006"/>
      <sheetName val="BLOCK-A_(MEA_SHEET)6"/>
      <sheetName val="B_&amp;_C_class_items_5"/>
      <sheetName val="CH_Bud5"/>
      <sheetName val="HK_Bud5"/>
      <sheetName val="PEPL_Income5"/>
      <sheetName val="Tech_Bud5"/>
      <sheetName val="wdr_bldg5"/>
      <sheetName val="intr_stool_brkup5"/>
      <sheetName val="Estimate_for_approval5"/>
      <sheetName val="Estimate_Abstract5"/>
      <sheetName val="GN-ST-06(2)(Design_Sheet-Ruled5"/>
      <sheetName val="M_S_5"/>
      <sheetName val="PRECAST_lightconc-II5"/>
      <sheetName val="Civil_Boq5"/>
      <sheetName val="AutoOpen_Stub_Data5"/>
      <sheetName val="SPT_vs_PHI5"/>
      <sheetName val="IO_List5"/>
      <sheetName val="Stress_Calculation5"/>
      <sheetName val="Fill_this_out_first___5"/>
      <sheetName val="Summary_05065"/>
      <sheetName val="Summary_0607-_31_MAR5"/>
      <sheetName val="1_004"/>
      <sheetName val="BLOCK-A_(MEA_SHEET)4"/>
      <sheetName val="B_&amp;_C_class_items_3"/>
      <sheetName val="CH_Bud3"/>
      <sheetName val="HK_Bud3"/>
      <sheetName val="PEPL_Income3"/>
      <sheetName val="Tech_Bud3"/>
      <sheetName val="wdr_bldg3"/>
      <sheetName val="intr_stool_brkup3"/>
      <sheetName val="Estimate_for_approval3"/>
      <sheetName val="Estimate_Abstract3"/>
      <sheetName val="GN-ST-06(2)(Design_Sheet-Ruled3"/>
      <sheetName val="AutoOpen_Stub_Data4"/>
      <sheetName val="SPT_vs_PHI4"/>
      <sheetName val="IO_List4"/>
      <sheetName val="Stress_Calculation4"/>
      <sheetName val="Fill_this_out_first___4"/>
      <sheetName val="Summary_05064"/>
      <sheetName val="Summary_0607-_31_MAR4"/>
      <sheetName val="1_003"/>
      <sheetName val="BLOCK-A_(MEA_SHEET)3"/>
      <sheetName val="B_&amp;_C_class_items_2"/>
      <sheetName val="CH_Bud2"/>
      <sheetName val="HK_Bud2"/>
      <sheetName val="PEPL_Income2"/>
      <sheetName val="Tech_Bud2"/>
      <sheetName val="wdr_bldg2"/>
      <sheetName val="intr_stool_brkup2"/>
      <sheetName val="Estimate_for_approval2"/>
      <sheetName val="GN-ST-06(2)(Design_Sheet-Ruled2"/>
      <sheetName val="Estimate_Abstract2"/>
      <sheetName val="M_S_2"/>
      <sheetName val="PRECAST_lightconc-II2"/>
      <sheetName val="Civil_Boq2"/>
      <sheetName val="Structure_Bills_Qty2"/>
      <sheetName val="AutoOpen_Stub_Data2"/>
      <sheetName val="SPT_vs_PHI2"/>
      <sheetName val="IO_List2"/>
      <sheetName val="Stress_Calculation2"/>
      <sheetName val="Fill_this_out_first___2"/>
      <sheetName val="Summary_05062"/>
      <sheetName val="Summary_0607-_31_MAR2"/>
      <sheetName val="1_001"/>
      <sheetName val="BLOCK-A_(MEA_SHEET)1"/>
      <sheetName val="B_&amp;_C_class_items_"/>
      <sheetName val="CH_Bud"/>
      <sheetName val="HK_Bud"/>
      <sheetName val="PEPL_Income"/>
      <sheetName val="Tech_Bud"/>
      <sheetName val="wdr_bldg"/>
      <sheetName val="intr_stool_brkup"/>
      <sheetName val="Estimate_for_approval"/>
      <sheetName val="GN-ST-06(2)(Design_Sheet-Ruled)"/>
      <sheetName val="Estimate_Abstract"/>
      <sheetName val="M_S_"/>
      <sheetName val="PRECAST_lightconc-II"/>
      <sheetName val="Civil_Boq"/>
      <sheetName val="Structure_Bills_Qty"/>
      <sheetName val="AutoOpen_Stub_Data3"/>
      <sheetName val="SPT_vs_PHI3"/>
      <sheetName val="IO_List3"/>
      <sheetName val="Stress_Calculation3"/>
      <sheetName val="Fill_this_out_first___3"/>
      <sheetName val="Summary_05063"/>
      <sheetName val="Summary_0607-_31_MAR3"/>
      <sheetName val="1_002"/>
      <sheetName val="BLOCK-A_(MEA_SHEET)2"/>
      <sheetName val="B_&amp;_C_class_items_1"/>
      <sheetName val="CH_Bud1"/>
      <sheetName val="HK_Bud1"/>
      <sheetName val="PEPL_Income1"/>
      <sheetName val="Tech_Bud1"/>
      <sheetName val="wdr_bldg1"/>
      <sheetName val="intr_stool_brkup1"/>
      <sheetName val="Estimate_for_approval1"/>
      <sheetName val="GN-ST-06(2)(Design_Sheet-Ruled1"/>
      <sheetName val="Estimate_Abstract1"/>
      <sheetName val="M_S_1"/>
      <sheetName val="PRECAST_lightconc-II1"/>
      <sheetName val="Civil_Boq1"/>
      <sheetName val="Structure_Bills_Qty1"/>
      <sheetName val="M_S_3"/>
      <sheetName val="PRECAST_lightconc-II3"/>
      <sheetName val="Civil_Boq3"/>
      <sheetName val="Structure_Bills_Qty3"/>
      <sheetName val="AutoOpen_Stub_Data6"/>
      <sheetName val="SPT_vs_PHI6"/>
      <sheetName val="IO_List6"/>
      <sheetName val="Stress_Calculation6"/>
      <sheetName val="Fill_this_out_first___6"/>
      <sheetName val="Summary_05066"/>
      <sheetName val="Summary_0607-_31_MAR6"/>
      <sheetName val="1_005"/>
      <sheetName val="BLOCK-A_(MEA_SHEET)5"/>
      <sheetName val="B_&amp;_C_class_items_4"/>
      <sheetName val="CH_Bud4"/>
      <sheetName val="HK_Bud4"/>
      <sheetName val="PEPL_Income4"/>
      <sheetName val="Tech_Bud4"/>
      <sheetName val="wdr_bldg4"/>
      <sheetName val="intr_stool_brkup4"/>
      <sheetName val="Estimate_for_approval4"/>
      <sheetName val="GN-ST-06(2)(Design_Sheet-Ruled4"/>
      <sheetName val="Estimate_Abstract4"/>
      <sheetName val="M_S_4"/>
      <sheetName val="PRECAST_lightconc-II4"/>
      <sheetName val="Civil_Boq4"/>
      <sheetName val="Structure_Bills_Qty4"/>
      <sheetName val="Structure_Bills_Qty5"/>
      <sheetName val="Column Blk 1"/>
      <sheetName val="Rft Footing Blk 1"/>
      <sheetName val="Beam FF,SF Blk 1"/>
      <sheetName val="Swimming pool"/>
      <sheetName val="Break up Sheet"/>
      <sheetName val="p&amp;m"/>
      <sheetName val="TBAL9697 -group wise  sdpl"/>
      <sheetName val="Data"/>
      <sheetName val="Lead"/>
      <sheetName val="Base"/>
      <sheetName val="EAW Final Accounts - 99"/>
      <sheetName val="Meas.-Hotel Part"/>
      <sheetName val="New May"/>
      <sheetName val="FORM7"/>
      <sheetName val="Costing"/>
      <sheetName val="INPUT SHEET"/>
      <sheetName val="gen"/>
      <sheetName val="ABP inputs"/>
      <sheetName val="Synergy Sales Budget"/>
      <sheetName val="Voucher"/>
      <sheetName val="factors"/>
      <sheetName val="WORK TABLE"/>
      <sheetName val="SCurv (3)"/>
      <sheetName val="Intro"/>
      <sheetName val="SC-E-02-03"/>
      <sheetName val="TB-JUNE-2003-18.7.03"/>
      <sheetName val="Cashflow projection"/>
      <sheetName val="Deprec."/>
      <sheetName val="Extra Item"/>
      <sheetName val="Detail In Door Stad"/>
      <sheetName val="BLK2"/>
      <sheetName val="BLK3"/>
      <sheetName val="E &amp; R"/>
      <sheetName val="radar"/>
      <sheetName val="UG"/>
      <sheetName val="Inc.St.-Link"/>
      <sheetName val="para"/>
      <sheetName val="kppl pl"/>
      <sheetName val="labour coeff"/>
      <sheetName val="oresreqsum"/>
      <sheetName val="Sheet3"/>
      <sheetName val="Sheet1"/>
      <sheetName val="#REF"/>
      <sheetName val="Assumptions"/>
      <sheetName val="girder"/>
      <sheetName val="InputPO_Del"/>
      <sheetName val="final abstract"/>
      <sheetName val="d-safe DELUXE"/>
      <sheetName val="switch"/>
      <sheetName val="basic-data"/>
      <sheetName val="Supplier"/>
      <sheetName val="Basic"/>
      <sheetName val="B1"/>
      <sheetName val="Project Details.."/>
      <sheetName val="Rocker"/>
      <sheetName val="PA- Consutant "/>
      <sheetName val="Builtup Area"/>
      <sheetName val="March Analysts"/>
      <sheetName val="Main-Material"/>
      <sheetName val="RES-PLANNING"/>
      <sheetName val="ORDER BOOKING"/>
      <sheetName val="3. Elemental Summary"/>
      <sheetName val="Desgn(zone I)"/>
      <sheetName val="introduction"/>
      <sheetName val="Rate analysis"/>
      <sheetName val="basdat"/>
      <sheetName val="Pay_Sep06"/>
      <sheetName val="P4-B"/>
      <sheetName val="TASKRSRC (2)"/>
      <sheetName val="TARGET"/>
      <sheetName val="BASELINE"/>
      <sheetName val="Fee Rate Summary"/>
      <sheetName val="CASHFLOWS"/>
      <sheetName val="Summary"/>
      <sheetName val="horizontal"/>
      <sheetName val="concrete"/>
      <sheetName val="beam-reinft-IIInd floor"/>
      <sheetName val="pol-60"/>
      <sheetName val="Door"/>
      <sheetName val="월선수금"/>
      <sheetName val="Material"/>
      <sheetName val="RECAPITULATION"/>
      <sheetName val="RA-markate"/>
      <sheetName val="dummy"/>
      <sheetName val="BOQ_Direct_selling cost"/>
      <sheetName val="Input"/>
      <sheetName val="A-General"/>
      <sheetName val="VIWSCo1"/>
      <sheetName val="LABOUR"/>
      <sheetName val="Staff Acco."/>
      <sheetName val="BOQ (2)"/>
      <sheetName val="factor"/>
      <sheetName val="VCH-SLC"/>
      <sheetName val="07016, Master List-Major Minor"/>
      <sheetName val="GBW"/>
      <sheetName val="WACC Calculation"/>
      <sheetName val="Control"/>
      <sheetName val="currency (2)"/>
      <sheetName val="405"/>
      <sheetName val="427"/>
      <sheetName val="403"/>
      <sheetName val="Basis"/>
      <sheetName val="Ratio"/>
      <sheetName val="S &amp; A"/>
      <sheetName val="calcul"/>
      <sheetName val="Progress"/>
      <sheetName val="Actuals_by_Job"/>
      <sheetName val="Heads_Equiv_QI"/>
      <sheetName val="PT_Heads_SD"/>
      <sheetName val="Month"/>
      <sheetName val="Outlook"/>
      <sheetName val="Macro1"/>
      <sheetName val="Site Dev BOQ"/>
      <sheetName val="MSU"/>
      <sheetName val="MASTER_RATE ANALYSI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WBS"/>
      <sheetName val="currency_(2)"/>
      <sheetName val="Staff_Acco_"/>
      <sheetName val="labour_coeff"/>
      <sheetName val="final_abstract"/>
      <sheetName val="BOQ_(2)"/>
      <sheetName val="Fee_Rate_Summary"/>
      <sheetName val="07016,_Master_List-Major_Minor"/>
      <sheetName val="INPUT_SHEET"/>
      <sheetName val="Site_Dev_BOQ"/>
      <sheetName val="WACC_Calculation"/>
      <sheetName val="Makro1"/>
      <sheetName val="공장별판관비배부"/>
      <sheetName val="India F&amp;S Template"/>
      <sheetName val="FT-05-02IsoBOM"/>
      <sheetName val="A"/>
      <sheetName val="Materials Cost(PCC)"/>
      <sheetName val="list"/>
      <sheetName val="DSLP"/>
      <sheetName val="Vcap1500"/>
      <sheetName val="dlvoid"/>
      <sheetName val="key dates"/>
      <sheetName val="Actuals"/>
      <sheetName val="Material "/>
      <sheetName val="Codes"/>
      <sheetName val="Labour &amp; Plant"/>
      <sheetName val="STAFFSCHED "/>
      <sheetName val="Assumption Inputs"/>
      <sheetName val="3cd Annexure"/>
      <sheetName val="Administrative Prices"/>
      <sheetName val="Debits as on 12.04.08"/>
      <sheetName val="Block A - BOQ"/>
      <sheetName val="Assmpns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PS Rate Working"/>
      <sheetName val="CIVIL Str vise"/>
      <sheetName val="JCR sEP 06 IDC WORKINGS"/>
      <sheetName val="Linked Lead"/>
      <sheetName val="upa"/>
      <sheetName val="Option 159"/>
      <sheetName val="Interpretations (incl piling)"/>
      <sheetName val="Dem"/>
      <sheetName val="PCS DATA"/>
      <sheetName val="CABLERET"/>
      <sheetName val="loadcal"/>
      <sheetName val="Cashflow"/>
      <sheetName val="Process"/>
      <sheetName val="hyperstatic-3"/>
      <sheetName val="ABP_inputs"/>
      <sheetName val="Synergy_Sales_Budget"/>
      <sheetName val="WORK_TABLE"/>
      <sheetName val="SCurv_(3)"/>
      <sheetName val="TBAL9697_-group_wise__sdpl"/>
      <sheetName val="Cashflow_projection"/>
      <sheetName val="Deprec_"/>
      <sheetName val="TB-JUNE-2003-18_7_03"/>
      <sheetName val="Extra_Item"/>
      <sheetName val="E_&amp;_R"/>
      <sheetName val="Detail_In_Door_Stad"/>
      <sheetName val="Inc_St_-Link"/>
      <sheetName val="kppl_pl"/>
      <sheetName val="d-safe_DELUXE"/>
      <sheetName val="Break_up_Sheet"/>
      <sheetName val="Project_Details__"/>
      <sheetName val="ORDER_BOOKING"/>
      <sheetName val="3__Elemental_Summary"/>
      <sheetName val="TASKRSRC_(2)"/>
      <sheetName val="PA-_Consutant_"/>
      <sheetName val="Desgn(zone_I)"/>
      <sheetName val="Rate_analysis"/>
      <sheetName val="beam-reinft-IIInd_floor"/>
      <sheetName val="Materials_Cost(PCC)"/>
      <sheetName val="BOQ_Direct_selling_cost"/>
      <sheetName val="key_dates"/>
      <sheetName val="Material_"/>
      <sheetName val="Labour_&amp;_Plant"/>
      <sheetName val="Assumption_Inputs"/>
      <sheetName val="STAFFSCHED_"/>
      <sheetName val="Administrative_Prices"/>
      <sheetName val="Debits_as_on_12_04_08"/>
      <sheetName val="Block_A_-_BOQ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3cd_Annexure"/>
      <sheetName val="Linked_Lead"/>
      <sheetName val="ABP_inputs1"/>
      <sheetName val="Synergy_Sales_Budget1"/>
      <sheetName val="WORK_TABLE1"/>
      <sheetName val="SCurv_(3)1"/>
      <sheetName val="TBAL9697_-group_wise__sdpl1"/>
      <sheetName val="Cashflow_projection1"/>
      <sheetName val="Deprec_1"/>
      <sheetName val="TB-JUNE-2003-18_7_031"/>
      <sheetName val="Extra_Item1"/>
      <sheetName val="E_&amp;_R1"/>
      <sheetName val="Detail_In_Door_Stad1"/>
      <sheetName val="INPUT_SHEET1"/>
      <sheetName val="Inc_St_-Link1"/>
      <sheetName val="kppl_pl1"/>
      <sheetName val="labour_coeff1"/>
      <sheetName val="final_abstract1"/>
      <sheetName val="d-safe_DELUXE1"/>
      <sheetName val="Break_up_Sheet1"/>
      <sheetName val="Project_Details__1"/>
      <sheetName val="ORDER_BOOKING1"/>
      <sheetName val="3__Elemental_Summary1"/>
      <sheetName val="TASKRSRC_(2)1"/>
      <sheetName val="PA-_Consutant_1"/>
      <sheetName val="Desgn(zone_I)1"/>
      <sheetName val="Rate_analysis1"/>
      <sheetName val="beam-reinft-IIInd_floor1"/>
      <sheetName val="Fee_Rate_Summary1"/>
      <sheetName val="Materials_Cost(PCC)1"/>
      <sheetName val="BOQ_Direct_selling_cost1"/>
      <sheetName val="key_dates1"/>
      <sheetName val="Material_1"/>
      <sheetName val="Labour_&amp;_Plant1"/>
      <sheetName val="Assumption_Inputs1"/>
      <sheetName val="STAFFSCHED_1"/>
      <sheetName val="Administrative_Prices1"/>
      <sheetName val="Debits_as_on_12_04_081"/>
      <sheetName val="Block_A_-_BOQ1"/>
      <sheetName val="Site_Dev_BOQ1"/>
      <sheetName val="JCR_Oct_06_TOP_SHEET1"/>
      <sheetName val="JCR_Oct_06_CIVIL1"/>
      <sheetName val="JCR_Oct_06_MECH1"/>
      <sheetName val="Oct_06_DESI_&amp;SP_CONT1"/>
      <sheetName val="JCR_Oct_06_IDC1"/>
      <sheetName val="Cum_Measure1"/>
      <sheetName val="PS_Rate_Working1"/>
      <sheetName val="CIVIL_Str_vise1"/>
      <sheetName val="JCR_sEP_06_IDC_WORKINGS1"/>
      <sheetName val="3cd_Annexure1"/>
      <sheetName val="Linked_Lead1"/>
      <sheetName val="ABP_inputs2"/>
      <sheetName val="Synergy_Sales_Budget2"/>
      <sheetName val="WORK_TABLE2"/>
      <sheetName val="SCurv_(3)2"/>
      <sheetName val="TBAL9697_-group_wise__sdpl2"/>
      <sheetName val="Cashflow_projection2"/>
      <sheetName val="Deprec_2"/>
      <sheetName val="TB-JUNE-2003-18_7_032"/>
      <sheetName val="Extra_Item2"/>
      <sheetName val="E_&amp;_R2"/>
      <sheetName val="Detail_In_Door_Stad2"/>
      <sheetName val="INPUT_SHEET2"/>
      <sheetName val="Inc_St_-Link2"/>
      <sheetName val="kppl_pl2"/>
      <sheetName val="labour_coeff2"/>
      <sheetName val="final_abstract2"/>
      <sheetName val="d-safe_DELUXE2"/>
      <sheetName val="Break_up_Sheet2"/>
      <sheetName val="Project_Details__2"/>
      <sheetName val="ORDER_BOOKING2"/>
      <sheetName val="3__Elemental_Summary2"/>
      <sheetName val="TASKRSRC_(2)2"/>
      <sheetName val="PA-_Consutant_2"/>
      <sheetName val="Desgn(zone_I)2"/>
      <sheetName val="Rate_analysis2"/>
      <sheetName val="beam-reinft-IIInd_floor2"/>
      <sheetName val="Fee_Rate_Summary2"/>
      <sheetName val="Materials_Cost(PCC)2"/>
      <sheetName val="BOQ_Direct_selling_cost2"/>
      <sheetName val="key_dates2"/>
      <sheetName val="Material_2"/>
      <sheetName val="Labour_&amp;_Plant2"/>
      <sheetName val="Assumption_Inputs2"/>
      <sheetName val="STAFFSCHED_2"/>
      <sheetName val="Administrative_Prices2"/>
      <sheetName val="Debits_as_on_12_04_082"/>
      <sheetName val="Block_A_-_BOQ2"/>
      <sheetName val="Site_Dev_BOQ2"/>
      <sheetName val="JCR_Oct_06_TOP_SHEET2"/>
      <sheetName val="JCR_Oct_06_CIVIL2"/>
      <sheetName val="JCR_Oct_06_MECH2"/>
      <sheetName val="Oct_06_DESI_&amp;SP_CONT2"/>
      <sheetName val="JCR_Oct_06_IDC2"/>
      <sheetName val="Cum_Measure2"/>
      <sheetName val="PS_Rate_Working2"/>
      <sheetName val="CIVIL_Str_vise2"/>
      <sheetName val="JCR_sEP_06_IDC_WORKINGS2"/>
      <sheetName val="3cd_Annexure2"/>
      <sheetName val="Linked_Lead2"/>
      <sheetName val="ABP_inputs3"/>
      <sheetName val="Synergy_Sales_Budget3"/>
      <sheetName val="WORK_TABLE3"/>
      <sheetName val="SCurv_(3)3"/>
      <sheetName val="TBAL9697_-group_wise__sdpl3"/>
      <sheetName val="Cashflow_projection3"/>
      <sheetName val="Deprec_3"/>
      <sheetName val="TB-JUNE-2003-18_7_033"/>
      <sheetName val="Extra_Item3"/>
      <sheetName val="E_&amp;_R3"/>
      <sheetName val="Detail_In_Door_Stad3"/>
      <sheetName val="INPUT_SHEET3"/>
      <sheetName val="Inc_St_-Link3"/>
      <sheetName val="kppl_pl3"/>
      <sheetName val="labour_coeff3"/>
      <sheetName val="final_abstract3"/>
      <sheetName val="d-safe_DELUXE3"/>
      <sheetName val="Break_up_Sheet3"/>
      <sheetName val="Project_Details__3"/>
      <sheetName val="ORDER_BOOKING3"/>
      <sheetName val="3__Elemental_Summary3"/>
      <sheetName val="TASKRSRC_(2)3"/>
      <sheetName val="PA-_Consutant_3"/>
      <sheetName val="Desgn(zone_I)3"/>
      <sheetName val="Rate_analysis3"/>
      <sheetName val="beam-reinft-IIInd_floor3"/>
      <sheetName val="Fee_Rate_Summary3"/>
      <sheetName val="Materials_Cost(PCC)3"/>
      <sheetName val="BOQ_Direct_selling_cost3"/>
      <sheetName val="key_dates3"/>
      <sheetName val="Material_3"/>
      <sheetName val="Labour_&amp;_Plant3"/>
      <sheetName val="Assumption_Inputs3"/>
      <sheetName val="STAFFSCHED_3"/>
      <sheetName val="Administrative_Prices3"/>
      <sheetName val="Debits_as_on_12_04_083"/>
      <sheetName val="Block_A_-_BOQ3"/>
      <sheetName val="Site_Dev_BOQ3"/>
      <sheetName val="JCR_Oct_06_TOP_SHEET3"/>
      <sheetName val="JCR_Oct_06_CIVIL3"/>
      <sheetName val="JCR_Oct_06_MECH3"/>
      <sheetName val="Oct_06_DESI_&amp;SP_CONT3"/>
      <sheetName val="JCR_Oct_06_IDC3"/>
      <sheetName val="Cum_Measure3"/>
      <sheetName val="PS_Rate_Working3"/>
      <sheetName val="CIVIL_Str_vise3"/>
      <sheetName val="JCR_sEP_06_IDC_WORKINGS3"/>
      <sheetName val="3cd_Annexure3"/>
      <sheetName val="Linked_Lead3"/>
      <sheetName val="ABP_inputs4"/>
      <sheetName val="Synergy_Sales_Budget4"/>
      <sheetName val="WORK_TABLE4"/>
      <sheetName val="SCurv_(3)4"/>
      <sheetName val="TBAL9697_-group_wise__sdpl4"/>
      <sheetName val="Cashflow_projection4"/>
      <sheetName val="Deprec_4"/>
      <sheetName val="TB-JUNE-2003-18_7_034"/>
      <sheetName val="Extra_Item4"/>
      <sheetName val="E_&amp;_R4"/>
      <sheetName val="Detail_In_Door_Stad4"/>
      <sheetName val="INPUT_SHEET4"/>
      <sheetName val="Inc_St_-Link4"/>
      <sheetName val="kppl_pl4"/>
      <sheetName val="labour_coeff4"/>
      <sheetName val="final_abstract4"/>
      <sheetName val="d-safe_DELUXE4"/>
      <sheetName val="Break_up_Sheet4"/>
      <sheetName val="Project_Details__4"/>
      <sheetName val="ORDER_BOOKING4"/>
      <sheetName val="3__Elemental_Summary4"/>
      <sheetName val="TASKRSRC_(2)4"/>
      <sheetName val="PA-_Consutant_4"/>
      <sheetName val="Desgn(zone_I)4"/>
      <sheetName val="Rate_analysis4"/>
      <sheetName val="beam-reinft-IIInd_floor4"/>
      <sheetName val="Fee_Rate_Summary4"/>
      <sheetName val="Materials_Cost(PCC)4"/>
      <sheetName val="BOQ_Direct_selling_cost4"/>
      <sheetName val="key_dates4"/>
      <sheetName val="Material_4"/>
      <sheetName val="Labour_&amp;_Plant4"/>
      <sheetName val="Assumption_Inputs4"/>
      <sheetName val="STAFFSCHED_4"/>
      <sheetName val="Administrative_Prices4"/>
      <sheetName val="Debits_as_on_12_04_084"/>
      <sheetName val="Block_A_-_BOQ4"/>
      <sheetName val="Site_Dev_BOQ4"/>
      <sheetName val="JCR_Oct_06_TOP_SHEET4"/>
      <sheetName val="JCR_Oct_06_CIVIL4"/>
      <sheetName val="JCR_Oct_06_MECH4"/>
      <sheetName val="Oct_06_DESI_&amp;SP_CONT4"/>
      <sheetName val="JCR_Oct_06_IDC4"/>
      <sheetName val="Cum_Measure4"/>
      <sheetName val="PS_Rate_Working4"/>
      <sheetName val="CIVIL_Str_vise4"/>
      <sheetName val="JCR_sEP_06_IDC_WORKINGS4"/>
      <sheetName val="3cd_Annexure4"/>
      <sheetName val="Linked_Lead4"/>
      <sheetName val="ABP_inputs5"/>
      <sheetName val="Synergy_Sales_Budget5"/>
      <sheetName val="WORK_TABLE5"/>
      <sheetName val="SCurv_(3)5"/>
      <sheetName val="RATIOS"/>
      <sheetName val="TBAL9697_-group_wise__sdpl5"/>
      <sheetName val="Cashflow_projection5"/>
      <sheetName val="Deprec_5"/>
      <sheetName val="TB-JUNE-2003-18_7_035"/>
      <sheetName val="Extra_Item5"/>
      <sheetName val="E_&amp;_R5"/>
      <sheetName val="Detail_In_Door_Stad5"/>
      <sheetName val="INPUT_SHEET5"/>
      <sheetName val="Inc_St_-Link5"/>
      <sheetName val="kppl_pl5"/>
      <sheetName val="labour_coeff5"/>
      <sheetName val="final_abstract5"/>
      <sheetName val="d-safe_DELUXE5"/>
      <sheetName val="Break_up_Sheet5"/>
      <sheetName val="Project_Details__5"/>
      <sheetName val="ORDER_BOOKING5"/>
      <sheetName val="3__Elemental_Summary5"/>
      <sheetName val="TASKRSRC_(2)5"/>
      <sheetName val="PA-_Consutant_5"/>
      <sheetName val="Desgn(zone_I)5"/>
      <sheetName val="Rate_analysis5"/>
      <sheetName val="beam-reinft-IIInd_floor5"/>
      <sheetName val="Fee_Rate_Summary5"/>
      <sheetName val="Materials_Cost(PCC)5"/>
      <sheetName val="BOQ_Direct_selling_cost5"/>
      <sheetName val="key_dates5"/>
      <sheetName val="Material_5"/>
      <sheetName val="Labour_&amp;_Plant5"/>
      <sheetName val="Assumption_Inputs5"/>
      <sheetName val="STAFFSCHED_5"/>
      <sheetName val="Administrative_Prices5"/>
      <sheetName val="Debits_as_on_12_04_085"/>
      <sheetName val="Block_A_-_BOQ5"/>
      <sheetName val="Site_Dev_BOQ5"/>
      <sheetName val="JCR_Oct_06_TOP_SHEET5"/>
      <sheetName val="JCR_Oct_06_CIVIL5"/>
      <sheetName val="JCR_Oct_06_MECH5"/>
      <sheetName val="Oct_06_DESI_&amp;SP_CONT5"/>
      <sheetName val="JCR_Oct_06_IDC5"/>
      <sheetName val="Cum_Measure5"/>
      <sheetName val="PS_Rate_Working5"/>
      <sheetName val="CIVIL_Str_vise5"/>
      <sheetName val="JCR_sEP_06_IDC_WORKINGS5"/>
      <sheetName val="3cd_Annexure5"/>
      <sheetName val="Linked_Lead5"/>
      <sheetName val="ABP_inputs6"/>
      <sheetName val="Synergy_Sales_Budget6"/>
      <sheetName val="WORK_TABLE6"/>
      <sheetName val="SCurv_(3)6"/>
      <sheetName val="TBAL9697_-group_wise__sdpl6"/>
      <sheetName val="GN-ST-06(2)(Design_Sheet-Ruled6"/>
      <sheetName val="Cashflow_projection6"/>
      <sheetName val="Deprec_6"/>
      <sheetName val="TB-JUNE-2003-18_7_036"/>
      <sheetName val="Extra_Item6"/>
      <sheetName val="E_&amp;_R6"/>
      <sheetName val="Detail_In_Door_Stad6"/>
      <sheetName val="INPUT_SHEET6"/>
      <sheetName val="Inc_St_-Link6"/>
      <sheetName val="kppl_pl6"/>
      <sheetName val="PRECAST_lightconc-II6"/>
      <sheetName val="labour_coeff6"/>
      <sheetName val="final_abstract6"/>
      <sheetName val="d-safe_DELUXE6"/>
      <sheetName val="Break_up_Sheet6"/>
      <sheetName val="Project_Details__6"/>
      <sheetName val="ORDER_BOOKING6"/>
      <sheetName val="3__Elemental_Summary6"/>
      <sheetName val="TASKRSRC_(2)6"/>
      <sheetName val="PA-_Consutant_6"/>
      <sheetName val="Desgn(zone_I)6"/>
      <sheetName val="Rate_analysis6"/>
      <sheetName val="beam-reinft-IIInd_floor6"/>
      <sheetName val="Fee_Rate_Summary6"/>
      <sheetName val="Materials_Cost(PCC)6"/>
      <sheetName val="BOQ_Direct_selling_cost6"/>
      <sheetName val="key_dates6"/>
      <sheetName val="M_S_6"/>
      <sheetName val="Material_6"/>
      <sheetName val="Labour_&amp;_Plant6"/>
      <sheetName val="Assumption_Inputs6"/>
      <sheetName val="STAFFSCHED_6"/>
      <sheetName val="Administrative_Prices6"/>
      <sheetName val="Debits_as_on_12_04_086"/>
      <sheetName val="Block_A_-_BOQ6"/>
      <sheetName val="Site_Dev_BOQ6"/>
      <sheetName val="JCR_Oct_06_TOP_SHEET6"/>
      <sheetName val="JCR_Oct_06_CIVIL6"/>
      <sheetName val="JCR_Oct_06_MECH6"/>
      <sheetName val="Oct_06_DESI_&amp;SP_CONT6"/>
      <sheetName val="JCR_Oct_06_IDC6"/>
      <sheetName val="Cum_Measure6"/>
      <sheetName val="PS_Rate_Working6"/>
      <sheetName val="CIVIL_Str_vise6"/>
      <sheetName val="JCR_sEP_06_IDC_WORKINGS6"/>
      <sheetName val="Civil_Boq6"/>
      <sheetName val="3cd_Annexure6"/>
      <sheetName val="Linked_Lead6"/>
      <sheetName val="MORGACTS"/>
      <sheetName val="jobhist"/>
      <sheetName val="Break_Up (bc)"/>
      <sheetName val="Break_Up (bc1)"/>
      <sheetName val="Break_Up (bc2)"/>
      <sheetName val="98Price"/>
      <sheetName val="Detail 1A"/>
      <sheetName val="Rate"/>
      <sheetName val="BOQ-Part1"/>
      <sheetName val="Project Budget Worksheet"/>
      <sheetName val="budget"/>
      <sheetName val="Abstract"/>
      <sheetName val="RA_markate"/>
      <sheetName val="MG"/>
      <sheetName val="P&amp;L-BDMC"/>
      <sheetName val="Occ, Other Rev, Exp, Dispo"/>
      <sheetName val="DetEst"/>
      <sheetName val="Pay_Sep"/>
      <sheetName val="9. Package split - Cost "/>
      <sheetName val="Basic Rates"/>
      <sheetName val="grid"/>
      <sheetName val="col-reinft1"/>
      <sheetName val="office"/>
      <sheetName val="Lab"/>
      <sheetName val="CABLE DATA"/>
      <sheetName val="Cable-data"/>
      <sheetName val="Ave.wtd.rates"/>
      <sheetName val="ANNX - I ( a )"/>
      <sheetName val="Flooring"/>
      <sheetName val="Ceilings"/>
      <sheetName val="ACAD Finishes"/>
      <sheetName val="Measurements"/>
      <sheetName val="Chair"/>
      <sheetName val="Doors"/>
      <sheetName val="Estimate"/>
      <sheetName val="Tables"/>
      <sheetName val="Site Details"/>
      <sheetName val="Legend"/>
      <sheetName val="Materials Cost"/>
      <sheetName val="Sheet7"/>
      <sheetName val="Legal Risk Analysis"/>
      <sheetName val="sept-plan"/>
      <sheetName val="water prop."/>
      <sheetName val="한계원가"/>
      <sheetName val="LIST OF MAKES"/>
      <sheetName val="cubes_M20"/>
      <sheetName val="Boq - Flats"/>
      <sheetName val="Bill 3 - Site Works"/>
      <sheetName val="Form 6"/>
      <sheetName val="3MLKQ"/>
      <sheetName val="Indices"/>
      <sheetName val="JAPANESE ACCM"/>
      <sheetName val="INDIAN GUEST HOUSE"/>
      <sheetName val="ANPARA-SITE "/>
      <sheetName val="TBEAM"/>
      <sheetName val="Sheet18"/>
      <sheetName val="S1BOQ"/>
      <sheetName val="Parameter"/>
      <sheetName val="Report"/>
      <sheetName val="Construction"/>
      <sheetName val="Prodn Report"/>
      <sheetName val="num-word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Tender Summary"/>
      <sheetName val="Cover"/>
      <sheetName val="1.01 (a)"/>
      <sheetName val="AutoOpen_Stub_Data8"/>
      <sheetName val="SPT_vs_PHI8"/>
      <sheetName val="IO_List8"/>
      <sheetName val="Stress_Calculation8"/>
      <sheetName val="Fill_this_out_first___8"/>
      <sheetName val="Summary_05068"/>
      <sheetName val="Summary_0607-_31_MAR8"/>
      <sheetName val="1_007"/>
      <sheetName val="BLOCK-A_(MEA_SHEET)7"/>
      <sheetName val="B_&amp;_C_class_items_6"/>
      <sheetName val="CH_Bud6"/>
      <sheetName val="HK_Bud6"/>
      <sheetName val="PEPL_Income6"/>
      <sheetName val="Tech_Bud6"/>
      <sheetName val="wdr_bldg6"/>
      <sheetName val="intr_stool_brkup6"/>
      <sheetName val="Estimate_for_approval6"/>
      <sheetName val="Estimate_Abstract6"/>
      <sheetName val="Structure_Bills_Qty6"/>
      <sheetName val="Basement_Budget"/>
      <sheetName val="Column_Blk_1"/>
      <sheetName val="Rft_Footing_Blk_1"/>
      <sheetName val="Beam_FF,SF_Blk_1"/>
      <sheetName val="Swimming_pool"/>
      <sheetName val="A6"/>
      <sheetName val="Elect."/>
      <sheetName val="PACK (B)"/>
      <sheetName val="CPA_EQP"/>
      <sheetName val="BILL COV"/>
      <sheetName val="beam-reinft-machine rm"/>
      <sheetName val="Sec 5"/>
      <sheetName val="Sec 6"/>
      <sheetName val="Sec 7"/>
      <sheetName val="Sec 1"/>
      <sheetName val="Measurment"/>
      <sheetName val="Staff_Acco_1"/>
      <sheetName val="currency_(2)1"/>
      <sheetName val="BOQ_(2)1"/>
      <sheetName val="07016,_Master_List-Major_Minor1"/>
      <sheetName val="S_&amp;_A"/>
      <sheetName val="WACC_Calculation1"/>
      <sheetName val="MASTER_RATE_ANALYSIS"/>
      <sheetName val="India_F&amp;S_Template"/>
      <sheetName val="Staff_Acco_2"/>
      <sheetName val="currency_(2)2"/>
      <sheetName val="BOQ_(2)2"/>
      <sheetName val="07016,_Master_List-Major_Minor2"/>
      <sheetName val="Basement_Budget1"/>
      <sheetName val="S_&amp;_A1"/>
      <sheetName val="WACC_Calculation2"/>
      <sheetName val="MASTER_RATE_ANALYSIS1"/>
      <sheetName val="India_F&amp;S_Template1"/>
      <sheetName val="MA"/>
      <sheetName val="Variables"/>
      <sheetName val="Staff_Acco_3"/>
      <sheetName val="currency_(2)3"/>
      <sheetName val="BOQ_(2)3"/>
      <sheetName val="07016,_Master_List-Major_Minor3"/>
      <sheetName val="Basement_Budget2"/>
      <sheetName val="S_&amp;_A2"/>
      <sheetName val="WACC_Calculation3"/>
      <sheetName val="MASTER_RATE_ANALYSIS2"/>
      <sheetName val="India_F&amp;S_Template2"/>
      <sheetName val="Staff_Acco_4"/>
      <sheetName val="currency_(2)4"/>
      <sheetName val="BOQ_(2)4"/>
      <sheetName val="07016,_Master_List-Major_Minor4"/>
      <sheetName val="Basement_Budget3"/>
      <sheetName val="S_&amp;_A3"/>
      <sheetName val="WACC_Calculation4"/>
      <sheetName val="MASTER_RATE_ANALYSIS3"/>
      <sheetName val="India_F&amp;S_Template3"/>
      <sheetName val="Sec_5"/>
      <sheetName val="Sec_6"/>
      <sheetName val="Sec_7"/>
      <sheetName val="Sec_1"/>
      <sheetName val="Form_6"/>
      <sheetName val="sheeet7"/>
      <sheetName val="BQLIST"/>
      <sheetName val="Timesheet"/>
      <sheetName val="220 11  BS "/>
      <sheetName val="EAW_Final_Accounts_-_99"/>
      <sheetName val="Meas_-Hotel_Part"/>
      <sheetName val="New_May"/>
      <sheetName val="Builtup_Area"/>
      <sheetName val="March_Analysts"/>
      <sheetName val="Option_159"/>
      <sheetName val="Interpretations_(incl_piling)"/>
      <sheetName val="PCS_DATA"/>
      <sheetName val="AutoOpen_Stub_Data11"/>
      <sheetName val="SPT_vs_PHI11"/>
      <sheetName val="IO_List11"/>
      <sheetName val="Stress_Calculation11"/>
      <sheetName val="Fill_this_out_first___11"/>
      <sheetName val="Summary_050611"/>
      <sheetName val="Summary_0607-_31_MAR11"/>
      <sheetName val="1_0010"/>
      <sheetName val="BLOCK-A_(MEA_SHEET)10"/>
      <sheetName val="M_S_9"/>
      <sheetName val="B_&amp;_C_class_items_9"/>
      <sheetName val="CH_Bud9"/>
      <sheetName val="HK_Bud9"/>
      <sheetName val="PEPL_Income9"/>
      <sheetName val="Tech_Bud9"/>
      <sheetName val="wdr_bldg9"/>
      <sheetName val="intr_stool_brkup9"/>
      <sheetName val="Civil_Boq9"/>
      <sheetName val="PRECAST_lightconc-II9"/>
      <sheetName val="Basement_Budget6"/>
      <sheetName val="EAW_Final_Accounts_-_993"/>
      <sheetName val="Meas_-Hotel_Part3"/>
      <sheetName val="New_May3"/>
      <sheetName val="INPUT_SHEET9"/>
      <sheetName val="ABP_inputs9"/>
      <sheetName val="Synergy_Sales_Budget9"/>
      <sheetName val="WORK_TABLE9"/>
      <sheetName val="SCurv_(3)9"/>
      <sheetName val="TBAL9697_-group_wise__sdpl9"/>
      <sheetName val="GN-ST-06(2)(Design_Sheet-Ruled9"/>
      <sheetName val="TB-JUNE-2003-18_7_039"/>
      <sheetName val="Cashflow_projection9"/>
      <sheetName val="Deprec_9"/>
      <sheetName val="Extra_Item9"/>
      <sheetName val="Detail_In_Door_Stad9"/>
      <sheetName val="E_&amp;_R9"/>
      <sheetName val="Inc_St_-Link9"/>
      <sheetName val="kppl_pl9"/>
      <sheetName val="labour_coeff9"/>
      <sheetName val="final_abstract9"/>
      <sheetName val="d-safe_DELUXE9"/>
      <sheetName val="Break_up_Sheet9"/>
      <sheetName val="Project_Details__9"/>
      <sheetName val="PA-_Consutant_9"/>
      <sheetName val="Builtup_Area3"/>
      <sheetName val="March_Analysts3"/>
      <sheetName val="ORDER_BOOKING9"/>
      <sheetName val="3__Elemental_Summary9"/>
      <sheetName val="Desgn(zone_I)9"/>
      <sheetName val="Rate_analysis9"/>
      <sheetName val="TASKRSRC_(2)9"/>
      <sheetName val="Fee_Rate_Summary9"/>
      <sheetName val="beam-reinft-IIInd_floor9"/>
      <sheetName val="BOQ_Direct_selling_cost9"/>
      <sheetName val="Staff_Acco_7"/>
      <sheetName val="BOQ_(2)7"/>
      <sheetName val="07016,_Master_List-Major_Minor7"/>
      <sheetName val="WACC_Calculation7"/>
      <sheetName val="currency_(2)7"/>
      <sheetName val="S_&amp;_A6"/>
      <sheetName val="Site_Dev_BOQ9"/>
      <sheetName val="MASTER_RATE_ANALYSIS6"/>
      <sheetName val="India_F&amp;S_Template6"/>
      <sheetName val="Materials_Cost(PCC)9"/>
      <sheetName val="key_dates9"/>
      <sheetName val="Material_9"/>
      <sheetName val="Labour_&amp;_Plant9"/>
      <sheetName val="STAFFSCHED_9"/>
      <sheetName val="Assumption_Inputs9"/>
      <sheetName val="3cd_Annexure9"/>
      <sheetName val="Administrative_Prices9"/>
      <sheetName val="Debits_as_on_12_04_089"/>
      <sheetName val="Block_A_-_BOQ9"/>
      <sheetName val="JCR_Oct_06_TOP_SHEET9"/>
      <sheetName val="JCR_Oct_06_CIVIL9"/>
      <sheetName val="JCR_Oct_06_MECH9"/>
      <sheetName val="Oct_06_DESI_&amp;SP_CONT9"/>
      <sheetName val="JCR_Oct_06_IDC9"/>
      <sheetName val="Cum_Measure9"/>
      <sheetName val="PS_Rate_Working9"/>
      <sheetName val="CIVIL_Str_vise9"/>
      <sheetName val="JCR_sEP_06_IDC_WORKINGS9"/>
      <sheetName val="Linked_Lead9"/>
      <sheetName val="Option_1593"/>
      <sheetName val="Interpretations_(incl_piling)3"/>
      <sheetName val="PCS_DATA3"/>
      <sheetName val="Break_Up_(bc)2"/>
      <sheetName val="Break_Up_(bc1)2"/>
      <sheetName val="Break_Up_(bc2)2"/>
      <sheetName val="Detail_1A2"/>
      <sheetName val="Project_Budget_Worksheet2"/>
      <sheetName val="Occ,_Other_Rev,_Exp,_Dispo2"/>
      <sheetName val="9__Package_split_-_Cost_2"/>
      <sheetName val="Basic_Rates2"/>
      <sheetName val="CABLE_DATA2"/>
      <sheetName val="Ave_wtd_rates2"/>
      <sheetName val="ANNX_-_I_(_a_)2"/>
      <sheetName val="ACAD_Finishes2"/>
      <sheetName val="Site_Details2"/>
      <sheetName val="Materials_Cost2"/>
      <sheetName val="Legal_Risk_Analysis2"/>
      <sheetName val="water_prop_2"/>
      <sheetName val="LIST_OF_MAKES2"/>
      <sheetName val="Boq_-_Flats2"/>
      <sheetName val="Bill_3_-_Site_Works2"/>
      <sheetName val="Form_63"/>
      <sheetName val="JAPANESE_ACCM2"/>
      <sheetName val="INDIAN_GUEST_HOUSE2"/>
      <sheetName val="ANPARA-SITE_2"/>
      <sheetName val="Prodn_Report2"/>
      <sheetName val="11B_2"/>
      <sheetName val="Tender_Summary2"/>
      <sheetName val="Estimate_for_approval9"/>
      <sheetName val="Estimate_Abstract9"/>
      <sheetName val="Structure_Bills_Qty9"/>
      <sheetName val="Column_Blk_13"/>
      <sheetName val="Rft_Footing_Blk_13"/>
      <sheetName val="Beam_FF,SF_Blk_13"/>
      <sheetName val="Swimming_pool3"/>
      <sheetName val="1_01_(a)2"/>
      <sheetName val="Elect_2"/>
      <sheetName val="PACK_(B)2"/>
      <sheetName val="BILL_COV2"/>
      <sheetName val="beam-reinft-machine_rm2"/>
      <sheetName val="Sec_53"/>
      <sheetName val="Sec_63"/>
      <sheetName val="Sec_73"/>
      <sheetName val="Sec_13"/>
      <sheetName val="220_11__BS_2"/>
      <sheetName val="AutoOpen_Stub_Data10"/>
      <sheetName val="SPT_vs_PHI10"/>
      <sheetName val="IO_List10"/>
      <sheetName val="Stress_Calculation10"/>
      <sheetName val="Fill_this_out_first___10"/>
      <sheetName val="Summary_050610"/>
      <sheetName val="Summary_0607-_31_MAR10"/>
      <sheetName val="1_009"/>
      <sheetName val="BLOCK-A_(MEA_SHEET)9"/>
      <sheetName val="B_&amp;_C_class_items_8"/>
      <sheetName val="CH_Bud8"/>
      <sheetName val="HK_Bud8"/>
      <sheetName val="PEPL_Income8"/>
      <sheetName val="Tech_Bud8"/>
      <sheetName val="wdr_bldg8"/>
      <sheetName val="intr_stool_brkup8"/>
      <sheetName val="M_S_8"/>
      <sheetName val="Civil_Boq8"/>
      <sheetName val="PRECAST_lightconc-II8"/>
      <sheetName val="Estimate_for_approval8"/>
      <sheetName val="Basement_Budget5"/>
      <sheetName val="EAW_Final_Accounts_-_992"/>
      <sheetName val="Meas_-Hotel_Part2"/>
      <sheetName val="New_May2"/>
      <sheetName val="INPUT_SHEET8"/>
      <sheetName val="ABP_inputs8"/>
      <sheetName val="Synergy_Sales_Budget8"/>
      <sheetName val="WORK_TABLE8"/>
      <sheetName val="SCurv_(3)8"/>
      <sheetName val="TBAL9697_-group_wise__sdpl8"/>
      <sheetName val="GN-ST-06(2)(Design_Sheet-Ruled8"/>
      <sheetName val="TB-JUNE-2003-18_7_038"/>
      <sheetName val="Cashflow_projection8"/>
      <sheetName val="Deprec_8"/>
      <sheetName val="Extra_Item8"/>
      <sheetName val="Detail_In_Door_Stad8"/>
      <sheetName val="E_&amp;_R8"/>
      <sheetName val="Inc_St_-Link8"/>
      <sheetName val="kppl_pl8"/>
      <sheetName val="labour_coeff8"/>
      <sheetName val="final_abstract8"/>
      <sheetName val="d-safe_DELUXE8"/>
      <sheetName val="Break_up_Sheet8"/>
      <sheetName val="Project_Details__8"/>
      <sheetName val="PA-_Consutant_8"/>
      <sheetName val="Builtup_Area2"/>
      <sheetName val="March_Analysts2"/>
      <sheetName val="ORDER_BOOKING8"/>
      <sheetName val="3__Elemental_Summary8"/>
      <sheetName val="Desgn(zone_I)8"/>
      <sheetName val="Rate_analysis8"/>
      <sheetName val="TASKRSRC_(2)8"/>
      <sheetName val="Fee_Rate_Summary8"/>
      <sheetName val="beam-reinft-IIInd_floor8"/>
      <sheetName val="BOQ_Direct_selling_cost8"/>
      <sheetName val="Staff_Acco_6"/>
      <sheetName val="BOQ_(2)6"/>
      <sheetName val="07016,_Master_List-Major_Minor6"/>
      <sheetName val="WACC_Calculation6"/>
      <sheetName val="currency_(2)6"/>
      <sheetName val="S_&amp;_A5"/>
      <sheetName val="Site_Dev_BOQ8"/>
      <sheetName val="MASTER_RATE_ANALYSIS5"/>
      <sheetName val="India_F&amp;S_Template5"/>
      <sheetName val="Materials_Cost(PCC)8"/>
      <sheetName val="key_dates8"/>
      <sheetName val="Material_8"/>
      <sheetName val="Labour_&amp;_Plant8"/>
      <sheetName val="STAFFSCHED_8"/>
      <sheetName val="Assumption_Inputs8"/>
      <sheetName val="3cd_Annexure8"/>
      <sheetName val="Administrative_Prices8"/>
      <sheetName val="Debits_as_on_12_04_088"/>
      <sheetName val="Block_A_-_BOQ8"/>
      <sheetName val="JCR_Oct_06_TOP_SHEET8"/>
      <sheetName val="JCR_Oct_06_CIVIL8"/>
      <sheetName val="JCR_Oct_06_MECH8"/>
      <sheetName val="Oct_06_DESI_&amp;SP_CONT8"/>
      <sheetName val="JCR_Oct_06_IDC8"/>
      <sheetName val="Cum_Measure8"/>
      <sheetName val="PS_Rate_Working8"/>
      <sheetName val="CIVIL_Str_vise8"/>
      <sheetName val="JCR_sEP_06_IDC_WORKINGS8"/>
      <sheetName val="Linked_Lead8"/>
      <sheetName val="Option_1592"/>
      <sheetName val="Interpretations_(incl_piling)2"/>
      <sheetName val="PCS_DATA2"/>
      <sheetName val="Break_Up_(bc)1"/>
      <sheetName val="Break_Up_(bc1)1"/>
      <sheetName val="Break_Up_(bc2)1"/>
      <sheetName val="Detail_1A1"/>
      <sheetName val="Project_Budget_Worksheet1"/>
      <sheetName val="Occ,_Other_Rev,_Exp,_Dispo1"/>
      <sheetName val="9__Package_split_-_Cost_1"/>
      <sheetName val="Basic_Rates1"/>
      <sheetName val="CABLE_DATA1"/>
      <sheetName val="Ave_wtd_rates1"/>
      <sheetName val="ANNX_-_I_(_a_)1"/>
      <sheetName val="ACAD_Finishes1"/>
      <sheetName val="Site_Details1"/>
      <sheetName val="Materials_Cost1"/>
      <sheetName val="Legal_Risk_Analysis1"/>
      <sheetName val="water_prop_1"/>
      <sheetName val="LIST_OF_MAKES1"/>
      <sheetName val="Boq_-_Flats1"/>
      <sheetName val="Bill_3_-_Site_Works1"/>
      <sheetName val="Form_62"/>
      <sheetName val="JAPANESE_ACCM1"/>
      <sheetName val="INDIAN_GUEST_HOUSE1"/>
      <sheetName val="ANPARA-SITE_1"/>
      <sheetName val="Prodn_Report1"/>
      <sheetName val="11B_1"/>
      <sheetName val="Tender_Summary1"/>
      <sheetName val="Estimate_Abstract8"/>
      <sheetName val="Structure_Bills_Qty8"/>
      <sheetName val="Column_Blk_12"/>
      <sheetName val="Rft_Footing_Blk_12"/>
      <sheetName val="Beam_FF,SF_Blk_12"/>
      <sheetName val="Swimming_pool2"/>
      <sheetName val="1_01_(a)1"/>
      <sheetName val="Elect_1"/>
      <sheetName val="PACK_(B)1"/>
      <sheetName val="BILL_COV1"/>
      <sheetName val="beam-reinft-machine_rm1"/>
      <sheetName val="Sec_52"/>
      <sheetName val="Sec_62"/>
      <sheetName val="Sec_72"/>
      <sheetName val="Sec_12"/>
      <sheetName val="220_11__BS_1"/>
      <sheetName val="AutoOpen_Stub_Data9"/>
      <sheetName val="SPT_vs_PHI9"/>
      <sheetName val="IO_List9"/>
      <sheetName val="Stress_Calculation9"/>
      <sheetName val="Fill_this_out_first___9"/>
      <sheetName val="Summary_05069"/>
      <sheetName val="Summary_0607-_31_MAR9"/>
      <sheetName val="1_008"/>
      <sheetName val="BLOCK-A_(MEA_SHEET)8"/>
      <sheetName val="B_&amp;_C_class_items_7"/>
      <sheetName val="CH_Bud7"/>
      <sheetName val="HK_Bud7"/>
      <sheetName val="PEPL_Income7"/>
      <sheetName val="Tech_Bud7"/>
      <sheetName val="wdr_bldg7"/>
      <sheetName val="intr_stool_brkup7"/>
      <sheetName val="M_S_7"/>
      <sheetName val="Civil_Boq7"/>
      <sheetName val="PRECAST_lightconc-II7"/>
      <sheetName val="Estimate_for_approval7"/>
      <sheetName val="Basement_Budget4"/>
      <sheetName val="EAW_Final_Accounts_-_991"/>
      <sheetName val="Meas_-Hotel_Part1"/>
      <sheetName val="New_May1"/>
      <sheetName val="INPUT_SHEET7"/>
      <sheetName val="ABP_inputs7"/>
      <sheetName val="Synergy_Sales_Budget7"/>
      <sheetName val="WORK_TABLE7"/>
      <sheetName val="SCurv_(3)7"/>
      <sheetName val="TBAL9697_-group_wise__sdpl7"/>
      <sheetName val="GN-ST-06(2)(Design_Sheet-Ruled7"/>
      <sheetName val="TB-JUNE-2003-18_7_037"/>
      <sheetName val="Cashflow_projection7"/>
      <sheetName val="Deprec_7"/>
      <sheetName val="Extra_Item7"/>
      <sheetName val="Detail_In_Door_Stad7"/>
      <sheetName val="E_&amp;_R7"/>
      <sheetName val="Inc_St_-Link7"/>
      <sheetName val="kppl_pl7"/>
      <sheetName val="labour_coeff7"/>
      <sheetName val="final_abstract7"/>
      <sheetName val="d-safe_DELUXE7"/>
      <sheetName val="Break_up_Sheet7"/>
      <sheetName val="Project_Details__7"/>
      <sheetName val="PA-_Consutant_7"/>
      <sheetName val="Builtup_Area1"/>
      <sheetName val="March_Analysts1"/>
      <sheetName val="ORDER_BOOKING7"/>
      <sheetName val="3__Elemental_Summary7"/>
      <sheetName val="Desgn(zone_I)7"/>
      <sheetName val="Rate_analysis7"/>
      <sheetName val="TASKRSRC_(2)7"/>
      <sheetName val="Fee_Rate_Summary7"/>
      <sheetName val="beam-reinft-IIInd_floor7"/>
      <sheetName val="BOQ_Direct_selling_cost7"/>
      <sheetName val="Staff_Acco_5"/>
      <sheetName val="BOQ_(2)5"/>
      <sheetName val="07016,_Master_List-Major_Minor5"/>
      <sheetName val="WACC_Calculation5"/>
      <sheetName val="currency_(2)5"/>
      <sheetName val="S_&amp;_A4"/>
      <sheetName val="Site_Dev_BOQ7"/>
      <sheetName val="MASTER_RATE_ANALYSIS4"/>
      <sheetName val="India_F&amp;S_Template4"/>
      <sheetName val="Materials_Cost(PCC)7"/>
      <sheetName val="key_dates7"/>
      <sheetName val="Material_7"/>
      <sheetName val="Labour_&amp;_Plant7"/>
      <sheetName val="STAFFSCHED_7"/>
      <sheetName val="Assumption_Inputs7"/>
      <sheetName val="3cd_Annexure7"/>
      <sheetName val="Administrative_Prices7"/>
      <sheetName val="Debits_as_on_12_04_087"/>
      <sheetName val="Block_A_-_BOQ7"/>
      <sheetName val="JCR_Oct_06_TOP_SHEET7"/>
      <sheetName val="JCR_Oct_06_CIVIL7"/>
      <sheetName val="JCR_Oct_06_MECH7"/>
      <sheetName val="Oct_06_DESI_&amp;SP_CONT7"/>
      <sheetName val="JCR_Oct_06_IDC7"/>
      <sheetName val="Cum_Measure7"/>
      <sheetName val="PS_Rate_Working7"/>
      <sheetName val="CIVIL_Str_vise7"/>
      <sheetName val="JCR_sEP_06_IDC_WORKINGS7"/>
      <sheetName val="Linked_Lead7"/>
      <sheetName val="Option_1591"/>
      <sheetName val="Interpretations_(incl_piling)1"/>
      <sheetName val="PCS_DATA1"/>
      <sheetName val="Break_Up_(bc)"/>
      <sheetName val="Break_Up_(bc1)"/>
      <sheetName val="Break_Up_(bc2)"/>
      <sheetName val="Detail_1A"/>
      <sheetName val="Project_Budget_Worksheet"/>
      <sheetName val="Occ,_Other_Rev,_Exp,_Dispo"/>
      <sheetName val="9__Package_split_-_Cost_"/>
      <sheetName val="Basic_Rates"/>
      <sheetName val="CABLE_DATA"/>
      <sheetName val="Ave_wtd_rates"/>
      <sheetName val="ANNX_-_I_(_a_)"/>
      <sheetName val="ACAD_Finishes"/>
      <sheetName val="Site_Details"/>
      <sheetName val="Materials_Cost"/>
      <sheetName val="Legal_Risk_Analysis"/>
      <sheetName val="water_prop_"/>
      <sheetName val="LIST_OF_MAKES"/>
      <sheetName val="Boq_-_Flats"/>
      <sheetName val="Bill_3_-_Site_Works"/>
      <sheetName val="Form_61"/>
      <sheetName val="JAPANESE_ACCM"/>
      <sheetName val="INDIAN_GUEST_HOUSE"/>
      <sheetName val="ANPARA-SITE_"/>
      <sheetName val="Prodn_Report"/>
      <sheetName val="11B_"/>
      <sheetName val="Tender_Summary"/>
      <sheetName val="Estimate_Abstract7"/>
      <sheetName val="Structure_Bills_Qty7"/>
      <sheetName val="Column_Blk_11"/>
      <sheetName val="Rft_Footing_Blk_11"/>
      <sheetName val="Beam_FF,SF_Blk_11"/>
      <sheetName val="Swimming_pool1"/>
      <sheetName val="1_01_(a)"/>
      <sheetName val="Elect_"/>
      <sheetName val="PACK_(B)"/>
      <sheetName val="BILL_COV"/>
      <sheetName val="beam-reinft-machine_rm"/>
      <sheetName val="Sec_51"/>
      <sheetName val="Sec_61"/>
      <sheetName val="Sec_71"/>
      <sheetName val="Sec_11"/>
      <sheetName val="220_11__BS_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Bill"/>
      <sheetName val="Structure Bills Qty"/>
      <sheetName val="NMR Bills"/>
      <sheetName val="Finishes Bills"/>
      <sheetName val="Break up Sheet"/>
      <sheetName val="TBAL9697 -group wise  sdpl"/>
      <sheetName val="Basement Budget"/>
      <sheetName val="Rate analysis"/>
      <sheetName val="Design"/>
      <sheetName val="Micro"/>
      <sheetName val="Macro"/>
      <sheetName val="Scaff-Rose"/>
      <sheetName val="Input"/>
      <sheetName val="VCH-SLC"/>
      <sheetName val="Supplier"/>
      <sheetName val="Sheet3"/>
      <sheetName val="Fin Sum"/>
      <sheetName val="factors"/>
      <sheetName val="gen"/>
      <sheetName val="Labour_Bill"/>
      <sheetName val="Structure_Bills_Qty"/>
      <sheetName val="NMR_Bills"/>
      <sheetName val="Finishes_Bills"/>
      <sheetName val="TBAL9697_-group_wise__sdpl"/>
      <sheetName val="Break_up_Sheet"/>
      <sheetName val="Basement_Budget"/>
      <sheetName val="Rate_analysis"/>
      <sheetName val="Fin_Sum"/>
      <sheetName val="Pacakges split"/>
      <sheetName val="key dates"/>
      <sheetName val="Actuals"/>
      <sheetName val="CFForecast detail"/>
      <sheetName val="p&amp;m"/>
      <sheetName val="data"/>
      <sheetName val="Fill this out first..."/>
      <sheetName val="Civil Works"/>
      <sheetName val="PRECAST lightconc-II"/>
      <sheetName val="RA-markate"/>
      <sheetName val="SPILL OVER PROJECTIONS"/>
      <sheetName val="SPILL OVER"/>
      <sheetName val="Labour_Bill1"/>
      <sheetName val="Structure_Bills_Qty1"/>
      <sheetName val="NMR_Bills1"/>
      <sheetName val="Finishes_Bills1"/>
      <sheetName val="Break_up_Sheet1"/>
      <sheetName val="TBAL9697_-group_wise__sdpl1"/>
      <sheetName val="Basement_Budget1"/>
      <sheetName val="Rate_analysis1"/>
      <sheetName val="Fin_Sum1"/>
      <sheetName val="Pacakges_split"/>
      <sheetName val="key_dates"/>
      <sheetName val="CFForecast_detail"/>
      <sheetName val="Fill_this_out_first___"/>
      <sheetName val="Civil_Works"/>
      <sheetName val="PRECAST_lightconc-II"/>
      <sheetName val="SPILL_OVER_PROJECTIONS"/>
      <sheetName val="SPILL_OVER"/>
      <sheetName val="Staff Acco."/>
      <sheetName val="PCC"/>
      <sheetName val="BLOCK-A (MEA.SHEET)"/>
      <sheetName val="B &amp; C class items "/>
      <sheetName val="SPT vs PHI"/>
      <sheetName val="conc-foot-gradeslab"/>
      <sheetName val="intr stool brkup"/>
      <sheetName val="INDIGINEOUS ITEMS "/>
      <sheetName val="Abstract Sheet"/>
      <sheetName val="2gii"/>
      <sheetName val="LABOUR"/>
      <sheetName val="BILL COV"/>
      <sheetName val="Labour_Bill7"/>
      <sheetName val="Structure_Bills_Qty7"/>
      <sheetName val="NMR_Bills7"/>
      <sheetName val="Finishes_Bills7"/>
      <sheetName val="Break_up_Sheet7"/>
      <sheetName val="TBAL9697_-group_wise__sdpl7"/>
      <sheetName val="Basement_Budget7"/>
      <sheetName val="Rate_analysis7"/>
      <sheetName val="Fin_Sum7"/>
      <sheetName val="Pacakges_split6"/>
      <sheetName val="key_dates6"/>
      <sheetName val="CFForecast_detail6"/>
      <sheetName val="Fill_this_out_first___6"/>
      <sheetName val="Civil_Works6"/>
      <sheetName val="PRECAST_lightconc-II6"/>
      <sheetName val="SPILL_OVER_PROJECTIONS6"/>
      <sheetName val="SPILL_OVER6"/>
      <sheetName val="Staff_Acco_5"/>
      <sheetName val="BLOCK-A_(MEA_SHEET)5"/>
      <sheetName val="B_&amp;_C_class_items_5"/>
      <sheetName val="SPT_vs_PHI5"/>
      <sheetName val="intr_stool_brkup5"/>
      <sheetName val="Labour_Bill5"/>
      <sheetName val="Structure_Bills_Qty5"/>
      <sheetName val="NMR_Bills5"/>
      <sheetName val="Finishes_Bills5"/>
      <sheetName val="Break_up_Sheet5"/>
      <sheetName val="TBAL9697_-group_wise__sdpl5"/>
      <sheetName val="Basement_Budget5"/>
      <sheetName val="Rate_analysis5"/>
      <sheetName val="Fin_Sum5"/>
      <sheetName val="Pacakges_split4"/>
      <sheetName val="key_dates4"/>
      <sheetName val="CFForecast_detail4"/>
      <sheetName val="Fill_this_out_first___4"/>
      <sheetName val="Civil_Works4"/>
      <sheetName val="PRECAST_lightconc-II4"/>
      <sheetName val="SPILL_OVER_PROJECTIONS4"/>
      <sheetName val="SPILL_OVER4"/>
      <sheetName val="Staff_Acco_3"/>
      <sheetName val="BLOCK-A_(MEA_SHEET)3"/>
      <sheetName val="B_&amp;_C_class_items_3"/>
      <sheetName val="Labour_Bill4"/>
      <sheetName val="Structure_Bills_Qty4"/>
      <sheetName val="NMR_Bills4"/>
      <sheetName val="Finishes_Bills4"/>
      <sheetName val="Break_up_Sheet4"/>
      <sheetName val="TBAL9697_-group_wise__sdpl4"/>
      <sheetName val="Basement_Budget4"/>
      <sheetName val="Rate_analysis4"/>
      <sheetName val="Fin_Sum4"/>
      <sheetName val="Pacakges_split3"/>
      <sheetName val="key_dates3"/>
      <sheetName val="CFForecast_detail3"/>
      <sheetName val="Fill_this_out_first___3"/>
      <sheetName val="Civil_Works3"/>
      <sheetName val="PRECAST_lightconc-II3"/>
      <sheetName val="SPILL_OVER_PROJECTIONS3"/>
      <sheetName val="SPILL_OVER3"/>
      <sheetName val="Staff_Acco_2"/>
      <sheetName val="BLOCK-A_(MEA_SHEET)2"/>
      <sheetName val="B_&amp;_C_class_items_2"/>
      <sheetName val="SPT_vs_PHI2"/>
      <sheetName val="intr_stool_brkup2"/>
      <sheetName val="INDIGINEOUS_ITEMS_2"/>
      <sheetName val="Labour_Bill2"/>
      <sheetName val="Structure_Bills_Qty2"/>
      <sheetName val="NMR_Bills2"/>
      <sheetName val="Finishes_Bills2"/>
      <sheetName val="Break_up_Sheet2"/>
      <sheetName val="TBAL9697_-group_wise__sdpl2"/>
      <sheetName val="Basement_Budget2"/>
      <sheetName val="Rate_analysis2"/>
      <sheetName val="Fin_Sum2"/>
      <sheetName val="Pacakges_split1"/>
      <sheetName val="key_dates1"/>
      <sheetName val="CFForecast_detail1"/>
      <sheetName val="Fill_this_out_first___1"/>
      <sheetName val="Civil_Works1"/>
      <sheetName val="PRECAST_lightconc-II1"/>
      <sheetName val="SPILL_OVER_PROJECTIONS1"/>
      <sheetName val="SPILL_OVER1"/>
      <sheetName val="Staff_Acco_"/>
      <sheetName val="BLOCK-A_(MEA_SHEET)"/>
      <sheetName val="B_&amp;_C_class_items_"/>
      <sheetName val="SPT_vs_PHI"/>
      <sheetName val="intr_stool_brkup"/>
      <sheetName val="INDIGINEOUS_ITEMS_"/>
      <sheetName val="Abstract_Sheet"/>
      <sheetName val="Labour_Bill3"/>
      <sheetName val="Structure_Bills_Qty3"/>
      <sheetName val="NMR_Bills3"/>
      <sheetName val="Finishes_Bills3"/>
      <sheetName val="Break_up_Sheet3"/>
      <sheetName val="TBAL9697_-group_wise__sdpl3"/>
      <sheetName val="Basement_Budget3"/>
      <sheetName val="Rate_analysis3"/>
      <sheetName val="Fin_Sum3"/>
      <sheetName val="Pacakges_split2"/>
      <sheetName val="key_dates2"/>
      <sheetName val="CFForecast_detail2"/>
      <sheetName val="Fill_this_out_first___2"/>
      <sheetName val="Civil_Works2"/>
      <sheetName val="PRECAST_lightconc-II2"/>
      <sheetName val="SPILL_OVER_PROJECTIONS2"/>
      <sheetName val="SPILL_OVER2"/>
      <sheetName val="Staff_Acco_1"/>
      <sheetName val="BLOCK-A_(MEA_SHEET)1"/>
      <sheetName val="B_&amp;_C_class_items_1"/>
      <sheetName val="SPT_vs_PHI1"/>
      <sheetName val="intr_stool_brkup1"/>
      <sheetName val="INDIGINEOUS_ITEMS_1"/>
      <sheetName val="Abstract_Sheet1"/>
      <sheetName val="Abstract_Sheet2"/>
      <sheetName val="SPT_vs_PHI3"/>
      <sheetName val="intr_stool_brkup3"/>
      <sheetName val="INDIGINEOUS_ITEMS_3"/>
      <sheetName val="Labour_Bill6"/>
      <sheetName val="Structure_Bills_Qty6"/>
      <sheetName val="NMR_Bills6"/>
      <sheetName val="Finishes_Bills6"/>
      <sheetName val="Break_up_Sheet6"/>
      <sheetName val="TBAL9697_-group_wise__sdpl6"/>
      <sheetName val="Basement_Budget6"/>
      <sheetName val="Rate_analysis6"/>
      <sheetName val="Fin_Sum6"/>
      <sheetName val="Pacakges_split5"/>
      <sheetName val="key_dates5"/>
      <sheetName val="CFForecast_detail5"/>
      <sheetName val="Fill_this_out_first___5"/>
      <sheetName val="Civil_Works5"/>
      <sheetName val="PRECAST_lightconc-II5"/>
      <sheetName val="SPILL_OVER_PROJECTIONS5"/>
      <sheetName val="SPILL_OVER5"/>
      <sheetName val="Staff_Acco_4"/>
      <sheetName val="BLOCK-A_(MEA_SHEET)4"/>
      <sheetName val="B_&amp;_C_class_items_4"/>
      <sheetName val="SPT_vs_PHI4"/>
      <sheetName val="intr_stool_brkup4"/>
      <sheetName val="INDIGINEOUS_ITEMS_4"/>
      <sheetName val="INDIGINEOUS_ITEMS_5"/>
      <sheetName val="Column Blk 1"/>
      <sheetName val="Rft Footing Blk 1"/>
      <sheetName val="Beam FF,SF Blk 1"/>
      <sheetName val="Slab FF,SF Blk 2"/>
      <sheetName val="Swimming pool"/>
      <sheetName val="Lead"/>
      <sheetName val="M.S."/>
      <sheetName val="D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BALAN1"/>
      <sheetName val="Legal Risk Analysis"/>
      <sheetName val="2nd "/>
      <sheetName val="1.00"/>
      <sheetName val="Boq Block A"/>
      <sheetName val="Slab"/>
      <sheetName val="Labour_Bill8"/>
      <sheetName val="Structure_Bills_Qty8"/>
      <sheetName val="NMR_Bills8"/>
      <sheetName val="Finishes_Bills8"/>
      <sheetName val="Break_up_Sheet8"/>
      <sheetName val="TBAL9697_-group_wise__sdpl8"/>
      <sheetName val="Basement_Budget8"/>
      <sheetName val="Rate_analysis8"/>
      <sheetName val="Fin_Sum8"/>
      <sheetName val="Pacakges_split7"/>
      <sheetName val="key_dates7"/>
      <sheetName val="CFForecast_detail7"/>
      <sheetName val="Fill_this_out_first___7"/>
      <sheetName val="Civil_Works7"/>
      <sheetName val="PRECAST_lightconc-II7"/>
      <sheetName val="SPILL_OVER_PROJECTIONS7"/>
      <sheetName val="SPILL_OVER7"/>
      <sheetName val="Staff_Acco_6"/>
      <sheetName val="BLOCK-A_(MEA_SHEET)6"/>
      <sheetName val="B_&amp;_C_class_items_6"/>
      <sheetName val="SPT_vs_PHI6"/>
      <sheetName val="intr_stool_brkup6"/>
      <sheetName val="INDIGINEOUS_ITEMS_6"/>
      <sheetName val="Abstract_Sheet3"/>
      <sheetName val="BILL_COV"/>
      <sheetName val="Column_Blk_1"/>
      <sheetName val="Rft_Footing_Blk_1"/>
      <sheetName val="Beam_FF,SF_Blk_1"/>
      <sheetName val="Slab_FF,SF_Blk_2"/>
      <sheetName val="Swimming_pool"/>
      <sheetName val="M_S_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Legal_Risk_Analysis"/>
      <sheetName val="2nd_"/>
      <sheetName val="1_00"/>
      <sheetName val="Boq_Block_A"/>
      <sheetName val="Sheet2"/>
      <sheetName val="Citrix"/>
      <sheetName val="Estimate Abstract"/>
      <sheetName val="Abstract Micro"/>
      <sheetName val="Abstract"/>
      <sheetName val="Establishment"/>
      <sheetName val="Mat_Cost"/>
      <sheetName val="Civil Boq"/>
      <sheetName val="Analysis"/>
      <sheetName val="labour rates"/>
      <sheetName val="Config"/>
      <sheetName val="Break Dw"/>
      <sheetName val="ACS(1)"/>
      <sheetName val="FAS-C(4)"/>
      <sheetName val="CCTV(old)"/>
      <sheetName val="Settings"/>
      <sheetName val="BOQ LT"/>
      <sheetName val="Approved MTD Proj #'s"/>
      <sheetName val="Lookup"/>
      <sheetName val="TEXT"/>
      <sheetName val="labour coeff"/>
      <sheetName val="Sheet1"/>
      <sheetName val="para"/>
      <sheetName val="kppl pl"/>
      <sheetName val="Assumptions"/>
      <sheetName val="STAFFSCHED "/>
      <sheetName val="MM"/>
      <sheetName val="Assets"/>
      <sheetName val="UPA(Part C,D,E,G,H)"/>
      <sheetName val="UPA(Part F)"/>
      <sheetName val="Materials"/>
      <sheetName val="GRSummary"/>
      <sheetName val="SRC-B3U2"/>
      <sheetName val="sc"/>
      <sheetName val="UPA(Part_C,D,E,G,H)"/>
      <sheetName val="UPA(Part_F)"/>
      <sheetName val="UPA(Part_C,D,E,G,H)1"/>
      <sheetName val="UPA(Part_F)1"/>
      <sheetName val="CTC"/>
      <sheetName val="600 thrst"/>
      <sheetName val="BaseWeight"/>
      <sheetName val="#REF"/>
      <sheetName val="UPA(Part_C,D,E,G,H)2"/>
      <sheetName val="UPA(Part_F)2"/>
      <sheetName val="600_thrst"/>
      <sheetName val="Labour_Bill9"/>
      <sheetName val="Structure_Bills_Qty9"/>
      <sheetName val="NMR_Bills9"/>
      <sheetName val="Finishes_Bills9"/>
      <sheetName val="Break_up_Sheet9"/>
      <sheetName val="TBAL9697_-group_wise__sdpl9"/>
      <sheetName val="Basement_Budget9"/>
      <sheetName val="Rate_analysis9"/>
      <sheetName val="Fin_Sum9"/>
      <sheetName val="Pacakges_split8"/>
      <sheetName val="key_dates8"/>
      <sheetName val="CFForecast_detail8"/>
      <sheetName val="Fill_this_out_first___8"/>
      <sheetName val="Civil_Works8"/>
      <sheetName val="PRECAST_lightconc-II8"/>
      <sheetName val="SPILL_OVER_PROJECTIONS8"/>
      <sheetName val="SPILL_OVER8"/>
      <sheetName val="Staff_Acco_7"/>
      <sheetName val="BLOCK-A_(MEA_SHEET)7"/>
      <sheetName val="B_&amp;_C_class_items_7"/>
      <sheetName val="intr_stool_brkup7"/>
      <sheetName val="SPT_vs_PHI7"/>
      <sheetName val="INDIGINEOUS_ITEMS_7"/>
      <sheetName val="Abstract_Sheet4"/>
      <sheetName val="BILL_COV1"/>
      <sheetName val="Column_Blk_11"/>
      <sheetName val="Rft_Footing_Blk_11"/>
      <sheetName val="Beam_FF,SF_Blk_11"/>
      <sheetName val="Slab_FF,SF_Blk_21"/>
      <sheetName val="Swimming_pool1"/>
      <sheetName val="M_S_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Legal_Risk_Analysis1"/>
      <sheetName val="2nd_1"/>
      <sheetName val="1_001"/>
      <sheetName val="Boq_Block_A1"/>
      <sheetName val="Estimate_Abstract"/>
      <sheetName val="Abstract_Micro"/>
      <sheetName val="Civil_Boq"/>
      <sheetName val="labour_rates"/>
      <sheetName val="Break_Dw"/>
      <sheetName val="BOQ_LT"/>
      <sheetName val="Approved_MTD_Proj_#'s"/>
      <sheetName val="labour_coeff"/>
      <sheetName val="kppl_pl"/>
      <sheetName val="STAFFSCHED_"/>
      <sheetName val="UPA(Part_C,D,E,G,H)3"/>
      <sheetName val="UPA(Part_F)3"/>
      <sheetName val="600_thrst1"/>
      <sheetName val="Fee Rate Summary"/>
      <sheetName val="Labour_Bill12"/>
      <sheetName val="Structure_Bills_Qty12"/>
      <sheetName val="NMR_Bills12"/>
      <sheetName val="Finishes_Bills12"/>
      <sheetName val="Break_up_Sheet12"/>
      <sheetName val="TBAL9697_-group_wise__sdpl12"/>
      <sheetName val="Basement_Budget12"/>
      <sheetName val="Rate_analysis12"/>
      <sheetName val="Fin_Sum12"/>
      <sheetName val="Pacakges_split11"/>
      <sheetName val="key_dates11"/>
      <sheetName val="CFForecast_detail11"/>
      <sheetName val="Fill_this_out_first___11"/>
      <sheetName val="Civil_Works11"/>
      <sheetName val="PRECAST_lightconc-II11"/>
      <sheetName val="SPILL_OVER_PROJECTIONS11"/>
      <sheetName val="SPILL_OVER11"/>
      <sheetName val="Staff_Acco_10"/>
      <sheetName val="BLOCK-A_(MEA_SHEET)10"/>
      <sheetName val="B_&amp;_C_class_items_10"/>
      <sheetName val="SPT_vs_PHI10"/>
      <sheetName val="Abstract_Sheet7"/>
      <sheetName val="M_S_4"/>
      <sheetName val="Measurement_264"/>
      <sheetName val="Measurement_274"/>
      <sheetName val="Concrete_304"/>
      <sheetName val="Measurement_utility4"/>
      <sheetName val="Measurement_sump4"/>
      <sheetName val="Filling_final_4"/>
      <sheetName val="Additional_Items4"/>
      <sheetName val="Measur_Storm4"/>
      <sheetName val="Legal_Risk_Analysis4"/>
      <sheetName val="2nd_4"/>
      <sheetName val="intr_stool_brkup10"/>
      <sheetName val="INDIGINEOUS_ITEMS_10"/>
      <sheetName val="BILL_COV4"/>
      <sheetName val="Column_Blk_14"/>
      <sheetName val="Rft_Footing_Blk_14"/>
      <sheetName val="Beam_FF,SF_Blk_14"/>
      <sheetName val="Slab_FF,SF_Blk_24"/>
      <sheetName val="Swimming_pool4"/>
      <sheetName val="1_004"/>
      <sheetName val="Boq_Block_A4"/>
      <sheetName val="Estimate_Abstract3"/>
      <sheetName val="Abstract_Micro3"/>
      <sheetName val="Civil_Boq3"/>
      <sheetName val="labour_rates3"/>
      <sheetName val="Break_Dw3"/>
      <sheetName val="BOQ_LT3"/>
      <sheetName val="Approved_MTD_Proj_#'s3"/>
      <sheetName val="labour_coeff3"/>
      <sheetName val="kppl_pl3"/>
      <sheetName val="STAFFSCHED_3"/>
      <sheetName val="UPA(Part_C,D,E,G,H)6"/>
      <sheetName val="UPA(Part_F)6"/>
      <sheetName val="600_thrst4"/>
      <sheetName val="Labour_Bill11"/>
      <sheetName val="Structure_Bills_Qty11"/>
      <sheetName val="NMR_Bills11"/>
      <sheetName val="Finishes_Bills11"/>
      <sheetName val="Break_up_Sheet11"/>
      <sheetName val="TBAL9697_-group_wise__sdpl11"/>
      <sheetName val="Basement_Budget11"/>
      <sheetName val="Rate_analysis11"/>
      <sheetName val="Fin_Sum11"/>
      <sheetName val="Pacakges_split10"/>
      <sheetName val="key_dates10"/>
      <sheetName val="CFForecast_detail10"/>
      <sheetName val="Fill_this_out_first___10"/>
      <sheetName val="Civil_Works10"/>
      <sheetName val="PRECAST_lightconc-II10"/>
      <sheetName val="SPILL_OVER_PROJECTIONS10"/>
      <sheetName val="SPILL_OVER10"/>
      <sheetName val="Staff_Acco_9"/>
      <sheetName val="BLOCK-A_(MEA_SHEET)9"/>
      <sheetName val="B_&amp;_C_class_items_9"/>
      <sheetName val="intr_stool_brkup9"/>
      <sheetName val="SPT_vs_PHI9"/>
      <sheetName val="INDIGINEOUS_ITEMS_9"/>
      <sheetName val="Abstract_Sheet6"/>
      <sheetName val="BILL_COV3"/>
      <sheetName val="Column_Blk_13"/>
      <sheetName val="Rft_Footing_Blk_13"/>
      <sheetName val="Beam_FF,SF_Blk_13"/>
      <sheetName val="Slab_FF,SF_Blk_23"/>
      <sheetName val="Swimming_pool3"/>
      <sheetName val="M_S_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Legal_Risk_Analysis3"/>
      <sheetName val="2nd_3"/>
      <sheetName val="1_003"/>
      <sheetName val="Boq_Block_A3"/>
      <sheetName val="Estimate_Abstract2"/>
      <sheetName val="Abstract_Micro2"/>
      <sheetName val="Civil_Boq2"/>
      <sheetName val="labour_rates2"/>
      <sheetName val="Break_Dw2"/>
      <sheetName val="BOQ_LT2"/>
      <sheetName val="Approved_MTD_Proj_#'s2"/>
      <sheetName val="labour_coeff2"/>
      <sheetName val="kppl_pl2"/>
      <sheetName val="STAFFSCHED_2"/>
      <sheetName val="UPA(Part_C,D,E,G,H)5"/>
      <sheetName val="UPA(Part_F)5"/>
      <sheetName val="600_thrst3"/>
      <sheetName val="Labour_Bill10"/>
      <sheetName val="Structure_Bills_Qty10"/>
      <sheetName val="NMR_Bills10"/>
      <sheetName val="Finishes_Bills10"/>
      <sheetName val="Break_up_Sheet10"/>
      <sheetName val="TBAL9697_-group_wise__sdpl10"/>
      <sheetName val="Basement_Budget10"/>
      <sheetName val="Rate_analysis10"/>
      <sheetName val="Fin_Sum10"/>
      <sheetName val="Pacakges_split9"/>
      <sheetName val="key_dates9"/>
      <sheetName val="CFForecast_detail9"/>
      <sheetName val="Fill_this_out_first___9"/>
      <sheetName val="Civil_Works9"/>
      <sheetName val="PRECAST_lightconc-II9"/>
      <sheetName val="SPILL_OVER_PROJECTIONS9"/>
      <sheetName val="SPILL_OVER9"/>
      <sheetName val="Staff_Acco_8"/>
      <sheetName val="BLOCK-A_(MEA_SHEET)8"/>
      <sheetName val="B_&amp;_C_class_items_8"/>
      <sheetName val="intr_stool_brkup8"/>
      <sheetName val="SPT_vs_PHI8"/>
      <sheetName val="INDIGINEOUS_ITEMS_8"/>
      <sheetName val="Abstract_Sheet5"/>
      <sheetName val="BILL_COV2"/>
      <sheetName val="Column_Blk_12"/>
      <sheetName val="Rft_Footing_Blk_12"/>
      <sheetName val="Beam_FF,SF_Blk_12"/>
      <sheetName val="Slab_FF,SF_Blk_22"/>
      <sheetName val="Swimming_pool2"/>
      <sheetName val="M_S_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Legal_Risk_Analysis2"/>
      <sheetName val="2nd_2"/>
      <sheetName val="1_002"/>
      <sheetName val="Boq_Block_A2"/>
      <sheetName val="Estimate_Abstract1"/>
      <sheetName val="Abstract_Micro1"/>
      <sheetName val="Civil_Boq1"/>
      <sheetName val="labour_rates1"/>
      <sheetName val="Break_Dw1"/>
      <sheetName val="BOQ_LT1"/>
      <sheetName val="Approved_MTD_Proj_#'s1"/>
      <sheetName val="labour_coeff1"/>
      <sheetName val="kppl_pl1"/>
      <sheetName val="STAFFSCHED_1"/>
      <sheetName val="UPA(Part_C,D,E,G,H)4"/>
      <sheetName val="UPA(Part_F)4"/>
      <sheetName val="600_thrst2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ssumption Inputs"/>
      <sheetName val="B1"/>
      <sheetName val="cont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Maintenances-Materials"/>
      <sheetName val="Assumption Inputs"/>
      <sheetName val="Detail"/>
      <sheetName val="PCC"/>
      <sheetName val="Structure Bills Qty"/>
      <sheetName val="Granite works"/>
      <sheetName val="Pranav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Assumption_Inputs"/>
      <sheetName val="Structure_Bills_Qty"/>
      <sheetName val="Granite_works"/>
      <sheetName val="Detail In Door Stad"/>
      <sheetName val="Design"/>
      <sheetName val="B1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Structure_Bills_Qty1"/>
      <sheetName val="Assumption_Inputs1"/>
      <sheetName val="Costing"/>
      <sheetName val="Control"/>
      <sheetName val="405"/>
      <sheetName val="427"/>
      <sheetName val="403"/>
      <sheetName val="#REF"/>
      <sheetName val="Break up Sheet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Assumption_Inputs2"/>
      <sheetName val="Structure_Bills_Qty2"/>
      <sheetName val="SECPROP"/>
      <sheetName val="factors"/>
      <sheetName val="Cover"/>
      <sheetName val="Sheet3"/>
      <sheetName val="2gii"/>
      <sheetName val="共機J"/>
      <sheetName val="rcc( sub)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Assumption_Inputs8"/>
      <sheetName val="Structure_Bills_Qty8"/>
      <sheetName val="Granite_works6"/>
      <sheetName val="Detail_In_Door_Stad5"/>
      <sheetName val="Break_up_Sheet5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Assumption_Inputs6"/>
      <sheetName val="Structure_Bills_Qty6"/>
      <sheetName val="Granite_works4"/>
      <sheetName val="Detail_In_Door_Stad3"/>
      <sheetName val="Break_up_Sheet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Assumption_Inputs5"/>
      <sheetName val="Structure_Bills_Qty5"/>
      <sheetName val="Granite_works3"/>
      <sheetName val="Detail_In_Door_Stad2"/>
      <sheetName val="Break_up_Sheet2"/>
      <sheetName val="rcc(_sub)2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Assumption_Inputs3"/>
      <sheetName val="Structure_Bills_Qty3"/>
      <sheetName val="Granite_works1"/>
      <sheetName val="Detail_In_Door_Stad"/>
      <sheetName val="Break_up_Sheet"/>
      <sheetName val="rcc(_sub)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Assumption_Inputs4"/>
      <sheetName val="Structure_Bills_Qty4"/>
      <sheetName val="Granite_works2"/>
      <sheetName val="Detail_In_Door_Stad1"/>
      <sheetName val="Break_up_Sheet1"/>
      <sheetName val="rcc(_sub)1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Assumption_Inputs7"/>
      <sheetName val="Structure_Bills_Qty7"/>
      <sheetName val="Granite_works5"/>
      <sheetName val="Detail_In_Door_Stad4"/>
      <sheetName val="Break_up_Sheet4"/>
      <sheetName val="rcc(_sub)3"/>
      <sheetName val="rcc(_sub)4"/>
      <sheetName val="00010(A)"/>
      <sheetName val="0020(A)"/>
      <sheetName val="00030(A)"/>
      <sheetName val="00040(A)"/>
      <sheetName val="00050(A)"/>
      <sheetName val="0060(A)"/>
      <sheetName val="00030(B)"/>
      <sheetName val="00040(B)"/>
      <sheetName val="00050(B)"/>
      <sheetName val="0060(B)"/>
      <sheetName val="SPT vs PHI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Assumption_Inputs9"/>
      <sheetName val="Structure_Bills_Qty9"/>
      <sheetName val="Granite_works7"/>
      <sheetName val="Detail_In_Door_Stad6"/>
      <sheetName val="Break_up_Sheet6"/>
      <sheetName val="rcc(_sub)5"/>
      <sheetName val="BLOCK-A (MEA.SHEET)"/>
      <sheetName val="CASHFLOWS"/>
      <sheetName val="Data sheet"/>
      <sheetName val="PRECAST lightconc-II"/>
      <sheetName val="TBAL9697 -group wise  sdpl"/>
      <sheetName val="Fin Sum"/>
      <sheetName val="Project Budget Worksheet"/>
      <sheetName val="analysis"/>
      <sheetName val="BASIS -DEC 08"/>
      <sheetName val="Basisdaten"/>
      <sheetName val="Vordruck-Nr. 7.1.3_D"/>
      <sheetName val="Ersatzteile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caff-Rose"/>
      <sheetName val="INPUT SHEET"/>
      <sheetName val="para"/>
      <sheetName val="Basic"/>
      <sheetName val="E &amp; R"/>
      <sheetName val="radar"/>
      <sheetName val="UG"/>
      <sheetName val="BLK2"/>
      <sheetName val="BLK3"/>
      <sheetName val="Manpower"/>
      <sheetName val="Sheet1"/>
      <sheetName val="M.S."/>
      <sheetName val="p&amp;m"/>
      <sheetName val="1.00"/>
      <sheetName val="Works - Quote Sheet"/>
      <sheetName val="Assmpns"/>
      <sheetName val="Internal Finishes (Unit types)"/>
      <sheetName val="Global Assm."/>
      <sheetName val="STEEL STRUCTURE"/>
      <sheetName val="CABLERET"/>
      <sheetName val="Wordsdata"/>
      <sheetName val="item"/>
      <sheetName val="SPILL OVER"/>
      <sheetName val="pri-com"/>
      <sheetName val="Calc"/>
      <sheetName val="Final Bill of Material"/>
      <sheetName val="KP1590_E"/>
      <sheetName val="Meas.-Hotel Part"/>
      <sheetName val="NOT FULL RESTRAINT"/>
      <sheetName val="BEARING &amp; BUCKLING"/>
      <sheetName val="PFC"/>
      <sheetName val="RSJ"/>
      <sheetName val="Basement Budget"/>
      <sheetName val="Door"/>
      <sheetName val="Price Comparison"/>
      <sheetName val="Detail 1A"/>
      <sheetName val="Rate"/>
      <sheetName val="old_serial no."/>
      <sheetName val="tot_ass_9697"/>
      <sheetName val="UC"/>
      <sheetName val="final abstrac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detail'02"/>
      <sheetName val="Detail P&amp;L"/>
      <sheetName val="Assumption Sheet"/>
      <sheetName val="Riser-1"/>
      <sheetName val="Cost summary"/>
      <sheetName val="S1BOQ"/>
      <sheetName val="ridgewood"/>
      <sheetName val="Sheet2"/>
      <sheetName val="Old"/>
      <sheetName val="Introduction"/>
      <sheetName val="Operating Statistics"/>
      <sheetName val="Financials"/>
      <sheetName val="입찰내역 발주처 양식"/>
      <sheetName val="Name List"/>
      <sheetName val="Fee Rate Summary"/>
      <sheetName val="Makro1"/>
      <sheetName val="LEVEL SHEET"/>
      <sheetName val="Staff Acco."/>
      <sheetName val="banilad"/>
      <sheetName val="Mactan"/>
      <sheetName val="Mandaue"/>
      <sheetName val="PRICE-COMP"/>
      <sheetName val="FitOutConfCentre"/>
      <sheetName val="RA-markate"/>
      <sheetName val="Build-up"/>
      <sheetName val="FINOLEX"/>
      <sheetName val="Data"/>
      <sheetName val="Lead"/>
      <sheetName val="LABOUR SALARY "/>
      <sheetName val="TRIAL BALANC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tress Calculation"/>
      <sheetName val="SITE OVERHEADS"/>
      <sheetName val="Equipment List (Process)"/>
      <sheetName val="Load Details(B2)"/>
      <sheetName val="Measurment"/>
      <sheetName val="Precalculation"/>
      <sheetName val="Notes"/>
      <sheetName val="concrete"/>
      <sheetName val="Labor abs-NMR"/>
      <sheetName val="WM -Expenses Statement "/>
      <sheetName val="PM use"/>
      <sheetName val="PM use??P_x0011_ M&amp;E"/>
      <sheetName val="Tower Crane Oper"/>
      <sheetName val="PM use__P_x0011_ M&amp;E"/>
      <sheetName val="SCHEDULE"/>
      <sheetName val="PointNo.5"/>
      <sheetName val="PM use_x0000__x0000_P_x0011_ M&amp;E"/>
      <sheetName val="Tower Crane Oper_x0000_n4on"/>
      <sheetName val="Assumptions"/>
      <sheetName val="Basis"/>
      <sheetName val="AS_PER_TALLY10"/>
      <sheetName val="det_04_0510"/>
      <sheetName val="A_block10"/>
      <sheetName val="B_block10"/>
      <sheetName val="A-Class_material_new10"/>
      <sheetName val="MS_Items10"/>
      <sheetName val="Shuttering_Working10"/>
      <sheetName val="Scaffolding__@_THE_END10"/>
      <sheetName val="Scaffolding_rec10"/>
      <sheetName val="Scaffolding_10"/>
      <sheetName val="steel_10"/>
      <sheetName val="PM_ch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Establishment_ch_10"/>
      <sheetName val="Staff_Salary10"/>
      <sheetName val="Training_sheet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SPT_vs_PHI"/>
      <sheetName val="Costing Aug 31 recon - Tulip-pq"/>
      <sheetName val="PM useP_x0011_ M&amp;E"/>
      <sheetName val="Tower Crane Opern4on"/>
      <sheetName val="Abs PMRL"/>
      <sheetName val="Citrix"/>
      <sheetName val="AoR Finishing"/>
      <sheetName val="A.O.R r1Str"/>
      <sheetName val="Balustrade"/>
      <sheetName val="Addl.40"/>
      <sheetName val="Main-Material"/>
      <sheetName val="Reference Data"/>
      <sheetName val="E_&amp;_R"/>
      <sheetName val="Vordruck-Nr__7_1_3_D"/>
      <sheetName val="M&amp;A_D"/>
      <sheetName val="M&amp;A_E"/>
      <sheetName val="M&amp;A_G"/>
      <sheetName val="PRECAST_lightconc-II"/>
      <sheetName val="Data_sheet"/>
      <sheetName val="TBAL9697_-group_wise__sdpl"/>
      <sheetName val="Fin_Sum"/>
      <sheetName val="Project_Budget_Worksheet"/>
      <sheetName val="BASIS_-DEC_08"/>
      <sheetName val="BLOCK-A_(MEA_SHEET)"/>
      <sheetName val="Basement_Budget"/>
      <sheetName val="Internal_Finishes_(Unit_types)"/>
      <sheetName val="Global_Assm_"/>
      <sheetName val="STEEL_STRUCTURE"/>
      <sheetName val="KSt - Analysis 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RCC,Ret. Wall"/>
      <sheetName val="MASTER_RATE_ANALYSIS"/>
      <sheetName val="Insurance Ext"/>
      <sheetName val="Prelims"/>
      <sheetName val="Tender Summary"/>
      <sheetName val="office"/>
      <sheetName val="IO List"/>
      <sheetName val="FORM7"/>
      <sheetName val="SOR"/>
      <sheetName val=" COP 100%"/>
      <sheetName val="M-Book for Conc"/>
      <sheetName val="M-Book for FW"/>
      <sheetName val="upa"/>
      <sheetName val="Requirements"/>
      <sheetName val="Storage"/>
      <sheetName val="Financial"/>
      <sheetName val="pol-60"/>
      <sheetName val="BOQ"/>
      <sheetName val="COLUMN"/>
      <sheetName val="RA"/>
      <sheetName val="M.R.List (2)"/>
      <sheetName val="Boq (Main Building)"/>
      <sheetName val="Debits as on 12.04.08"/>
      <sheetName val="girder"/>
      <sheetName val="Materials Cost"/>
      <sheetName val="S2groupcode"/>
      <sheetName val="Benutzungshinweise"/>
      <sheetName val="RES-PLANNING"/>
      <sheetName val="Costing_Aug_31_recon_-_Tulip-pq"/>
      <sheetName val="INPUT_SHEET"/>
      <sheetName val="r"/>
      <sheetName val="Works_-_Quote_Sheet"/>
      <sheetName val="intr stool br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ors&amp;wind"/>
      <sheetName val="ABST"/>
      <sheetName val="fin grud"/>
      <sheetName val="fin gym)"/>
      <sheetName val="fin roof &amp; Misc"/>
      <sheetName val="fin TYP"/>
      <sheetName val="rcc( sub)"/>
      <sheetName val="rcc( super) "/>
      <sheetName val="External"/>
      <sheetName val="Misc &amp; roof"/>
      <sheetName val="mas &amp; ext.plas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Rate analysis"/>
      <sheetName val="Structure Bills Qty"/>
      <sheetName val="Load Details(B2)"/>
      <sheetName val="Break up Sheet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Rate_analysis5"/>
      <sheetName val="Load_Details(B2)5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Rate_analysis3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Rate_analysis2"/>
      <sheetName val="Load_Details(B2)2"/>
      <sheetName val="Structure_Bills_Qty2"/>
      <sheetName val="Break_up_Sheet2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Rate_analysis"/>
      <sheetName val="Load_Details(B2)"/>
      <sheetName val="Structure_Bills_Qty"/>
      <sheetName val="Break_up_Sheet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Rate_analysis1"/>
      <sheetName val="Load_Details(B2)1"/>
      <sheetName val="Structure_Bills_Qty1"/>
      <sheetName val="Break_up_Sheet1"/>
      <sheetName val="Load_Details(B2)3"/>
      <sheetName val="Structure_Bills_Qty3"/>
      <sheetName val="Break_up_Sheet3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Rate_analysis4"/>
      <sheetName val="Load_Details(B2)4"/>
      <sheetName val="Structure_Bills_Qty4"/>
      <sheetName val="Break_up_Sheet4"/>
      <sheetName val="Structure_Bills_Qty5"/>
      <sheetName val="Break_up_Sheet5"/>
      <sheetName val="intr stool brkup"/>
      <sheetName val="Design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Rate_analysis6"/>
      <sheetName val="Load_Details(B2)6"/>
      <sheetName val="Structure_Bills_Qty6"/>
      <sheetName val="Break_up_Sheet6"/>
      <sheetName val="intr_stool_brkup"/>
      <sheetName val="BLOCK-A (MEA.SHEET)"/>
      <sheetName val="std"/>
      <sheetName val="CERTIFICATE"/>
      <sheetName val="CTC"/>
      <sheetName val="Conc"/>
      <sheetName val="Sheet3"/>
      <sheetName val="Main Villa-Walls"/>
      <sheetName val="2 &amp; 3 CG 78 V"/>
      <sheetName val="Detail In Door Stad"/>
      <sheetName val="A0744339"/>
      <sheetName val="final abstract"/>
      <sheetName val="A-General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Rate_analysis7"/>
      <sheetName val="Structure_Bills_Qty7"/>
      <sheetName val="Load_Details(B2)7"/>
      <sheetName val="Break_up_Sheet7"/>
      <sheetName val="intr_stool_brkup1"/>
      <sheetName val="BLOCK-A_(MEA_SHEET)"/>
      <sheetName val="Main_Villa-Walls"/>
      <sheetName val="2_&amp;_3_CG_78_V"/>
      <sheetName val="Detail_In_Door_Stad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Rate_analysis10"/>
      <sheetName val="Structure_Bills_Qty10"/>
      <sheetName val="Load_Details(B2)10"/>
      <sheetName val="Break_up_Sheet10"/>
      <sheetName val="intr_stool_brkup4"/>
      <sheetName val="BLOCK-A_(MEA_SHEET)3"/>
      <sheetName val="Main_Villa-Walls3"/>
      <sheetName val="2_&amp;_3_CG_78_V3"/>
      <sheetName val="Detail_In_Door_Stad3"/>
      <sheetName val="final_abstract2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Rate_analysis9"/>
      <sheetName val="Structure_Bills_Qty9"/>
      <sheetName val="Load_Details(B2)9"/>
      <sheetName val="Break_up_Sheet9"/>
      <sheetName val="intr_stool_brkup3"/>
      <sheetName val="BLOCK-A_(MEA_SHEET)2"/>
      <sheetName val="Main_Villa-Walls2"/>
      <sheetName val="2_&amp;_3_CG_78_V2"/>
      <sheetName val="Detail_In_Door_Stad2"/>
      <sheetName val="final_abstract1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Rate_analysis8"/>
      <sheetName val="Structure_Bills_Qty8"/>
      <sheetName val="Load_Details(B2)8"/>
      <sheetName val="Break_up_Sheet8"/>
      <sheetName val="intr_stool_brkup2"/>
      <sheetName val="BLOCK-A_(MEA_SHEET)1"/>
      <sheetName val="Main_Villa-Walls1"/>
      <sheetName val="2_&amp;_3_CG_78_V1"/>
      <sheetName val="Detail_In_Door_Stad1"/>
      <sheetName val="final_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eam"/>
      <sheetName val="Plinth beam"/>
      <sheetName val="Slab"/>
      <sheetName val="column"/>
      <sheetName val="Pile "/>
      <sheetName val="Staircase"/>
      <sheetName val="Lift &amp; Basement wall"/>
      <sheetName val="OHT"/>
      <sheetName val="rcc( sub)"/>
      <sheetName val="std"/>
      <sheetName val="Break up Sheet"/>
      <sheetName val="Headings"/>
      <sheetName val="BLOCK-A (MEA.SHEET)"/>
      <sheetName val="RENT MASTER FILE"/>
      <sheetName val="Rate analysis"/>
      <sheetName val="Staff Acco."/>
      <sheetName val="Labor abs-PW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commo_x000b__x0000__x0000_ea"/>
      <sheetName val="MASS EXCAVAS_x0000_E_x0002_"/>
      <sheetName val="commo_x000b_"/>
      <sheetName val="commo_x000b_??ea"/>
      <sheetName val="MASS EXCAVAS?E_x0002_"/>
      <sheetName val="E_x0000_E_x0000_ment"/>
      <sheetName val="E_x0000_EÂment"/>
      <sheetName val="MASS EXCAVAS"/>
      <sheetName val="commo_x000b___ea"/>
      <sheetName val="MASS EXCAVAS_E_x0002_"/>
      <sheetName val="FOOTING AND EN_x0000_ _x0001_ATION"/>
      <sheetName val="E"/>
      <sheetName val="E?E?ment"/>
      <sheetName val="E?EÂment"/>
      <sheetName val="FOOTING AND EN"/>
      <sheetName val="E_E_ment"/>
      <sheetName val="E_EÂment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commoea"/>
      <sheetName val="MASS_EXCAVASE"/>
      <sheetName val="commo"/>
      <sheetName val="commo??ea"/>
      <sheetName val="MASS_EXCAVAS?E"/>
      <sheetName val="MASS_EXCAVAS"/>
      <sheetName val="commo__ea"/>
      <sheetName val="MASS_EXCAVAS_E"/>
      <sheetName val="EEment"/>
      <sheetName val="EEÂment"/>
      <sheetName val="FOOTING_AND_EN_ATION"/>
      <sheetName val="FOOTING_AND_EN"/>
      <sheetName val="concrete"/>
      <sheetName val="Rate analysis"/>
      <sheetName val="rcc( sub)"/>
      <sheetName val="commo_x005f_x000b__x005f_x0000__x005f_x0000_ea"/>
      <sheetName val="commo_x005f_x000b_"/>
      <sheetName val="MASS EXCAVAS_x005f_x0000_E_x005f_x0002_"/>
      <sheetName val="commo_x005f_x000b___ea"/>
      <sheetName val="MASS EXCAVAS_E_x005f_x0002_"/>
      <sheetName val="E_x005f_x0000_E_x005f_x0000_ment"/>
      <sheetName val="E_x005f_x0000_EÂment"/>
      <sheetName val="FOOTING AND EN_x005f_x0000_ _x005f_x0001_AT"/>
      <sheetName val="analysis"/>
      <sheetName val="97-98"/>
      <sheetName val="Slab"/>
      <sheetName val="MASS EXCAVASE_x0002_"/>
      <sheetName val="FOOTING AND EN _x0001_ATION"/>
      <sheetName val="Headings"/>
      <sheetName val="CERTIFICATE"/>
      <sheetName val="p&amp;m"/>
      <sheetName val="Structure Bills Qty"/>
      <sheetName val="discounts_XP140"/>
      <sheetName val="Design"/>
      <sheetName val="Labels"/>
      <sheetName val="BILL COV"/>
      <sheetName val="Sheet2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MASS_EXCAVAS6"/>
      <sheetName val="FOOTING_AND_EN6"/>
      <sheetName val="rcc(_sub)5"/>
      <sheetName val="Rate_analysis5"/>
      <sheetName val="MASS_EXCAVAS_x005f_x0000_E_x005f_x0002_5"/>
      <sheetName val="MASS_EXCAVAS_E_x005f_x0002_5"/>
      <sheetName val="FOOTING_AND_EN_x005f_x0000___x005f_x0001_A5"/>
      <sheetName val="Structure_Bills_Qt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MASS_EXCAVAS4"/>
      <sheetName val="FOOTING_AND_EN4"/>
      <sheetName val="rcc(_sub)3"/>
      <sheetName val="Rate_analysis3"/>
      <sheetName val="MASS_EXCAVAS_x005f_x0000_E_x005f_x0002_3"/>
      <sheetName val="MASS_EXCAVAS_E_x005f_x0002_3"/>
      <sheetName val="FOOTING_AND_EN_x005f_x0000___x005f_x0001_A3"/>
      <sheetName val="Structure_Bills_Qty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MASS_EXCAVAS3"/>
      <sheetName val="FOOTING_AND_EN3"/>
      <sheetName val="rcc(_sub)2"/>
      <sheetName val="Rate_analysis2"/>
      <sheetName val="MASS_EXCAVAS_x005f_x0000_E_x005f_x0002_2"/>
      <sheetName val="MASS_EXCAVAS_E_x005f_x0002_2"/>
      <sheetName val="FOOTING_AND_EN_x005f_x0000___x005f_x0001_A2"/>
      <sheetName val="Structure_Bills_Qt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MASS_EXCAVAS1"/>
      <sheetName val="FOOTING_AND_EN1"/>
      <sheetName val="rcc(_sub)"/>
      <sheetName val="Rate_analysis"/>
      <sheetName val="MASS_EXCAVAS_x005f_x0000_E_x005f_x0002_"/>
      <sheetName val="MASS_EXCAVAS_E_x005f_x0002_"/>
      <sheetName val="FOOTING_AND_EN_x005f_x0000___x005f_x0001_AT"/>
      <sheetName val="Structure_Bills_Qt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MASS_EXCAVAS2"/>
      <sheetName val="FOOTING_AND_EN2"/>
      <sheetName val="rcc(_sub)1"/>
      <sheetName val="Rate_analysis1"/>
      <sheetName val="MASS_EXCAVAS_x005f_x0000_E_x005f_x0002_1"/>
      <sheetName val="MASS_EXCAVAS_E_x005f_x0002_1"/>
      <sheetName val="FOOTING_AND_EN_x005f_x0000___x005f_x0001_A1"/>
      <sheetName val="Structure_Bills_Qty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MASS_EXCAVAS5"/>
      <sheetName val="FOOTING_AND_EN5"/>
      <sheetName val="rcc(_sub)4"/>
      <sheetName val="Rate_analysis4"/>
      <sheetName val="MASS_EXCAVAS_x005f_x0000_E_x005f_x0002_4"/>
      <sheetName val="MASS_EXCAVAS_E_x005f_x0002_4"/>
      <sheetName val="FOOTING_AND_EN_x005f_x0000___x005f_x0001_A4"/>
      <sheetName val="Structure_Bills_Qty4"/>
      <sheetName val="IT-Fri Base"/>
      <sheetName val="CMISFA"/>
      <sheetName val="00acttbl"/>
      <sheetName val="PSrpt25"/>
      <sheetName val="00budtbl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MASS_EXCAVAS7"/>
      <sheetName val="FOOTING_AND_EN7"/>
      <sheetName val="Rate_analysis6"/>
      <sheetName val="rcc(_sub)6"/>
      <sheetName val="MASS_EXCAVAS_x005f_x0000_E_x005f_x0002_6"/>
      <sheetName val="MASS_EXCAVAS_E_x005f_x0002_6"/>
      <sheetName val="FOOTING_AND_EN_x005f_x0000___x005f_x0001_A6"/>
      <sheetName val="Structure_Bills_Qty6"/>
      <sheetName val="BILL_COV"/>
      <sheetName val="SPT vs PHI"/>
      <sheetName val="Footings"/>
      <sheetName val="organi synthesis lab"/>
      <sheetName val="BOQ"/>
      <sheetName val="Indices"/>
      <sheetName val="GR.slab-reinft"/>
      <sheetName val="labour coeff"/>
      <sheetName val="item"/>
      <sheetName val="Wordsdata"/>
      <sheetName val="GBW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RES-PLANNING"/>
      <sheetName val="INPUT SHEET"/>
      <sheetName val="Civil Boq"/>
      <sheetName val="Ave_wtd_rates"/>
      <sheetName val="Material_"/>
      <sheetName val="Labour_&amp;_Plant"/>
      <sheetName val="Costing"/>
      <sheetName val="banilad"/>
      <sheetName val="Mactan"/>
      <sheetName val="Mandaue"/>
      <sheetName val="SCHEDULE"/>
      <sheetName val="FOOTING AND EN? _x0001_ATION"/>
      <sheetName val="detail'02"/>
      <sheetName val="FITZ MORT 94"/>
      <sheetName val="Road work"/>
      <sheetName val="Load Details(B2)"/>
      <sheetName val="ASS"/>
      <sheetName val="Cases"/>
      <sheetName val="Wgs sht - old style"/>
      <sheetName val="MECH-1"/>
      <sheetName val="Bill 1"/>
      <sheetName val="Bill 2"/>
      <sheetName val="Bill 3"/>
      <sheetName val="Bill 4"/>
      <sheetName val="Bill 5"/>
      <sheetName val="Bill 6"/>
      <sheetName val="Bill 7"/>
      <sheetName val="MASTER WORK SHEET - ESTIMATE HI"/>
      <sheetName val="final abstract"/>
      <sheetName val="Wgs_sht_-_old_style"/>
      <sheetName val="Bill_1"/>
      <sheetName val="Bill_2"/>
      <sheetName val="Bill_3"/>
      <sheetName val="Bill_4"/>
      <sheetName val="Bill_5"/>
      <sheetName val="Bill_6"/>
      <sheetName val="Bill_7"/>
      <sheetName val="MASTER_WORK_SHEET_-_ESTIMATE_HI"/>
      <sheetName val="final_abstract"/>
      <sheetName val="Wgs_sht_-_old_style1"/>
      <sheetName val="Bill_11"/>
      <sheetName val="Bill_21"/>
      <sheetName val="Bill_31"/>
      <sheetName val="Bill_41"/>
      <sheetName val="Bill_51"/>
      <sheetName val="Bill_61"/>
      <sheetName val="Bill_71"/>
      <sheetName val="MASTER_WORK_SHEET_-_ESTIMATE_H1"/>
      <sheetName val="final_abstract1"/>
      <sheetName val="Summary"/>
      <sheetName val="all item 475f,e,e1"/>
      <sheetName val="Wgs_sht_-_old_style2"/>
      <sheetName val="Bill_12"/>
      <sheetName val="Bill_22"/>
      <sheetName val="Bill_32"/>
      <sheetName val="Bill_42"/>
      <sheetName val="Bill_52"/>
      <sheetName val="Bill_62"/>
      <sheetName val="Bill_72"/>
      <sheetName val="MASTER_WORK_SHEET_-_ESTIMATE_H2"/>
      <sheetName val="final_abstract2"/>
      <sheetName val="all_item_475f,e,e1"/>
      <sheetName val="BHANDUP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MASS_EXCAVAS8"/>
      <sheetName val="FOOTING_AND_EN8"/>
      <sheetName val="Rate_analysis7"/>
      <sheetName val="rcc(_sub)7"/>
      <sheetName val="MASS_EXCAVAS_x005f_x0000_E_x005f_x0002_7"/>
      <sheetName val="MASS_EXCAVAS_E_x005f_x0002_7"/>
      <sheetName val="FOOTING_AND_EN_x005f_x0000___x005f_x0001_A7"/>
      <sheetName val="Structure_Bills_Qty7"/>
      <sheetName val="BILL_COV1"/>
      <sheetName val="SPT_vs_PHI"/>
      <sheetName val="IT-Fri_Base"/>
      <sheetName val="organi_synthesis_lab"/>
      <sheetName val="GR_slab-reinft"/>
      <sheetName val="labour_coeff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INPUT_SHEET"/>
      <sheetName val="Civil_Boq"/>
      <sheetName val="FOOTING_AND_EN?_ATION"/>
      <sheetName val="FITZ_MORT_94"/>
      <sheetName val="Road_work"/>
      <sheetName val="Load_Details(B2)"/>
      <sheetName val="Wgs_sht_-_old_style3"/>
      <sheetName val="Bill_13"/>
      <sheetName val="Bill_23"/>
      <sheetName val="Bill_33"/>
      <sheetName val="Bill_43"/>
      <sheetName val="Bill_53"/>
      <sheetName val="Bill_63"/>
      <sheetName val="Bill_73"/>
      <sheetName val="MASTER_WORK_SHEET_-_ESTIMATE_H3"/>
      <sheetName val="final_abstract3"/>
      <sheetName val="all_item_475f,e,e11"/>
      <sheetName val="FOOTING AND EN _x0001_AT"/>
      <sheetName val="MASS_EXCAVASE_x0002_5"/>
      <sheetName val="MASS_EXCAVAS_E_x0002_5"/>
      <sheetName val="FOOTING_AND_EN__x0001_A5"/>
      <sheetName val="MASS_EXCAVASE_x0002_3"/>
      <sheetName val="MASS_EXCAVAS_E_x0002_3"/>
      <sheetName val="FOOTING_AND_EN__x0001_A3"/>
      <sheetName val="MASS_EXCAVASE_x0002_2"/>
      <sheetName val="MASS_EXCAVAS_E_x0002_2"/>
      <sheetName val="FOOTING_AND_EN__x0001_A2"/>
      <sheetName val="MASS_EXCAVASE_x0002_"/>
      <sheetName val="MASS_EXCAVAS_E_x0002_"/>
      <sheetName val="FOOTING_AND_EN__x0001_AT"/>
      <sheetName val="MASS_EXCAVASE_x0002_1"/>
      <sheetName val="MASS_EXCAVAS_E_x0002_1"/>
      <sheetName val="FOOTING_AND_EN__x0001_A1"/>
      <sheetName val="MASS_EXCAVASE_x0002_4"/>
      <sheetName val="MASS_EXCAVAS_E_x0002_4"/>
      <sheetName val="FOOTING_AND_EN__x0001_A4"/>
      <sheetName val="MASS_EXCAVASE_x0002_6"/>
      <sheetName val="MASS_EXCAVAS_E_x0002_6"/>
      <sheetName val="FOOTING_AND_EN__x0001_A6"/>
      <sheetName val="FOOTING AND EN_x0000_ _x0001_AT"/>
      <sheetName val="MASS_EXCAVAS_x0000_E_x0002_5"/>
      <sheetName val="FOOTING_AND_EN_x0000___x0001_A5"/>
      <sheetName val="MASS_EXCAVAS_x0000_E_x0002_3"/>
      <sheetName val="FOOTING_AND_EN_x0000___x0001_A3"/>
      <sheetName val="MASS_EXCAVAS_x0000_E_x0002_2"/>
      <sheetName val="FOOTING_AND_EN_x0000___x0001_A2"/>
      <sheetName val="MASS_EXCAVAS_x0000_E_x0002_"/>
      <sheetName val="FOOTING_AND_EN_x0000___x0001_AT"/>
      <sheetName val="MASS_EXCAVAS_x0000_E_x0002_1"/>
      <sheetName val="FOOTING_AND_EN_x0000___x0001_A1"/>
      <sheetName val="MASS_EXCAVAS_x0000_E_x0002_4"/>
      <sheetName val="FOOTING_AND_EN_x0000___x0001_A4"/>
      <sheetName val="MASS_EXCAVAS_x0000_E_x0002_6"/>
      <sheetName val="FOOTING_AND_EN_x0000___x0001_A6"/>
      <sheetName val="keyword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MASS_EXCAVASE7"/>
      <sheetName val="MASS_EXCAVAS11"/>
      <sheetName val="MASS_EXCAVAS_E7"/>
      <sheetName val="FOOTING_AND_EN11"/>
      <sheetName val="Rate_analysis10"/>
      <sheetName val="rcc(_sub)10"/>
      <sheetName val="MASS_EXCAVAS_x005f_x0000_E_x005f_x0002_10"/>
      <sheetName val="MASS_EXCAVAS_E_x005f_x0002_10"/>
      <sheetName val="FOOTING_AND_EN_x005f_x0000___x005f_x0001_10"/>
      <sheetName val="Structure_Bills_Qty10"/>
      <sheetName val="BILL_COV4"/>
      <sheetName val="SPT_vs_PHI3"/>
      <sheetName val="IT-Fri_Base3"/>
      <sheetName val="organi_synthesis_lab3"/>
      <sheetName val="GR_slab-reinft3"/>
      <sheetName val="labour_coeff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INPUT_SHEET3"/>
      <sheetName val="Civil_Boq3"/>
      <sheetName val="FITZ_MORT_943"/>
      <sheetName val="Road_work3"/>
      <sheetName val="Load_Details(B2)3"/>
      <sheetName val="FOOTING_AND_EN_AT1"/>
      <sheetName val="MASS_EXCAVASE5"/>
      <sheetName val="MASS_EXCAVAS_E5"/>
      <sheetName val="FOOTING_AND_EN_A5"/>
      <sheetName val="MASS_EXCAVASE3"/>
      <sheetName val="MASS_EXCAVAS_E3"/>
      <sheetName val="FOOTING_AND_EN_A3"/>
      <sheetName val="MASS_EXCAVASE2"/>
      <sheetName val="MASS_EXCAVAS_E2"/>
      <sheetName val="FOOTING_AND_EN_A2"/>
      <sheetName val="FOOTING_AND_EN_AT"/>
      <sheetName val="MASS_EXCAVASE1"/>
      <sheetName val="MASS_EXCAVAS_E1"/>
      <sheetName val="FOOTING_AND_EN_A1"/>
      <sheetName val="MASS_EXCAVASE4"/>
      <sheetName val="MASS_EXCAVAS_E4"/>
      <sheetName val="FOOTING_AND_EN_A4"/>
      <sheetName val="MASS_EXCAVASE6"/>
      <sheetName val="MASS_EXCAVAS_E6"/>
      <sheetName val="FOOTING_AND_EN_A6"/>
      <sheetName val="Wgs_sht_-_old_style6"/>
      <sheetName val="Bill_16"/>
      <sheetName val="Bill_26"/>
      <sheetName val="Bill_36"/>
      <sheetName val="Bill_46"/>
      <sheetName val="Bill_56"/>
      <sheetName val="Bill_66"/>
      <sheetName val="Bill_76"/>
      <sheetName val="MASTER_WORK_SHEET_-_ESTIMATE_H6"/>
      <sheetName val="final_abstract6"/>
      <sheetName val="all_item_475f,e,e14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MASS_EXCAVAS10"/>
      <sheetName val="FOOTING_AND_EN10"/>
      <sheetName val="Rate_analysis9"/>
      <sheetName val="rcc(_sub)9"/>
      <sheetName val="MASS_EXCAVAS_x005f_x0000_E_x005f_x0002_9"/>
      <sheetName val="MASS_EXCAVAS_E_x005f_x0002_9"/>
      <sheetName val="FOOTING_AND_EN_x005f_x0000___x005f_x0001_A9"/>
      <sheetName val="Structure_Bills_Qty9"/>
      <sheetName val="BILL_COV3"/>
      <sheetName val="SPT_vs_PHI2"/>
      <sheetName val="IT-Fri_Base2"/>
      <sheetName val="organi_synthesis_lab2"/>
      <sheetName val="GR_slab-reinft2"/>
      <sheetName val="labour_coeff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INPUT_SHEET2"/>
      <sheetName val="Civil_Boq2"/>
      <sheetName val="FITZ_MORT_942"/>
      <sheetName val="Road_work2"/>
      <sheetName val="Load_Details(B2)2"/>
      <sheetName val="Wgs_sht_-_old_style5"/>
      <sheetName val="Bill_15"/>
      <sheetName val="Bill_25"/>
      <sheetName val="Bill_35"/>
      <sheetName val="Bill_45"/>
      <sheetName val="Bill_55"/>
      <sheetName val="Bill_65"/>
      <sheetName val="Bill_75"/>
      <sheetName val="MASTER_WORK_SHEET_-_ESTIMATE_H5"/>
      <sheetName val="final_abstract5"/>
      <sheetName val="all_item_475f,e,e13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MASS_EXCAVAS9"/>
      <sheetName val="FOOTING_AND_EN9"/>
      <sheetName val="Rate_analysis8"/>
      <sheetName val="rcc(_sub)8"/>
      <sheetName val="MASS_EXCAVAS_x005f_x0000_E_x005f_x0002_8"/>
      <sheetName val="MASS_EXCAVAS_E_x005f_x0002_8"/>
      <sheetName val="FOOTING_AND_EN_x005f_x0000___x005f_x0001_A8"/>
      <sheetName val="Structure_Bills_Qty8"/>
      <sheetName val="BILL_COV2"/>
      <sheetName val="SPT_vs_PHI1"/>
      <sheetName val="IT-Fri_Base1"/>
      <sheetName val="organi_synthesis_lab1"/>
      <sheetName val="GR_slab-reinft1"/>
      <sheetName val="labour_coeff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INPUT_SHEET1"/>
      <sheetName val="Civil_Boq1"/>
      <sheetName val="FITZ_MORT_941"/>
      <sheetName val="Road_work1"/>
      <sheetName val="Load_Details(B2)1"/>
      <sheetName val="Wgs_sht_-_old_style4"/>
      <sheetName val="Bill_14"/>
      <sheetName val="Bill_24"/>
      <sheetName val="Bill_34"/>
      <sheetName val="Bill_44"/>
      <sheetName val="Bill_54"/>
      <sheetName val="Bill_64"/>
      <sheetName val="Bill_74"/>
      <sheetName val="MASTER_WORK_SHEET_-_ESTIMATE_H4"/>
      <sheetName val="final_abstract4"/>
      <sheetName val="all_item_475f,e,e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comp(lau to det) 26.11.12"/>
      <sheetName val="ICG mock up"/>
      <sheetName val="ST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"/>
      <sheetName val="APP.S CONT (2)"/>
      <sheetName val="std"/>
      <sheetName val="Sheet3"/>
      <sheetName val="SC-ISO"/>
      <sheetName val="APP.S CONT"/>
      <sheetName val="APP_S_CONT_(2)"/>
      <sheetName val="APP_S_CONT"/>
      <sheetName val="Mobile Micro "/>
      <sheetName val="Break up Sheet"/>
      <sheetName val="rcc( sub)"/>
      <sheetName val="STP"/>
      <sheetName val="retaining wall (2)"/>
      <sheetName val="003.03 qcs"/>
      <sheetName val="Block 02, Staircace &amp; lift head"/>
      <sheetName val="Slab"/>
      <sheetName val="Arc features"/>
      <sheetName val="factors"/>
      <sheetName val="APP_S_CONT_(2)6"/>
      <sheetName val="APP_S_CONT6"/>
      <sheetName val="Mobile_Micro_5"/>
      <sheetName val="Break_up_Sheet5"/>
      <sheetName val="003_03_qcs5"/>
      <sheetName val="retaining_wall_(2)5"/>
      <sheetName val="Block_02,_Staircace_&amp;_lift_hea5"/>
      <sheetName val="APP_S_CONT_(2)4"/>
      <sheetName val="APP_S_CONT4"/>
      <sheetName val="Mobile_Micro_3"/>
      <sheetName val="Break_up_Sheet3"/>
      <sheetName val="003_03_qcs3"/>
      <sheetName val="retaining_wall_(2)3"/>
      <sheetName val="Block_02,_Staircace_&amp;_lift_hea3"/>
      <sheetName val="APP_S_CONT_(2)3"/>
      <sheetName val="APP_S_CONT3"/>
      <sheetName val="Mobile_Micro_2"/>
      <sheetName val="Break_up_Sheet2"/>
      <sheetName val="003_03_qcs2"/>
      <sheetName val="retaining_wall_(2)2"/>
      <sheetName val="Block_02,_Staircace_&amp;_lift_hea2"/>
      <sheetName val="Arc_features2"/>
      <sheetName val="rcc(_sub)2"/>
      <sheetName val="APP_S_CONT_(2)1"/>
      <sheetName val="APP_S_CONT1"/>
      <sheetName val="Mobile_Micro_"/>
      <sheetName val="Break_up_Sheet"/>
      <sheetName val="003_03_qcs"/>
      <sheetName val="retaining_wall_(2)"/>
      <sheetName val="Block_02,_Staircace_&amp;_lift_head"/>
      <sheetName val="Arc_features"/>
      <sheetName val="rcc(_sub)"/>
      <sheetName val="APP_S_CONT_(2)2"/>
      <sheetName val="APP_S_CONT2"/>
      <sheetName val="Mobile_Micro_1"/>
      <sheetName val="Break_up_Sheet1"/>
      <sheetName val="003_03_qcs1"/>
      <sheetName val="retaining_wall_(2)1"/>
      <sheetName val="Block_02,_Staircace_&amp;_lift_hea1"/>
      <sheetName val="Arc_features1"/>
      <sheetName val="rcc(_sub)1"/>
      <sheetName val="Arc_features3"/>
      <sheetName val="rcc(_sub)3"/>
      <sheetName val="APP_S_CONT_(2)5"/>
      <sheetName val="APP_S_CONT5"/>
      <sheetName val="Mobile_Micro_4"/>
      <sheetName val="Break_up_Sheet4"/>
      <sheetName val="003_03_qcs4"/>
      <sheetName val="retaining_wall_(2)4"/>
      <sheetName val="Block_02,_Staircace_&amp;_lift_hea4"/>
      <sheetName val="Arc_features4"/>
      <sheetName val="rcc(_sub)4"/>
      <sheetName val="Arc_features5"/>
      <sheetName val="rcc(_sub)5"/>
      <sheetName val="lintels Costing "/>
      <sheetName val="Lintels Estimation"/>
      <sheetName val="SPT vs PHI"/>
      <sheetName val="Sheet1"/>
      <sheetName val="APP_S_CONT_(2)7"/>
      <sheetName val="APP_S_CONT7"/>
      <sheetName val="Mobile_Micro_6"/>
      <sheetName val="Break_up_Sheet6"/>
      <sheetName val="003_03_qcs6"/>
      <sheetName val="retaining_wall_(2)6"/>
      <sheetName val="Block_02,_Staircace_&amp;_lift_hea6"/>
      <sheetName val="Arc_features6"/>
      <sheetName val="rcc(_sub)6"/>
      <sheetName val="lintels_Costing_"/>
      <sheetName val="Lintels_Estimation"/>
      <sheetName val="SPT_vs_PHI"/>
      <sheetName val="Balance Sheet "/>
      <sheetName val="Staff Acco."/>
      <sheetName val="Elect."/>
      <sheetName val="Rate analysis"/>
      <sheetName val="comp(lau to det) 26.11.12"/>
      <sheetName val="Main Villa-Walls"/>
      <sheetName val="BOQ"/>
      <sheetName val="Beam at Ground flr lvl(Steel)"/>
      <sheetName val="intr stool brkup"/>
      <sheetName val="MD REVIEW"/>
      <sheetName val="Data Input"/>
      <sheetName val="Bar.Sched"/>
      <sheetName val="Comparison"/>
      <sheetName val="COST"/>
      <sheetName val="GR.slab-reinft"/>
      <sheetName val="Meas.-Hotel Part"/>
      <sheetName val="A-General"/>
      <sheetName val="APP_S_CONT_(2)8"/>
      <sheetName val="APP_S_CONT8"/>
      <sheetName val="Mobile_Micro_7"/>
      <sheetName val="Break_up_Sheet7"/>
      <sheetName val="rcc(_sub)7"/>
      <sheetName val="retaining_wall_(2)7"/>
      <sheetName val="003_03_qcs7"/>
      <sheetName val="Block_02,_Staircace_&amp;_lift_hea7"/>
      <sheetName val="Arc_features7"/>
      <sheetName val="lintels_Costing_1"/>
      <sheetName val="Lintels_Estimation1"/>
      <sheetName val="SPT_vs_PHI1"/>
      <sheetName val="Balance_Sheet_"/>
      <sheetName val="Staff_Acco_"/>
      <sheetName val="Elect_"/>
      <sheetName val="Rate_analysis"/>
      <sheetName val="comp(lau_to_det)_26_11_12"/>
      <sheetName val="Main_Villa-Walls"/>
      <sheetName val="Beam_at_Ground_flr_lvl(Steel)"/>
      <sheetName val="intr_stool_brkup"/>
      <sheetName val="MD_REVIEW"/>
      <sheetName val="Data_Input"/>
      <sheetName val="Bar_Sched"/>
      <sheetName val="GR_slab-reinft"/>
      <sheetName val="Meas_-Hotel_Part"/>
      <sheetName val="APP_S_CONT_(2)11"/>
      <sheetName val="APP_S_CONT11"/>
      <sheetName val="Mobile_Micro_10"/>
      <sheetName val="Break_up_Sheet10"/>
      <sheetName val="rcc(_sub)10"/>
      <sheetName val="retaining_wall_(2)10"/>
      <sheetName val="003_03_qcs10"/>
      <sheetName val="Block_02,_Staircace_&amp;_lift_he10"/>
      <sheetName val="Arc_features10"/>
      <sheetName val="lintels_Costing_4"/>
      <sheetName val="Lintels_Estimation4"/>
      <sheetName val="SPT_vs_PHI4"/>
      <sheetName val="Balance_Sheet_3"/>
      <sheetName val="Staff_Acco_3"/>
      <sheetName val="Elect_3"/>
      <sheetName val="Rate_analysis3"/>
      <sheetName val="comp(lau_to_det)_26_11_123"/>
      <sheetName val="Main_Villa-Walls3"/>
      <sheetName val="Beam_at_Ground_flr_lvl(Steel)3"/>
      <sheetName val="intr_stool_brkup3"/>
      <sheetName val="MD_REVIEW3"/>
      <sheetName val="Data_Input3"/>
      <sheetName val="Bar_Sched3"/>
      <sheetName val="GR_slab-reinft3"/>
      <sheetName val="Meas_-Hotel_Part3"/>
      <sheetName val="APP_S_CONT_(2)10"/>
      <sheetName val="APP_S_CONT10"/>
      <sheetName val="Mobile_Micro_9"/>
      <sheetName val="Break_up_Sheet9"/>
      <sheetName val="rcc(_sub)9"/>
      <sheetName val="retaining_wall_(2)9"/>
      <sheetName val="003_03_qcs9"/>
      <sheetName val="Block_02,_Staircace_&amp;_lift_hea9"/>
      <sheetName val="Arc_features9"/>
      <sheetName val="lintels_Costing_3"/>
      <sheetName val="Lintels_Estimation3"/>
      <sheetName val="SPT_vs_PHI3"/>
      <sheetName val="Balance_Sheet_2"/>
      <sheetName val="Staff_Acco_2"/>
      <sheetName val="Elect_2"/>
      <sheetName val="Rate_analysis2"/>
      <sheetName val="comp(lau_to_det)_26_11_122"/>
      <sheetName val="Main_Villa-Walls2"/>
      <sheetName val="Beam_at_Ground_flr_lvl(Steel)2"/>
      <sheetName val="intr_stool_brkup2"/>
      <sheetName val="MD_REVIEW2"/>
      <sheetName val="Data_Input2"/>
      <sheetName val="Bar_Sched2"/>
      <sheetName val="GR_slab-reinft2"/>
      <sheetName val="Meas_-Hotel_Part2"/>
      <sheetName val="APP_S_CONT_(2)9"/>
      <sheetName val="APP_S_CONT9"/>
      <sheetName val="Mobile_Micro_8"/>
      <sheetName val="Break_up_Sheet8"/>
      <sheetName val="rcc(_sub)8"/>
      <sheetName val="retaining_wall_(2)8"/>
      <sheetName val="003_03_qcs8"/>
      <sheetName val="Block_02,_Staircace_&amp;_lift_hea8"/>
      <sheetName val="Arc_features8"/>
      <sheetName val="lintels_Costing_2"/>
      <sheetName val="Lintels_Estimation2"/>
      <sheetName val="SPT_vs_PHI2"/>
      <sheetName val="Balance_Sheet_1"/>
      <sheetName val="Staff_Acco_1"/>
      <sheetName val="Elect_1"/>
      <sheetName val="Rate_analysis1"/>
      <sheetName val="comp(lau_to_det)_26_11_121"/>
      <sheetName val="Main_Villa-Walls1"/>
      <sheetName val="Beam_at_Ground_flr_lvl(Steel)1"/>
      <sheetName val="intr_stool_brkup1"/>
      <sheetName val="MD_REVIEW1"/>
      <sheetName val="Data_Input1"/>
      <sheetName val="Bar_Sched1"/>
      <sheetName val="GR_slab-reinft1"/>
      <sheetName val="Meas_-Hotel_Part1"/>
    </sheetNames>
    <definedNames>
      <definedName name="_______________b1"/>
    </defined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ED  BOQ"/>
      <sheetName val="4 Annex 1 Basic rate"/>
      <sheetName val="Design"/>
      <sheetName val="FT-05-02IsoBOM"/>
      <sheetName val="Detail In Door Stad"/>
      <sheetName val="Project Details.."/>
      <sheetName val="scurve calc (2)"/>
      <sheetName val="Detail P&amp;L"/>
      <sheetName val="Assumption Sheet"/>
      <sheetName val="strain"/>
      <sheetName val="p&amp;m"/>
      <sheetName val="factors"/>
      <sheetName val="COLUMN"/>
      <sheetName val="RCC,Ret. Wall"/>
      <sheetName val="Build-up"/>
      <sheetName val="refer"/>
      <sheetName val="Load Details(B2)"/>
      <sheetName val="TBAL9697 -group wise  sdpl"/>
      <sheetName val="Gujrat"/>
      <sheetName val="SCHEDULE OF RATES"/>
      <sheetName val="Bill 3 - Site Works"/>
      <sheetName val="Legal Risk Analysis"/>
      <sheetName val="PRECAST lightconc-II"/>
      <sheetName val="APPENDIX B-1"/>
      <sheetName val="Bill 3.1"/>
      <sheetName val="CFLOW"/>
      <sheetName val="BOQ"/>
      <sheetName val="2gii"/>
      <sheetName val="analysis"/>
      <sheetName val="GR.slab-reinft"/>
      <sheetName val="schedule1"/>
      <sheetName val="Precalculation"/>
      <sheetName val="Fill this out first..."/>
      <sheetName val="Sheet3"/>
      <sheetName val="INDIGINEOUS ITEMS "/>
      <sheetName val="Cable data"/>
      <sheetName val="Table"/>
      <sheetName val="Material "/>
      <sheetName val="basic-data"/>
      <sheetName val="mem-property"/>
      <sheetName val="FORM7"/>
      <sheetName val="SPT vs PHI"/>
      <sheetName val="Civil Works"/>
      <sheetName val="CABLE"/>
      <sheetName val="number"/>
      <sheetName val="ANAL"/>
      <sheetName val="Staff_Acco_"/>
      <sheetName val="Tel__"/>
      <sheetName val="Ext_light"/>
      <sheetName val="Staff_Acco_1"/>
      <sheetName val="3MLKQ"/>
      <sheetName val="sumary"/>
      <sheetName val="Rate Analysis"/>
      <sheetName val="Xenon(R2)"/>
      <sheetName val="Basement Budget"/>
      <sheetName val="DETAILED__BOQ"/>
      <sheetName val="4_Annex_1_Basic_rate"/>
      <sheetName val="Cable_data"/>
      <sheetName val="SITE OVERHEADS"/>
      <sheetName val="Boq Block A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Asia Revised 10-1-07"/>
      <sheetName val="All Capital Plan P+L 10-1-07"/>
      <sheetName val="CP08 (2)"/>
      <sheetName val="Planning File 10-1-07"/>
      <sheetName val="INPUT-DATA"/>
      <sheetName val="SCHEDULE (3)"/>
      <sheetName val="Database"/>
      <sheetName val="schedule nos"/>
      <sheetName val="std"/>
      <sheetName val="estimate"/>
      <sheetName val="Break up Sheet"/>
      <sheetName val="4-Int- ele(RA)"/>
      <sheetName val="Sqn_Abs_G_6_ "/>
      <sheetName val="WO_Abs _G_2_ 6 DUs"/>
      <sheetName val="Air_Abs_G_6_ 23 DUs"/>
      <sheetName val="BLOCK-A (MEA.SHEET)"/>
      <sheetName val="Parameter"/>
      <sheetName val="1_Project_Profile"/>
      <sheetName val="Box- Girder"/>
      <sheetName val="Detail 1A"/>
      <sheetName val="2004"/>
      <sheetName val="Costing"/>
      <sheetName val="banilad"/>
      <sheetName val="Mactan"/>
      <sheetName val="Mandaue"/>
      <sheetName val="labour coeff"/>
      <sheetName val="Works - Quote Sheet"/>
      <sheetName val="Detail"/>
      <sheetName val="BLK2"/>
      <sheetName val="BLK3"/>
      <sheetName val="E &amp; R"/>
      <sheetName val="radar"/>
      <sheetName val="UG"/>
      <sheetName val="Headings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TB"/>
      <sheetName val="cf"/>
      <sheetName val="orders"/>
      <sheetName val="Sheet2"/>
      <sheetName val="MASTER_RATE ANALYSIS"/>
      <sheetName val="Mat.Cost"/>
      <sheetName val="DLC lookups"/>
      <sheetName val="Gen Info"/>
      <sheetName val="Indirect expenses"/>
      <sheetName val="CCTV_EST1"/>
      <sheetName val="Quote Sheet"/>
      <sheetName val="Mat_Cost"/>
      <sheetName val="Cost_Any."/>
      <sheetName val="LIST OF MAKES"/>
      <sheetName val="Pile cap"/>
      <sheetName val="ABB"/>
      <sheetName val="GE"/>
      <sheetName val="Lease rents"/>
      <sheetName val="SPILL OVER"/>
      <sheetName val="s"/>
      <sheetName val="Bed Class"/>
      <sheetName val="Cd"/>
      <sheetName val="Loads"/>
      <sheetName val="DATA"/>
      <sheetName val="DTF Summary"/>
      <sheetName val="Form 6"/>
      <sheetName val="BOQ_Direct_selling cost"/>
      <sheetName val="#REF!"/>
      <sheetName val="VCH-SLC"/>
      <sheetName val="Supplier"/>
      <sheetName val="WWR"/>
      <sheetName val="GF Columns"/>
      <sheetName val="Cable-data"/>
      <sheetName val="Summary"/>
      <sheetName val="jobhist"/>
      <sheetName val="UNP-NCW "/>
      <sheetName val="Cover"/>
      <sheetName val="Codes"/>
      <sheetName val="BHANDUP"/>
      <sheetName val="macros"/>
      <sheetName val="Rat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ACS(1)"/>
      <sheetName val="FAS-C(4)"/>
      <sheetName val="사진"/>
      <sheetName val="Intro.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Material"/>
      <sheetName val="Zone"/>
      <sheetName val="Vendor"/>
      <sheetName val="Elite 1 - MBCL"/>
      <sheetName val="BULook"/>
      <sheetName val="Cost summary"/>
      <sheetName val="Intro"/>
      <sheetName val="01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Estimation"/>
      <sheetName val="concrete"/>
      <sheetName val="beam-reinft-IIInd floor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A.O.R."/>
      <sheetName val="Annex"/>
      <sheetName val="calcul"/>
      <sheetName val="T1 WO"/>
      <sheetName val="Maint"/>
      <sheetName val="Housek"/>
      <sheetName val="外気負荷"/>
      <sheetName val="FF Inst RA 08 Inst 03"/>
      <sheetName val="SCHEDULE"/>
      <sheetName val="GBW"/>
      <sheetName val="Labels"/>
      <sheetName val=" IO List"/>
      <sheetName val="Transfer"/>
      <sheetName val="Cost Index"/>
      <sheetName val="Legend"/>
      <sheetName val="Indirect_x0005__x0000__x0000__x0000__x0000_쌳ᎈ駜/"/>
      <sheetName val="REf"/>
      <sheetName val="saihous.ele"/>
      <sheetName val="SSR _ NSSR Market final"/>
      <sheetName val="Bidform"/>
      <sheetName val="M+MC"/>
      <sheetName val="1.00"/>
      <sheetName val="SUMMARY-client"/>
      <sheetName val="RA"/>
      <sheetName val="Blr hire"/>
      <sheetName val="STAFFSCHED "/>
      <sheetName val="DG Works (Supply)"/>
      <sheetName val="MG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scurve_calc_(2)3"/>
      <sheetName val="Detail_P&amp;L3"/>
      <sheetName val="Assumption_Sheet3"/>
      <sheetName val="TBAL9697_-group_wise__sdpl3"/>
      <sheetName val="Bill_3_-_Site_Works2"/>
      <sheetName val="RCC,Ret__Wall3"/>
      <sheetName val="Load_Details(B2)3"/>
      <sheetName val="SCHEDULE_OF_RATES3"/>
      <sheetName val="APPENDIX_B-13"/>
      <sheetName val="Bill_3_13"/>
      <sheetName val="Legal_Risk_Analysis3"/>
      <sheetName val="PRECAST_lightconc-II3"/>
      <sheetName val="GR_slab-reinft2"/>
      <sheetName val="Fill_this_out_first___2"/>
      <sheetName val="Boq_Block_A2"/>
      <sheetName val="Rate_Analysis2"/>
      <sheetName val="Cable_data3"/>
      <sheetName val="Civil_Works2"/>
      <sheetName val="SCHEDULE_(3)2"/>
      <sheetName val="schedule_nos2"/>
      <sheetName val="Material_2"/>
      <sheetName val="SPT_vs_PHI2"/>
      <sheetName val="IO_List2"/>
      <sheetName val="Pipe_Supports2"/>
      <sheetName val="BOQ_(2)2"/>
      <sheetName val="Box-_Girder2"/>
      <sheetName val="INDIGINEOUS_ITEMS_2"/>
      <sheetName val="Basement_Budget2"/>
      <sheetName val="SITE_OVERHEADS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Mat_Cost2"/>
      <sheetName val="GF_Columns1"/>
      <sheetName val="Form_61"/>
      <sheetName val="BOQ_Direct_selling_cost1"/>
      <sheetName val="UNP-NCW_1"/>
      <sheetName val="Intro_"/>
      <sheetName val="MASTER_RATE_ANALYSIS1"/>
      <sheetName val="Contract_BOQ"/>
      <sheetName val="Elite_1_-_MBCL"/>
      <sheetName val="Cost_summary"/>
      <sheetName val="Direct_cost_shed_A-2_"/>
      <sheetName val="_Resource_list"/>
      <sheetName val="THANE_SITE"/>
      <sheetName val="BOQ_Distribution"/>
      <sheetName val="key_dates"/>
      <sheetName val="specification_options"/>
      <sheetName val="FF_Inst_RA_08_Inst_03"/>
      <sheetName val="beam-reinft-machine_rm"/>
      <sheetName val="T1_WO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beam-reinft-machine_rm1"/>
      <sheetName val="T1_WO1"/>
      <sheetName val="procurement"/>
      <sheetName val="col-reinft1"/>
      <sheetName val="Basic Rates"/>
      <sheetName val="VIWSCo1"/>
      <sheetName val="Project_Brief"/>
      <sheetName val="Basic"/>
      <sheetName val="bs BP 04 SA"/>
      <sheetName val="ecc_res"/>
      <sheetName val="1-Pop Proj"/>
      <sheetName val="Staff_Acco_10"/>
      <sheetName val="Tel__5"/>
      <sheetName val="Ext_light5"/>
      <sheetName val="Staff_Acco_11"/>
      <sheetName val="4_Annex_1_Basic_rate5"/>
      <sheetName val="DETAILED__BOQ5"/>
      <sheetName val="doq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Indirect_x0005_????쌳ᎈ駜/"/>
      <sheetName val=" B3"/>
      <sheetName val=" B1"/>
      <sheetName val="SCH"/>
      <sheetName val="Indirect_x0005_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troduction"/>
      <sheetName val="Old"/>
      <sheetName val="Operating Statistics"/>
      <sheetName val="Financials"/>
      <sheetName val="Lowside"/>
      <sheetName val="A-General"/>
      <sheetName val="CERTIFICATE"/>
      <sheetName val="220 11  BS "/>
      <sheetName val="PCC"/>
      <sheetName val="Chennai"/>
      <sheetName val="Rollup"/>
      <sheetName val="Annexue B"/>
      <sheetName val="Desgn(zone I)"/>
      <sheetName val="Lead"/>
      <sheetName val="basdat"/>
      <sheetName val="Elect."/>
      <sheetName val="Lstsub"/>
      <sheetName val="$ KURLARI"/>
      <sheetName val="Indirect_x0005__x0000__x0000__x0000__x0000_쌳ᎈ駜_"/>
      <sheetName val="Indirect_x0005__x0000__x0000__"/>
      <sheetName val="Boq (Main Building)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Basement  Works"/>
      <sheetName val="Cover sheet"/>
      <sheetName val="AOQ-new "/>
      <sheetName val="water prop."/>
      <sheetName val="upa"/>
      <sheetName val="Summary Transformers"/>
      <sheetName val="Total  Amount"/>
      <sheetName val="Civil BOQ"/>
      <sheetName val="P&amp;LSum"/>
      <sheetName val="주관사업"/>
      <sheetName val="[saihous.ele.xls]Indirect_x0005__x0000__x0000__x0000__x0000_"/>
      <sheetName val="EMLWorkstations"/>
      <sheetName val="EMLLaptops"/>
      <sheetName val="EMLServers"/>
      <sheetName val="11-hsd"/>
      <sheetName val="2-utility"/>
      <sheetName val="Indirect_x0005_____쌳ᎈ駜_"/>
      <sheetName val="149"/>
      <sheetName val="[saihous.ele.xls]Indirect_x0005_????"/>
      <sheetName val="[saihous.ele.xls]Indirect_x0005__x0000_⽼؃ᅜ"/>
      <sheetName val="PA- Consutant "/>
      <sheetName val="D2_CO"/>
      <sheetName val="10. &amp; 11. Rate Code &amp; BQ"/>
      <sheetName val="Staff_Acco_20"/>
      <sheetName val="Tel__10"/>
      <sheetName val="Ext_light10"/>
      <sheetName val="Staff_Acco_21"/>
      <sheetName val="4_Annex_1_Basic_rate10"/>
      <sheetName val="DETAILED__BOQ10"/>
      <sheetName val="Detail_In_Door_Stad10"/>
      <sheetName val="Project_Details__10"/>
      <sheetName val="RCC,Ret__Wall10"/>
      <sheetName val="Load_Details(B2)10"/>
      <sheetName val="TBAL9697_-group_wise__sdpl10"/>
      <sheetName val="scurve_calc_(2)10"/>
      <sheetName val="Rate_Analysis9"/>
      <sheetName val="Bill_3_-_Site_Works9"/>
      <sheetName val="GR_slab-reinft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SCHEDULE_OF_RATES10"/>
      <sheetName val="Rate_Analysis10"/>
      <sheetName val="Detail_P&amp;L10"/>
      <sheetName val="Assumption_Sheet10"/>
      <sheetName val="Legal_Risk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Set"/>
      <sheetName val="Names&amp;Cases"/>
      <sheetName val="BS1"/>
      <sheetName val="RMes"/>
      <sheetName val="SPILL OVER PROJECTIONS"/>
      <sheetName val="_IO_List"/>
      <sheetName val="Cost_Index"/>
      <sheetName val="saihous_ele"/>
      <sheetName val="Indirect쌳ᎈ駜/"/>
      <sheetName val="SSR___NSSR_Market_final"/>
      <sheetName val="bs_BP_04_SA"/>
      <sheetName val="STAFFSCHED_"/>
      <sheetName val="DG_Works_(Supply)"/>
      <sheetName val="Basic_Rates"/>
      <sheetName val="BC &amp; MNB 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Angebot18.7."/>
      <sheetName val="MAIN FILE 9-24-07"/>
      <sheetName val="DG "/>
      <sheetName val="Basic Resources"/>
      <sheetName val="PRECAST_lightconc-II10"/>
      <sheetName val="APPENDIX_B-110"/>
      <sheetName val="Bill_3_110"/>
      <sheetName val="Fill_this_out_first___9"/>
      <sheetName val="Cable_data10"/>
      <sheetName val="Civil_Works9"/>
      <sheetName val="E_&amp;_R9"/>
      <sheetName val="Boq_Block_A9"/>
      <sheetName val="Material_9"/>
      <sheetName val="SPT_vs_PHI9"/>
      <sheetName val="SCHEDULE_(3)9"/>
      <sheetName val="schedule_nos9"/>
      <sheetName val="SITE_OVERHEADS9"/>
      <sheetName val="Asia_Revised_10-1-079"/>
      <sheetName val="All_Capital_Plan_P+L_10-1-079"/>
      <sheetName val="CP08_(2)9"/>
      <sheetName val="Planning_File_10-1-079"/>
      <sheetName val="IO_List9"/>
      <sheetName val="Pipe_Supports9"/>
      <sheetName val="BOQ_(2)9"/>
      <sheetName val="INDIGINEOUS_ITEMS_9"/>
      <sheetName val="Box-_Girder9"/>
      <sheetName val="Sqn_Abs_G_6__9"/>
      <sheetName val="WO_Abs__G_2__6_DUs9"/>
      <sheetName val="Air_Abs_G_6__23_DUs9"/>
      <sheetName val="4-Int-_ele(RA)9"/>
      <sheetName val="Detail_1A9"/>
      <sheetName val="BLOCK-A_(MEA_SHEET)9"/>
      <sheetName val="Basement_Budget9"/>
      <sheetName val="Lease_rents9"/>
      <sheetName val="DLC_lookups9"/>
      <sheetName val="Quote_Sheet9"/>
      <sheetName val="labour_coeff9"/>
      <sheetName val="Works_-_Quote_Sheet9"/>
      <sheetName val="Gen_Info9"/>
      <sheetName val="Indirect_expenses9"/>
      <sheetName val="Cost_Any_9"/>
      <sheetName val="LIST_OF_MAKES9"/>
      <sheetName val="Break_up_Sheet9"/>
      <sheetName val="SPILL_OVER9"/>
      <sheetName val="Mat_Cost9"/>
      <sheetName val="Bed_Class8"/>
      <sheetName val="Pile_cap8"/>
      <sheetName val="DTF_Summary8"/>
      <sheetName val="Form_68"/>
      <sheetName val="BOQ_Direct_selling_cost8"/>
      <sheetName val="GF_Columns8"/>
      <sheetName val="UNP-NCW_8"/>
      <sheetName val="MASTER_RATE_ANALYSIS8"/>
      <sheetName val="Intro_7"/>
      <sheetName val="Elite_1_-_MBCL7"/>
      <sheetName val="Cost_summary7"/>
      <sheetName val="Contract_BOQ7"/>
      <sheetName val="specification_options7"/>
      <sheetName val="key_dates7"/>
      <sheetName val="beam-reinft-machine_rm7"/>
      <sheetName val="T1_WO7"/>
      <sheetName val="Direct_cost_shed_A-2_7"/>
      <sheetName val="_Resource_list7"/>
      <sheetName val="THANE_SITE7"/>
      <sheetName val="BOQ_Distribution7"/>
      <sheetName val="M_R_List_(2)3"/>
      <sheetName val="Balance_Sheet_3"/>
      <sheetName val="beam-reinft-IIInd_floor3"/>
      <sheetName val="A_O_R_3"/>
      <sheetName val="FF_Inst_RA_08_Inst_037"/>
      <sheetName val="lists"/>
      <sheetName val="#3E1_GCR"/>
      <sheetName val=" GULF"/>
      <sheetName val="Calculations"/>
      <sheetName val="final abstract"/>
      <sheetName val="Material List "/>
      <sheetName val="Setting"/>
      <sheetName val="Summary_Bank"/>
      <sheetName val="Structure Bills Qty"/>
      <sheetName val="Citrix"/>
      <sheetName val="BM"/>
      <sheetName val="Config"/>
      <sheetName val=""/>
      <sheetName val="Material Rate"/>
      <sheetName val="2nd "/>
      <sheetName val="shuttering"/>
      <sheetName val="Footings"/>
      <sheetName val="IDC"/>
      <sheetName val="Basic Details"/>
      <sheetName val="BS Groupings"/>
      <sheetName val="PL Groupings"/>
      <sheetName val="Enquire"/>
      <sheetName val="BALAN1"/>
      <sheetName val="SC Cost MAR 02"/>
      <sheetName val="Indirect쌳ᎈ駜_"/>
      <sheetName val="Break_Up"/>
      <sheetName val="BUDGET"/>
      <sheetName val="AoR Finishing"/>
      <sheetName val="CABLERET"/>
      <sheetName val="SubAnlysis"/>
      <sheetName val="B1"/>
      <sheetName val="[saihous.ele.xls]Indirect퀀《혂൧_x0001__x0000_"/>
      <sheetName val="MTO REV.0"/>
      <sheetName val="Linked Lead"/>
      <sheetName val="_IO_List1"/>
      <sheetName val="Cost_Index1"/>
      <sheetName val="saihous_ele1"/>
      <sheetName val="SSR___NSSR_Market_final1"/>
      <sheetName val="STAFFSCHED_1"/>
      <sheetName val="Basic_Rates1"/>
      <sheetName val="Blr_hire"/>
      <sheetName val="1-Pop_Proj"/>
      <sheetName val="Indirect"/>
      <sheetName val="1_00"/>
      <sheetName val="Indirect????쌳ᎈ駜/"/>
      <sheetName val="220_11__BS_"/>
      <sheetName val="_B3"/>
      <sheetName val="_B1"/>
      <sheetName val="Operating_Statistics"/>
      <sheetName val="Annexue_B"/>
      <sheetName val="Elect_"/>
      <sheetName val="Indirect_"/>
      <sheetName val="Desgn(zone_I)"/>
      <sheetName val="$_KURLARI"/>
      <sheetName val="Boq_(Main_Building)"/>
      <sheetName val="APPENDIX_B-111"/>
      <sheetName val="Bill_3_111"/>
      <sheetName val="PRECAST_lightconc-II11"/>
      <sheetName val="Fill_this_out_first___10"/>
      <sheetName val="INDIGINEOUS_ITEMS_10"/>
      <sheetName val="Cable_data11"/>
      <sheetName val="Material_10"/>
      <sheetName val="SPT_vs_PHI10"/>
      <sheetName val="Civil_Works10"/>
      <sheetName val="Basement_Budget10"/>
      <sheetName val="Asia_Revised_10-1-0710"/>
      <sheetName val="All_Capital_Plan_P+L_10-1-0710"/>
      <sheetName val="CP08_(2)10"/>
      <sheetName val="Planning_File_10-1-0710"/>
      <sheetName val="SITE_OVERHEADS10"/>
      <sheetName val="Break_up_Sheet10"/>
      <sheetName val="Boq_Block_A10"/>
      <sheetName val="IO_List10"/>
      <sheetName val="Pipe_Supports10"/>
      <sheetName val="BOQ_(2)10"/>
      <sheetName val="SCHEDULE_(3)10"/>
      <sheetName val="schedule_nos10"/>
      <sheetName val="Box-_Girder10"/>
      <sheetName val="Sqn_Abs_G_6__10"/>
      <sheetName val="WO_Abs__G_2__6_DUs10"/>
      <sheetName val="Air_Abs_G_6__23_DUs10"/>
      <sheetName val="4-Int-_ele(RA)10"/>
      <sheetName val="Detail_1A10"/>
      <sheetName val="BLOCK-A_(MEA_SHEET)10"/>
      <sheetName val="labour_coeff10"/>
      <sheetName val="Works_-_Quote_Sheet10"/>
      <sheetName val="E_&amp;_R10"/>
      <sheetName val="MASTER_RATE_ANALYSIS9"/>
      <sheetName val="Mat_Cost10"/>
      <sheetName val="DLC_lookups10"/>
      <sheetName val="Gen_Info10"/>
      <sheetName val="Indirect_expenses10"/>
      <sheetName val="Quote_Sheet10"/>
      <sheetName val="Cost_Any_10"/>
      <sheetName val="LIST_OF_MAKES10"/>
      <sheetName val="Pile_cap9"/>
      <sheetName val="Lease_rents10"/>
      <sheetName val="SPILL_OVER10"/>
      <sheetName val="Bed_Class9"/>
      <sheetName val="DTF_Summary9"/>
      <sheetName val="Form_69"/>
      <sheetName val="BOQ_Direct_selling_cost9"/>
      <sheetName val="GF_Columns9"/>
      <sheetName val="UNP-NCW_9"/>
      <sheetName val="Intro_8"/>
      <sheetName val="Elite_1_-_MBCL8"/>
      <sheetName val="Cost_summary8"/>
      <sheetName val="Contract_BOQ8"/>
      <sheetName val="beam-reinft-machine_rm8"/>
      <sheetName val="T1_WO8"/>
      <sheetName val="Direct_cost_shed_A-2_8"/>
      <sheetName val="_Resource_list8"/>
      <sheetName val="THANE_SITE8"/>
      <sheetName val="BOQ_Distribution8"/>
      <sheetName val="key_dates8"/>
      <sheetName val="specification_options8"/>
      <sheetName val="beam-reinft-IIInd_floor4"/>
      <sheetName val="A_O_R_4"/>
      <sheetName val="FF_Inst_RA_08_Inst_038"/>
      <sheetName val="_IO_List2"/>
      <sheetName val="Cost_Index2"/>
      <sheetName val="saihous_ele2"/>
      <sheetName val="M_R_List_(2)4"/>
      <sheetName val="Balance_Sheet_4"/>
      <sheetName val="SSR___NSSR_Market_final2"/>
      <sheetName val="STAFFSCHED_2"/>
      <sheetName val="Basic_Rates2"/>
      <sheetName val="bs_BP_04_SA1"/>
      <sheetName val="Blr_hire1"/>
      <sheetName val="1-Pop_Proj1"/>
      <sheetName val="1_001"/>
      <sheetName val="DG_Works_(Supply)1"/>
      <sheetName val="220_11__BS_1"/>
      <sheetName val="_B31"/>
      <sheetName val="_B11"/>
      <sheetName val="Operating_Statistics1"/>
      <sheetName val="Annexue_B1"/>
      <sheetName val="Elect_1"/>
      <sheetName val="Desgn(zone_I)1"/>
      <sheetName val="$_KURLARI1"/>
      <sheetName val="Boq_(Main_Building)1"/>
      <sheetName val="Civil_BOQ"/>
      <sheetName val="APPENDIX_B-112"/>
      <sheetName val="Bill_3_112"/>
      <sheetName val="PRECAST_lightconc-II12"/>
      <sheetName val="Fill_this_out_first___11"/>
      <sheetName val="INDIGINEOUS_ITEMS_11"/>
      <sheetName val="Cable_data12"/>
      <sheetName val="Material_11"/>
      <sheetName val="SPT_vs_PHI11"/>
      <sheetName val="Civil_Works11"/>
      <sheetName val="Basement_Budget11"/>
      <sheetName val="Asia_Revised_10-1-0711"/>
      <sheetName val="All_Capital_Plan_P+L_10-1-0711"/>
      <sheetName val="CP08_(2)11"/>
      <sheetName val="Planning_File_10-1-0711"/>
      <sheetName val="SITE_OVERHEADS11"/>
      <sheetName val="Break_up_Sheet11"/>
      <sheetName val="Boq_Block_A11"/>
      <sheetName val="IO_List11"/>
      <sheetName val="Pipe_Supports11"/>
      <sheetName val="BOQ_(2)11"/>
      <sheetName val="SCHEDULE_(3)11"/>
      <sheetName val="schedule_nos11"/>
      <sheetName val="Box-_Girder11"/>
      <sheetName val="Sqn_Abs_G_6__11"/>
      <sheetName val="WO_Abs__G_2__6_DUs11"/>
      <sheetName val="Air_Abs_G_6__23_DUs11"/>
      <sheetName val="4-Int-_ele(RA)11"/>
      <sheetName val="Detail_1A11"/>
      <sheetName val="BLOCK-A_(MEA_SHEET)11"/>
      <sheetName val="labour_coeff11"/>
      <sheetName val="Works_-_Quote_Sheet11"/>
      <sheetName val="E_&amp;_R11"/>
      <sheetName val="MASTER_RATE_ANALYSIS10"/>
      <sheetName val="Mat_Cost11"/>
      <sheetName val="DLC_lookups11"/>
      <sheetName val="Gen_Info11"/>
      <sheetName val="Indirect_expenses11"/>
      <sheetName val="Quote_Sheet11"/>
      <sheetName val="Cost_Any_11"/>
      <sheetName val="LIST_OF_MAKES11"/>
      <sheetName val="Pile_cap10"/>
      <sheetName val="Lease_rents11"/>
      <sheetName val="SPILL_OVER11"/>
      <sheetName val="Bed_Class10"/>
      <sheetName val="DTF_Summary10"/>
      <sheetName val="Form_610"/>
      <sheetName val="BOQ_Direct_selling_cost10"/>
      <sheetName val="GF_Columns10"/>
      <sheetName val="UNP-NCW_10"/>
      <sheetName val="Intro_9"/>
      <sheetName val="Elite_1_-_MBCL9"/>
      <sheetName val="Cost_summary9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key_dates9"/>
      <sheetName val="specification_options9"/>
      <sheetName val="beam-reinft-IIInd_floor5"/>
      <sheetName val="A_O_R_5"/>
      <sheetName val="FF_Inst_RA_08_Inst_039"/>
      <sheetName val="_IO_List3"/>
      <sheetName val="Cost_Index3"/>
      <sheetName val="saihous_ele3"/>
      <sheetName val="M_R_List_(2)5"/>
      <sheetName val="Balance_Sheet_5"/>
      <sheetName val="SSR___NSSR_Market_final3"/>
      <sheetName val="STAFFSCHED_3"/>
      <sheetName val="Basic_Rates3"/>
      <sheetName val="bs_BP_04_SA2"/>
      <sheetName val="Blr_hire2"/>
      <sheetName val="1-Pop_Proj2"/>
      <sheetName val="1_002"/>
      <sheetName val="DG_Works_(Supply)2"/>
      <sheetName val="220_11__BS_2"/>
      <sheetName val="_B32"/>
      <sheetName val="_B12"/>
      <sheetName val="Operating_Statistics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Basement__Works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RES-PLANNING"/>
      <sheetName val="INPUT SHEET"/>
      <sheetName val="Macro1"/>
      <sheetName val="Preisbildungsblatt"/>
      <sheetName val="Kosten"/>
      <sheetName val="Meas.-Hotel Part"/>
      <sheetName val="Filter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Lead (Final)"/>
      <sheetName val="Column BBS-Block9"/>
      <sheetName val="Cover_sheet"/>
      <sheetName val="AOQ-new_"/>
      <sheetName val="water_prop_"/>
      <sheetName val="BC_&amp;_MNB_"/>
      <sheetName val="Resource"/>
      <sheetName val="288-1"/>
      <sheetName val="Timesheet"/>
      <sheetName val="Analysis-NH-Roads"/>
      <sheetName val="Materials "/>
      <sheetName val="ONE TIME"/>
      <sheetName val="[saihous.ele.xls]Indirect쌳ᎈ駜/"/>
      <sheetName val="wordsdata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Fin Sum"/>
      <sheetName val="L (4)"/>
      <sheetName val="PRICE-COMP"/>
      <sheetName val="Formulas"/>
      <sheetName val="A"/>
      <sheetName val="rcc( sub)"/>
      <sheetName val="Measurment"/>
      <sheetName val="Indirect_x0005_????"/>
      <sheetName val="Indirect퀀《혂൧_x0001_"/>
      <sheetName val="Core Data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gen"/>
      <sheetName val="Staff_Acco_48"/>
      <sheetName val="Tel__24"/>
      <sheetName val="Ext_light24"/>
      <sheetName val="Staff_Acco_49"/>
      <sheetName val="4_Annex_1_Basic_rate24"/>
      <sheetName val="DETAILED__BOQ24"/>
      <sheetName val="Detail_In_Door_Stad24"/>
      <sheetName val="Project_Details__24"/>
      <sheetName val="RCC,Ret__Wall24"/>
      <sheetName val="Load_Details(B2)24"/>
      <sheetName val="TBAL9697_-group_wise__sdpl24"/>
      <sheetName val="scurve_calc_(2)24"/>
      <sheetName val="Detail_P&amp;L23"/>
      <sheetName val="Assumption_Sheet23"/>
      <sheetName val="Legal_Risk_Analysis23"/>
      <sheetName val="Bill_3_-_Site_Works23"/>
      <sheetName val="SCHEDULE_OF_RATES23"/>
      <sheetName val="GR_slab-reinft23"/>
      <sheetName val="Rate_Analysis23"/>
      <sheetName val="Cover_sheet1"/>
      <sheetName val="AOQ-new_1"/>
      <sheetName val="water_prop_1"/>
      <sheetName val="PA-_Consutant_"/>
      <sheetName val="[saihous_ele_xls]Indirect"/>
      <sheetName val="Summary_Transformers"/>
      <sheetName val="Total__Amount"/>
      <sheetName val="[saihous_ele_xls]Indirect????"/>
      <sheetName val="Indirect____쌳ᎈ駜_"/>
      <sheetName val="10__&amp;_11__Rate_Code_&amp;_BQ"/>
      <sheetName val="Basic_Resources"/>
      <sheetName val="Angebot18_7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Monthly Budget Summary"/>
      <sheetName val="dBase"/>
      <sheetName val="beam-reinft"/>
      <sheetName val="Capex"/>
      <sheetName val="WORK TABLE"/>
      <sheetName val="BoQ-1"/>
      <sheetName val="BoQ-2"/>
      <sheetName val="PRECAST lightconc_II"/>
      <sheetName val="Sensitivity"/>
      <sheetName val="1-Excavation"/>
      <sheetName val="2-Substructure"/>
      <sheetName val="3-Concrete"/>
      <sheetName val="4-Masonry"/>
      <sheetName val="5-Thermal &amp; Moisture"/>
      <sheetName val="Col-Schedule"/>
      <sheetName val="starter"/>
      <sheetName val="GN-ST-10"/>
      <sheetName val="AutoOpen Stub Data"/>
      <sheetName val="Pay_Sep06"/>
      <sheetName val="SOA"/>
      <sheetName val="Podium Areas"/>
      <sheetName val="Options"/>
      <sheetName val="Overall Summary"/>
      <sheetName val="Summary_CFA total - CP1 &amp; CP2"/>
      <sheetName val="Detail-Singly"/>
      <sheetName val="TORRENT CEMENT"/>
      <sheetName val="Indirect_x005f_x0005_"/>
      <sheetName val="Indirect_x005f_x0005__x005f_x0000__x005f_x0000__"/>
      <sheetName val="saihous.ele.xls"/>
      <sheetName val="PRSH"/>
      <sheetName val="Z1_DATA"/>
      <sheetName val="MHNO_LEV"/>
      <sheetName val="Labour &amp; Plant"/>
      <sheetName val="Basis"/>
      <sheetName val="BAL SHEET"/>
      <sheetName val="foundation(V)"/>
      <sheetName val="CLAY"/>
      <sheetName val="BM-HOOP"/>
      <sheetName val="Con"/>
      <sheetName val="Sqn-Abs(G+6) "/>
      <sheetName val="WO-Abs (G+2) 6 DUs"/>
      <sheetName val="Air-Abs(G+6) 23 DUs"/>
      <sheetName val="CFForecast detail"/>
      <sheetName val="Allg. Angaben"/>
      <sheetName val="Auswahl"/>
      <sheetName val="GUT (2)"/>
      <sheetName val="ACE-OUT"/>
      <sheetName val="Labor abs-PW"/>
      <sheetName val="Labor abs-NMR"/>
      <sheetName val="reference sheet "/>
      <sheetName val="Quotation"/>
      <sheetName val="Road data"/>
      <sheetName val="Road Detail Est."/>
      <sheetName val="공장별판관비배부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[saihous.ele.xls]Indirect_x0005__x0000_堀와6_x0000_"/>
      <sheetName val="Summary-margin calc"/>
      <sheetName val="CABLES DATA"/>
      <sheetName val="DG-YARD"/>
      <sheetName val="VI Floor Beam "/>
      <sheetName val="Step 1"/>
      <sheetName val="PHOTO(9)"/>
      <sheetName val="PHOTOCALL(8)"/>
      <sheetName val="Capex-fixed"/>
      <sheetName val="NLD - Assum"/>
      <sheetName val="Equipment Information"/>
      <sheetName val="Equipment Block"/>
      <sheetName val="Labour Rate "/>
      <sheetName val="DashboardQuestion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QAQC"/>
      <sheetName val="Service Function"/>
      <sheetName val="8th  floor Beams"/>
      <sheetName val="BASIC MATERIALS"/>
      <sheetName val="Final Bill"/>
      <sheetName val="BST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M.B.T-16"/>
      <sheetName val="FITZ MORT 94"/>
      <sheetName val="Beam-Schedule-1"/>
      <sheetName val="Ring Details"/>
      <sheetName val="Stress Calculation"/>
      <sheetName val="DATA 2"/>
      <sheetName val="[saihous.ele.xls]Indirect_x0005__x0000_ം핤࢐"/>
      <sheetName val="keyword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Assumption Inputs"/>
      <sheetName val="CBL01"/>
      <sheetName val="[saihous.ele.xls]Indirect_x0005_"/>
      <sheetName val="SUMMARY - PART-I-BUILDING"/>
      <sheetName val="C Sum"/>
      <sheetName val="A Sum"/>
      <sheetName val="MMt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[saihous.ele.xls]Indirect퀀《혂൧_x0001_"/>
      <sheetName val="STP"/>
      <sheetName val="Slab"/>
      <sheetName val="BP-Other strs"/>
      <sheetName val="Rate Analysis "/>
      <sheetName val="_saihous.ele.xls_Indirect_x0005_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[saihous.ele.xls]Indirect_x0005__x0000__x0000__xdfa0_."/>
      <sheetName val="[saihous.ele.xls]Indirect_x0005__x0000__x0000__xdb20__x001f_"/>
      <sheetName val="loadcal"/>
      <sheetName val="REL"/>
      <sheetName val="Sweeper Machine"/>
      <sheetName val="HP(9.200)"/>
      <sheetName val="hyperstatic"/>
      <sheetName val="Stability"/>
      <sheetName val="COST"/>
      <sheetName val="Break_Up (bc)"/>
      <sheetName val="Break_Up (bc1)"/>
      <sheetName val="Break_Up (bc2)"/>
      <sheetName val="Comparison"/>
      <sheetName val="LEVEL SHEET"/>
      <sheetName val="GLOBAL_REFERRENCE_SHEET"/>
      <sheetName val="SOR"/>
      <sheetName val="Jan Volume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Rate Ana"/>
      <sheetName val="RIP1"/>
      <sheetName val="Manpower"/>
      <sheetName val="Detailed Summary (4)"/>
      <sheetName val="DOOR-WIND"/>
      <sheetName val="boq actual"/>
      <sheetName val="Cut &amp; Sew"/>
      <sheetName val="ANNEXURE-A"/>
      <sheetName val="Tong hop DT XDCT"/>
      <sheetName val="TH_CPTB"/>
      <sheetName val="TMDT"/>
      <sheetName val="17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[saihous_ele_xls]Indirect_"/>
      <sheetName val="INPUT_SHEET"/>
      <sheetName val="Sweeper_Machine"/>
      <sheetName val="HP(9_200)"/>
      <sheetName val="BAL_SHEET"/>
      <sheetName val="Final_Bill"/>
      <sheetName val="_GULF2"/>
      <sheetName val="Pier_calculation"/>
      <sheetName val="Distribution_-_Qty_&amp;_Amount"/>
      <sheetName val="Fin_Sum"/>
      <sheetName val="33 kV-Eqpt.fdn."/>
      <sheetName val="Name List"/>
      <sheetName val="Main-Material"/>
      <sheetName val="_saihous.ele.xls_Indirect_x0005_____"/>
      <sheetName val="_saihous.ele.xls_Indirect퀀《혂൧_x0001_"/>
      <sheetName val="_saihous.ele.xls_Indirect쌳ᎈ駜_"/>
      <sheetName val="Publicbuilding"/>
      <sheetName val="CONSTANT"/>
      <sheetName val="Beam-design exp"/>
      <sheetName val="A301 Kalk"/>
      <sheetName val="Schlüss Inh-EF"/>
      <sheetName val="VS배관내역서"/>
      <sheetName val="DATA_PILE_BG"/>
      <sheetName val="DATA_PCC"/>
      <sheetName val="DATA_PILECAP"/>
      <sheetName val="DATA_PILE_RT2"/>
      <sheetName val="DATA_PILE_RT1 "/>
      <sheetName val="DATA_PILE _SM"/>
      <sheetName val="Angebot18_7_1"/>
      <sheetName val="BOQ LT"/>
      <sheetName val="AOR"/>
      <sheetName val="KALK"/>
      <sheetName val="meas-wp"/>
      <sheetName val="sheeet7"/>
      <sheetName val="CONNECT"/>
      <sheetName val="DSLP"/>
      <sheetName val="Indirect_x0005_??_"/>
      <sheetName val="D1_CO"/>
      <sheetName val="master"/>
      <sheetName val="Labour before Escalation "/>
      <sheetName val="Material List"/>
      <sheetName val="Dtype-Civil"/>
      <sheetName val="_saihous_ele_xls_Indirect"/>
      <sheetName val="_saihous_ele_xls_Indirect____"/>
      <sheetName val="Indirect_x0005_____"/>
      <sheetName val="_saihous_ele_xls_Indirect퀀《혂൧"/>
      <sheetName val="_saihous_ele_xls_Indirect⽼؃ᅜ"/>
      <sheetName val="_saihous_ele_xls_Indirect쌳ᎈ駜_"/>
      <sheetName val="Indirect_x0005____"/>
      <sheetName val="Master Data"/>
      <sheetName val="girder"/>
      <sheetName val="Pacakges split"/>
      <sheetName val="_saihous.ele.xls_Indirect_x0005"/>
      <sheetName val="_saihous.ele.xls_Indirect퀀《혂൧_x"/>
      <sheetName val="macro"/>
      <sheetName val="WBS"/>
      <sheetName val="HPL"/>
      <sheetName val="BRL FORMAT"/>
      <sheetName val="Total delivered cost calc.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Intro_13"/>
      <sheetName val="A_O_R_13"/>
      <sheetName val="Cost_summary13"/>
      <sheetName val="Direct_cost_shed_A-2_13"/>
      <sheetName val="_Resource_list13"/>
      <sheetName val="THANE_SITE13"/>
      <sheetName val="BOQ_Distribution13"/>
      <sheetName val="key_dates13"/>
      <sheetName val="specification_options13"/>
      <sheetName val="Elite_1_-_MBCL13"/>
      <sheetName val="M_R_List_(2)13"/>
      <sheetName val="Balance_Sheet_13"/>
      <sheetName val="A_O_R_9"/>
      <sheetName val="M_R_List_(2)9"/>
      <sheetName val="Balance_Sheet_9"/>
      <sheetName val="A_O_R_10"/>
      <sheetName val="M_R_List_(2)10"/>
      <sheetName val="Balance_Sheet_10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PPENDIX_B-116"/>
      <sheetName val="Bill_3_116"/>
      <sheetName val="Cable_data16"/>
      <sheetName val="PRECAST_lightconc-II16"/>
      <sheetName val="BLOCK-A_(MEA_SHEET)15"/>
      <sheetName val="Asia_Revised_10-1-0715"/>
      <sheetName val="All_Capital_Plan_P+L_10-1-0715"/>
      <sheetName val="CP08_(2)15"/>
      <sheetName val="Planning_File_10-1-0715"/>
      <sheetName val="SITE_OVERHEADS15"/>
      <sheetName val="Civil_Works15"/>
      <sheetName val="Material_15"/>
      <sheetName val="SPT_vs_PHI15"/>
      <sheetName val="Fill_this_out_first___15"/>
      <sheetName val="IO_List15"/>
      <sheetName val="Pipe_Supports15"/>
      <sheetName val="BOQ_(2)15"/>
      <sheetName val="SCHEDULE_(3)15"/>
      <sheetName val="schedule_nos15"/>
      <sheetName val="Boq_Block_A15"/>
      <sheetName val="Sqn_Abs_G_6__15"/>
      <sheetName val="WO_Abs__G_2__6_DUs15"/>
      <sheetName val="Air_Abs_G_6__23_DUs15"/>
      <sheetName val="4-Int-_ele(RA)15"/>
      <sheetName val="INDIGINEOUS_ITEMS_15"/>
      <sheetName val="Box-_Girder15"/>
      <sheetName val="Lease_rents15"/>
      <sheetName val="DLC_lookups15"/>
      <sheetName val="Quote_Sheet15"/>
      <sheetName val="labour_coeff15"/>
      <sheetName val="Works_-_Quote_Sheet15"/>
      <sheetName val="Gen_Info15"/>
      <sheetName val="Indirect_expenses15"/>
      <sheetName val="Cost_Any_15"/>
      <sheetName val="LIST_OF_MAKES15"/>
      <sheetName val="Detail_1A15"/>
      <sheetName val="Basement_Budget15"/>
      <sheetName val="Break_up_Sheet15"/>
      <sheetName val="E_&amp;_R15"/>
      <sheetName val="Bed_Class14"/>
      <sheetName val="Pile_cap14"/>
      <sheetName val="Mat_Cost15"/>
      <sheetName val="SPILL_OVER15"/>
      <sheetName val="DTF_Summary14"/>
      <sheetName val="UNP-NCW_14"/>
      <sheetName val="GF_Columns14"/>
      <sheetName val="Form_614"/>
      <sheetName val="BOQ_Direct_selling_cost14"/>
      <sheetName val="MASTER_RATE_ANALYSIS14"/>
      <sheetName val="Intro_14"/>
      <sheetName val="A_O_R_14"/>
      <sheetName val="Cost_summary14"/>
      <sheetName val="Direct_cost_shed_A-2_14"/>
      <sheetName val="_Resource_list14"/>
      <sheetName val="THANE_SITE14"/>
      <sheetName val="BOQ_Distribution14"/>
      <sheetName val="key_dates14"/>
      <sheetName val="specification_options14"/>
      <sheetName val="Elite_1_-_MBCL14"/>
      <sheetName val="M_R_List_(2)14"/>
      <sheetName val="Balance_Sheet_14"/>
      <sheetName val="APPENDIX_B-117"/>
      <sheetName val="Bill_3_117"/>
      <sheetName val="Cable_data17"/>
      <sheetName val="PRECAST_lightconc-II17"/>
      <sheetName val="BLOCK-A_(MEA_SHEET)16"/>
      <sheetName val="Asia_Revised_10-1-0716"/>
      <sheetName val="All_Capital_Plan_P+L_10-1-0716"/>
      <sheetName val="CP08_(2)16"/>
      <sheetName val="Planning_File_10-1-0716"/>
      <sheetName val="SITE_OVERHEADS16"/>
      <sheetName val="Civil_Works16"/>
      <sheetName val="Material_16"/>
      <sheetName val="SPT_vs_PHI16"/>
      <sheetName val="Fill_this_out_first___16"/>
      <sheetName val="IO_List16"/>
      <sheetName val="Pipe_Supports16"/>
      <sheetName val="BOQ_(2)16"/>
      <sheetName val="SCHEDULE_(3)16"/>
      <sheetName val="schedule_nos16"/>
      <sheetName val="Boq_Block_A16"/>
      <sheetName val="Sqn_Abs_G_6__16"/>
      <sheetName val="WO_Abs__G_2__6_DUs16"/>
      <sheetName val="Air_Abs_G_6__23_DUs16"/>
      <sheetName val="4-Int-_ele(RA)16"/>
      <sheetName val="INDIGINEOUS_ITEMS_16"/>
      <sheetName val="Box-_Girde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Detail_1A16"/>
      <sheetName val="Basement_Budget16"/>
      <sheetName val="Break_up_Sheet16"/>
      <sheetName val="E_&amp;_R16"/>
      <sheetName val="Bed_Class15"/>
      <sheetName val="Pile_cap15"/>
      <sheetName val="Mat_Cost16"/>
      <sheetName val="SPILL_OVER16"/>
      <sheetName val="DTF_Summary15"/>
      <sheetName val="UNP-NCW_15"/>
      <sheetName val="GF_Columns15"/>
      <sheetName val="Form_615"/>
      <sheetName val="BOQ_Direct_selling_cost15"/>
      <sheetName val="MASTER_RATE_ANALYSIS15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beam-reinft-IIInd_floor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Basic_Rates7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Basic_Rates8"/>
      <sheetName val="SCHEDULE_OF_RATES25"/>
      <sheetName val="Detail_P&amp;L25"/>
      <sheetName val="Assumption_Sheet25"/>
      <sheetName val="APPENDIX_B-125"/>
      <sheetName val="Bill_3_125"/>
      <sheetName val="Legal_Risk_Analysis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beam-reinft-IIInd_floor10"/>
      <sheetName val="Staff_Acco_52"/>
      <sheetName val="Tel__26"/>
      <sheetName val="Ext_light26"/>
      <sheetName val="Staff_Acco_53"/>
      <sheetName val="SCHEDULE_OF_RATES26"/>
      <sheetName val="4_Annex_1_Basic_rate26"/>
      <sheetName val="DETAILED__BOQ26"/>
      <sheetName val="Detail_In_Door_Stad26"/>
      <sheetName val="Project_Details__26"/>
      <sheetName val="RCC,Ret__Wall26"/>
      <sheetName val="TBAL9697_-group_wise__sdpl26"/>
      <sheetName val="Load_Details(B2)26"/>
      <sheetName val="scurve_calc_(2)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Bill_3_-_Site_Works25"/>
      <sheetName val="Asia_Revised_10-1-0725"/>
      <sheetName val="All_Capital_Plan_P+L_10-1-0725"/>
      <sheetName val="CP08_(2)25"/>
      <sheetName val="Planning_File_10-1-0725"/>
      <sheetName val="GR_slab-reinft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Rate_Analysi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Contract_BOQ13"/>
      <sheetName val="beam-reinft-IIInd_floor13"/>
      <sheetName val="FF_Inst_RA_08_Inst_0313"/>
      <sheetName val="beam-reinft-machine_rm13"/>
      <sheetName val="T1_WO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Contract_BOQ14"/>
      <sheetName val="beam-reinft-IIInd_floor14"/>
      <sheetName val="FF_Inst_RA_08_Inst_0314"/>
      <sheetName val="beam-reinft-machine_rm14"/>
      <sheetName val="T1_WO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XL4Poppy"/>
      <sheetName val="Master_Data"/>
      <sheetName val="L_(4)"/>
      <sheetName val="Cost_Index7"/>
      <sheetName val="saihous_ele7"/>
      <sheetName val="_IO_List7"/>
      <sheetName val="SSR___NSSR_Market_final7"/>
      <sheetName val="STAFFSCHED_7"/>
      <sheetName val="bs_BP_04_SA6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NLD_-_Assum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HT Cable "/>
      <sheetName val="Analy"/>
      <sheetName val="STATIC"/>
      <sheetName val="Format - 4"/>
      <sheetName val="Flooring Chart"/>
      <sheetName val="Raw material"/>
      <sheetName val="oresreqsum"/>
      <sheetName val="LL-Normal"/>
      <sheetName val="keydates"/>
      <sheetName val="Print Controls"/>
      <sheetName val="Controls"/>
      <sheetName val="koersen"/>
      <sheetName val="Beams "/>
      <sheetName val="switch"/>
      <sheetName val="ES-aLL"/>
      <sheetName val="Brickwork "/>
      <sheetName val="First Floor "/>
      <sheetName val="Analisa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COLUMNS"/>
      <sheetName val="SLABREINF-SCH"/>
      <sheetName val="REINF-PILECAP"/>
      <sheetName val="SLAB SCH"/>
      <sheetName val="[saihous.ele.xls]Indirect_____2"/>
      <sheetName val="[saihous.ele.xls]Indirect_____3"/>
      <sheetName val="[saihous.ele.xls]Indirect_____4"/>
      <sheetName val="[saihous.ele.xls]_saihous_ele_2"/>
      <sheetName val="[saihous.ele.xls]_saihous_ele_3"/>
      <sheetName val="BuildUp"/>
      <sheetName val="SB_SCH_A3"/>
      <sheetName val="SB SCH_A7"/>
      <sheetName val="Summary output"/>
      <sheetName val="Boq- Civil"/>
      <sheetName val="SILICATE"/>
      <sheetName val="Summary_Transformers4"/>
      <sheetName val="Total__Amount4"/>
      <sheetName val="_GULF4"/>
      <sheetName val="LV Cable sizing"/>
      <sheetName val="DC"/>
      <sheetName val="CapitalMetrics"/>
      <sheetName val="Progress Curve"/>
      <sheetName val="para"/>
      <sheetName val="labour rates"/>
      <sheetName val="Staff_Acco_134"/>
      <sheetName val="Tel__67"/>
      <sheetName val="Ext_light67"/>
      <sheetName val="Staff_Acco_135"/>
      <sheetName val="4_Annex_1_Basic_rate67"/>
      <sheetName val="DETAILED__BOQ67"/>
      <sheetName val="Detail_In_Door_Stad67"/>
      <sheetName val="Project_Details__67"/>
      <sheetName val="RCC,Ret__Wall67"/>
      <sheetName val="TBAL9697_-group_wise__sdpl67"/>
      <sheetName val="Load_Details(B2)67"/>
      <sheetName val="scurve_calc_(2)67"/>
      <sheetName val="Legal_Risk_Analysis67"/>
      <sheetName val="Detail_P&amp;L67"/>
      <sheetName val="Assumption_Sheet67"/>
      <sheetName val="APPENDIX_B-167"/>
      <sheetName val="SCHEDULE_OF_RATES67"/>
      <sheetName val="Bill_3_167"/>
      <sheetName val="PRECAST_lightconc-II67"/>
      <sheetName val="GR_slab-reinft66"/>
      <sheetName val="Bill_3_-_Site_Works66"/>
      <sheetName val="Fill_this_out_first___66"/>
      <sheetName val="INDIGINEOUS_ITEMS_66"/>
      <sheetName val="Cable_data67"/>
      <sheetName val="Material_66"/>
      <sheetName val="SPT_vs_PHI66"/>
      <sheetName val="Civil_Works66"/>
      <sheetName val="Rate_Analysis66"/>
      <sheetName val="Basement_Budget66"/>
      <sheetName val="Boq_Block_A66"/>
      <sheetName val="Break_up_Sheet66"/>
      <sheetName val="SITE_OVERHEADS66"/>
      <sheetName val="IO_List66"/>
      <sheetName val="Pipe_Supports66"/>
      <sheetName val="BOQ_(2)66"/>
      <sheetName val="Asia_Revised_10-1-0766"/>
      <sheetName val="All_Capital_Plan_P+L_10-1-0766"/>
      <sheetName val="CP08_(2)66"/>
      <sheetName val="Planning_File_10-1-0766"/>
      <sheetName val="SCHEDULE_(3)66"/>
      <sheetName val="schedule_nos66"/>
      <sheetName val="labour_coeff66"/>
      <sheetName val="Works_-_Quote_Sheet66"/>
      <sheetName val="4-Int-_ele(RA)66"/>
      <sheetName val="Box-_Girder66"/>
      <sheetName val="Sqn_Abs_G_6__66"/>
      <sheetName val="WO_Abs__G_2__6_DUs66"/>
      <sheetName val="Air_Abs_G_6__23_DUs66"/>
      <sheetName val="Detail_1A66"/>
      <sheetName val="BLOCK-A_(MEA_SHEET)66"/>
      <sheetName val="E_&amp;_R66"/>
      <sheetName val="Mat_Cost66"/>
      <sheetName val="DLC_lookups66"/>
      <sheetName val="Gen_Info66"/>
      <sheetName val="Indirect_expenses66"/>
      <sheetName val="Quote_Sheet66"/>
      <sheetName val="Cost_Any_66"/>
      <sheetName val="LIST_OF_MAKES66"/>
      <sheetName val="Lease_rents66"/>
      <sheetName val="SPILL_OVER66"/>
      <sheetName val="MASTER_RATE_ANALYSIS65"/>
      <sheetName val="Pile_cap65"/>
      <sheetName val="Bed_Class65"/>
      <sheetName val="DTF_Summary65"/>
      <sheetName val="Form_665"/>
      <sheetName val="BOQ_Direct_selling_cost65"/>
      <sheetName val="GF_Columns65"/>
      <sheetName val="UNP-NCW_65"/>
      <sheetName val="Intro_65"/>
      <sheetName val="Elite_1_-_MBCL65"/>
      <sheetName val="Direct_cost_shed_A-2_65"/>
      <sheetName val="_Resource_list65"/>
      <sheetName val="THANE_SITE65"/>
      <sheetName val="BOQ_Distribution65"/>
      <sheetName val="Cost_summary65"/>
      <sheetName val="Contract_BOQ52"/>
      <sheetName val="beam-reinft-machine_rm52"/>
      <sheetName val="T1_WO52"/>
      <sheetName val="FF_Inst_RA_08_Inst_0352"/>
      <sheetName val="key_dates65"/>
      <sheetName val="specification_options65"/>
      <sheetName val="beam-reinft-IIInd_floor52"/>
      <sheetName val="A_O_R_65"/>
      <sheetName val="_IO_List10"/>
      <sheetName val="Cost_Index10"/>
      <sheetName val="saihous_ele10"/>
      <sheetName val="M_R_List_(2)65"/>
      <sheetName val="Balance_Sheet_65"/>
      <sheetName val="SSR___NSSR_Market_final10"/>
      <sheetName val="STAFFSCHED_10"/>
      <sheetName val="Basic_Rates52"/>
      <sheetName val="bs_BP_04_SA9"/>
      <sheetName val="Blr_hire9"/>
      <sheetName val="1_009"/>
      <sheetName val="DG_Works_(Supply)9"/>
      <sheetName val="1-Pop_Proj9"/>
      <sheetName val="220_11__BS_9"/>
      <sheetName val="_B39"/>
      <sheetName val="_B19"/>
      <sheetName val="Operating_Statistics9"/>
      <sheetName val="Annexue_B9"/>
      <sheetName val="Elect_9"/>
      <sheetName val="Desgn(zone_I)9"/>
      <sheetName val="$_KURLARI9"/>
      <sheetName val="Civil_BOQ8"/>
      <sheetName val="Boq_(Main_Building)9"/>
      <sheetName val="Basement__Works6"/>
      <sheetName val="PA-_Consutant_5"/>
      <sheetName val="Cover_sheet5"/>
      <sheetName val="AOQ-new_5"/>
      <sheetName val="water_prop_5"/>
      <sheetName val="Angebot18_7_4"/>
      <sheetName val="BC_&amp;_MNB_4"/>
      <sheetName val="Summary_Transformers6"/>
      <sheetName val="Total__Amount6"/>
      <sheetName val="11B_5"/>
      <sheetName val="DG_4"/>
      <sheetName val="10__&amp;_11__Rate_Code_&amp;_BQ4"/>
      <sheetName val="SPILL_OVER_PROJECTIONS4"/>
      <sheetName val="MAIN_FILE_9-24-073"/>
      <sheetName val="Basic_Resources4"/>
      <sheetName val="final_abstract5"/>
      <sheetName val="SC_Cost_MAR_025"/>
      <sheetName val="MTO_REV_04"/>
      <sheetName val="Linked_Lead3"/>
      <sheetName val="Material_Rate4"/>
      <sheetName val="2nd_4"/>
      <sheetName val="Material_List_4"/>
      <sheetName val="Structure_Bills_Qty4"/>
      <sheetName val="Column_BBS-Block93"/>
      <sheetName val="[saihous_ele_xls]Indirect쌳ᎈ駜/3"/>
      <sheetName val="Abstract_Sheet3"/>
      <sheetName val="April_Analysts3"/>
      <sheetName val="M_S_3"/>
      <sheetName val="Materials_3"/>
      <sheetName val="ONE_TIME4"/>
      <sheetName val="Lead_(Final)3"/>
      <sheetName val="TORRENT_CEMENT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AoR_Finishing4"/>
      <sheetName val="Fin_Sum2"/>
      <sheetName val="_GULF6"/>
      <sheetName val="Core_Data2"/>
      <sheetName val="L_(4)2"/>
      <sheetName val="AutoOpen_Stub_Data2"/>
      <sheetName val="Monthly_Budget_Summary2"/>
      <sheetName val="Tong_hop_DT_XDCT1"/>
      <sheetName val="C&amp;S_monthwise2"/>
      <sheetName val="G_R_P2"/>
      <sheetName val="PSC_REVISED2"/>
      <sheetName val="Bridge_Data_2005-062"/>
      <sheetName val="Data_F8_BTR2"/>
      <sheetName val="_2"/>
      <sheetName val="M-Book_for_FW2"/>
      <sheetName val="M-Book_for_Conc2"/>
      <sheetName val="Meas_-Hotel_Part2"/>
      <sheetName val="INPUT_SHEE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NLD_-_Assum2"/>
      <sheetName val="Labor_abs-PW1"/>
      <sheetName val="Labor_abs-NMR1"/>
      <sheetName val="saihous_ele_xls2"/>
      <sheetName val="Labour_&amp;_Plant2"/>
      <sheetName val="PRECAST_lightconc_II1"/>
      <sheetName val="BAL_SHEET2"/>
      <sheetName val="Sqn-Abs(G+6)_2"/>
      <sheetName val="WO-Abs_(G+2)_6_DUs2"/>
      <sheetName val="Air-Abs(G+6)_23_DUs2"/>
      <sheetName val="Stress_Calculation2"/>
      <sheetName val="Basic_Details1"/>
      <sheetName val="BS_Groupings1"/>
      <sheetName val="PL_Groupings1"/>
      <sheetName val="organi_synthesis_lab1"/>
      <sheetName val="Rate_Ana1"/>
      <sheetName val="GUT_(2)2"/>
      <sheetName val="[saihous_ele_xls]Indirect堀와6"/>
      <sheetName val="CFForecast_detail1"/>
      <sheetName val="Assumption_Inputs2"/>
      <sheetName val="Service_Function1"/>
      <sheetName val="IT-Fri_Base1"/>
      <sheetName val="Format_1_9_Ph-11"/>
      <sheetName val="8th__floor_Beams1"/>
      <sheetName val="Final_Bill2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C_Sum1"/>
      <sheetName val="A_Sum1"/>
      <sheetName val="reference_sheet_2"/>
      <sheetName val="Detailed_Summary_(4)1"/>
      <sheetName val="boq_actual1"/>
      <sheetName val="M_B_T-161"/>
      <sheetName val="FITZ_MORT_941"/>
      <sheetName val="Allg__Angaben1"/>
      <sheetName val="Road_data1"/>
      <sheetName val="Road_Detail_Est_1"/>
      <sheetName val="Summary-margin_calc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[saihous_ele_xls]Indirectം핤࢐"/>
      <sheetName val="5-Thermal_&amp;_Moisture1"/>
      <sheetName val="Break_Up_(bc)1"/>
      <sheetName val="Break_Up_(bc1)1"/>
      <sheetName val="Break_Up_(bc2)1"/>
      <sheetName val="WORK_TABLE1"/>
      <sheetName val="LEVEL_SHEET1"/>
      <sheetName val="Cut_&amp;_Sew1"/>
      <sheetName val="[saihous_ele_xls]Indirect"/>
      <sheetName val="SUMMARY_-_PART-I-BUILDING1"/>
      <sheetName val="_saihous_ele_xls_Indirect"/>
      <sheetName val="Jan_Volume1"/>
      <sheetName val="Podium_Areas1"/>
      <sheetName val="Sweeper_Machine2"/>
      <sheetName val="HP(9_200)2"/>
      <sheetName val="Pier_calculation2"/>
      <sheetName val="Distribution_-_Qty_&amp;_Amount2"/>
      <sheetName val="Master_Data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Indirect??_"/>
      <sheetName val="Labour_before_Escalation_1"/>
      <sheetName val="Material_List1"/>
      <sheetName val="Total_delivered_cost_calc_1"/>
      <sheetName val="Format_-_41"/>
      <sheetName val="BP-Other_strs1"/>
      <sheetName val="Raw_material1"/>
      <sheetName val="LV_Cable_sizing1"/>
      <sheetName val="Staff_Acco_132"/>
      <sheetName val="Tel__66"/>
      <sheetName val="Ext_light66"/>
      <sheetName val="Staff_Acco_133"/>
      <sheetName val="4_Annex_1_Basic_rate66"/>
      <sheetName val="DETAILED__BOQ66"/>
      <sheetName val="Detail_In_Door_Stad66"/>
      <sheetName val="Project_Details__66"/>
      <sheetName val="RCC,Ret__Wall66"/>
      <sheetName val="TBAL9697_-group_wise__sdpl66"/>
      <sheetName val="Load_Details(B2)66"/>
      <sheetName val="scurve_calc_(2)66"/>
      <sheetName val="Legal_Risk_Analysis66"/>
      <sheetName val="Detail_P&amp;L66"/>
      <sheetName val="Assumption_Sheet66"/>
      <sheetName val="APPENDIX_B-166"/>
      <sheetName val="SCHEDULE_OF_RATES66"/>
      <sheetName val="Bill_3_166"/>
      <sheetName val="PRECAST_lightconc-II66"/>
      <sheetName val="GR_slab-reinft65"/>
      <sheetName val="Bill_3_-_Site_Works65"/>
      <sheetName val="Fill_this_out_first___65"/>
      <sheetName val="INDIGINEOUS_ITEMS_65"/>
      <sheetName val="Cable_data66"/>
      <sheetName val="Material_65"/>
      <sheetName val="SPT_vs_PHI65"/>
      <sheetName val="Civil_Works65"/>
      <sheetName val="Rate_Analysis65"/>
      <sheetName val="Basement_Budget65"/>
      <sheetName val="Boq_Block_A65"/>
      <sheetName val="Break_up_Sheet65"/>
      <sheetName val="SITE_OVERHEADS65"/>
      <sheetName val="IO_List65"/>
      <sheetName val="Pipe_Supports65"/>
      <sheetName val="BOQ_(2)65"/>
      <sheetName val="Asia_Revised_10-1-0765"/>
      <sheetName val="All_Capital_Plan_P+L_10-1-0765"/>
      <sheetName val="CP08_(2)65"/>
      <sheetName val="Planning_File_10-1-0765"/>
      <sheetName val="SCHEDULE_(3)65"/>
      <sheetName val="schedule_nos65"/>
      <sheetName val="labour_coeff65"/>
      <sheetName val="Works_-_Quote_Sheet65"/>
      <sheetName val="4-Int-_ele(RA)65"/>
      <sheetName val="Box-_Girder65"/>
      <sheetName val="Sqn_Abs_G_6__65"/>
      <sheetName val="WO_Abs__G_2__6_DUs65"/>
      <sheetName val="Air_Abs_G_6__23_DUs65"/>
      <sheetName val="Detail_1A65"/>
      <sheetName val="BLOCK-A_(MEA_SHEET)65"/>
      <sheetName val="E_&amp;_R65"/>
      <sheetName val="Mat_Cost65"/>
      <sheetName val="DLC_lookups65"/>
      <sheetName val="Gen_Info65"/>
      <sheetName val="Indirect_expenses65"/>
      <sheetName val="Quote_Sheet65"/>
      <sheetName val="Cost_Any_65"/>
      <sheetName val="LIST_OF_MAKES65"/>
      <sheetName val="Lease_rents65"/>
      <sheetName val="SPILL_OVER65"/>
      <sheetName val="MASTER_RATE_ANALYSIS64"/>
      <sheetName val="Pile_cap64"/>
      <sheetName val="Bed_Class64"/>
      <sheetName val="DTF_Summary64"/>
      <sheetName val="Form_664"/>
      <sheetName val="BOQ_Direct_selling_cost64"/>
      <sheetName val="GF_Columns64"/>
      <sheetName val="UNP-NCW_64"/>
      <sheetName val="Intro_64"/>
      <sheetName val="Elite_1_-_MBCL64"/>
      <sheetName val="Direct_cost_shed_A-2_64"/>
      <sheetName val="_Resource_list64"/>
      <sheetName val="THANE_SITE64"/>
      <sheetName val="BOQ_Distribution64"/>
      <sheetName val="Cost_summary64"/>
      <sheetName val="Contract_BOQ51"/>
      <sheetName val="beam-reinft-machine_rm51"/>
      <sheetName val="T1_WO51"/>
      <sheetName val="FF_Inst_RA_08_Inst_0351"/>
      <sheetName val="key_dates64"/>
      <sheetName val="specification_options64"/>
      <sheetName val="beam-reinft-IIInd_floor51"/>
      <sheetName val="A_O_R_64"/>
      <sheetName val="_IO_List9"/>
      <sheetName val="Cost_Index9"/>
      <sheetName val="saihous_ele9"/>
      <sheetName val="M_R_List_(2)64"/>
      <sheetName val="Balance_Sheet_64"/>
      <sheetName val="SSR___NSSR_Market_final9"/>
      <sheetName val="STAFFSCHED_9"/>
      <sheetName val="Basic_Rates51"/>
      <sheetName val="bs_BP_04_SA8"/>
      <sheetName val="Blr_hire8"/>
      <sheetName val="1_008"/>
      <sheetName val="DG_Works_(Supply)8"/>
      <sheetName val="1-Pop_Proj8"/>
      <sheetName val="220_11__BS_8"/>
      <sheetName val="_B38"/>
      <sheetName val="_B18"/>
      <sheetName val="Operating_Statistics8"/>
      <sheetName val="Annexue_B8"/>
      <sheetName val="Elect_8"/>
      <sheetName val="Desgn(zone_I)8"/>
      <sheetName val="$_KURLARI8"/>
      <sheetName val="Civil_BOQ7"/>
      <sheetName val="Boq_(Main_Building)8"/>
      <sheetName val="Basement__Works5"/>
      <sheetName val="PA-_Consutant_4"/>
      <sheetName val="Cover_sheet4"/>
      <sheetName val="AOQ-new_4"/>
      <sheetName val="water_prop_4"/>
      <sheetName val="Angebot18_7_3"/>
      <sheetName val="BC_&amp;_MNB_3"/>
      <sheetName val="Summary_Transformers5"/>
      <sheetName val="Total__Amount5"/>
      <sheetName val="11B_4"/>
      <sheetName val="DG_3"/>
      <sheetName val="10__&amp;_11__Rate_Code_&amp;_BQ3"/>
      <sheetName val="SPILL_OVER_PROJECTIONS3"/>
      <sheetName val="MAIN_FILE_9-24-072"/>
      <sheetName val="Basic_Resources3"/>
      <sheetName val="final_abstract4"/>
      <sheetName val="SC_Cost_MAR_024"/>
      <sheetName val="MTO_REV_03"/>
      <sheetName val="Linked_Lead2"/>
      <sheetName val="Material_Rate3"/>
      <sheetName val="2nd_3"/>
      <sheetName val="Material_List_3"/>
      <sheetName val="Structure_Bills_Qty3"/>
      <sheetName val="Column_BBS-Block92"/>
      <sheetName val="[saihous_ele_xls]Indirect쌳ᎈ駜/2"/>
      <sheetName val="Abstract_Sheet2"/>
      <sheetName val="April_Analysts2"/>
      <sheetName val="M_S_2"/>
      <sheetName val="Materials_2"/>
      <sheetName val="ONE_TIME3"/>
      <sheetName val="Lead_(Final)2"/>
      <sheetName val="TORRENT_CEMENT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AoR_Finishing3"/>
      <sheetName val="Fin_Sum1"/>
      <sheetName val="_GULF5"/>
      <sheetName val="Core_Data1"/>
      <sheetName val="L_(4)1"/>
      <sheetName val="AutoOpen_Stub_Data1"/>
      <sheetName val="Monthly_Budget_Summary1"/>
      <sheetName val="Tong_hop_DT_XDCT"/>
      <sheetName val="C&amp;S_monthwise1"/>
      <sheetName val="G_R_P1"/>
      <sheetName val="PSC_REVISED1"/>
      <sheetName val="Bridge_Data_2005-061"/>
      <sheetName val="Data_F8_BTR1"/>
      <sheetName val="_1"/>
      <sheetName val="M-Book_for_FW1"/>
      <sheetName val="M-Book_for_Conc1"/>
      <sheetName val="Meas_-Hotel_Part1"/>
      <sheetName val="INPUT_SHEE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NLD_-_Assum1"/>
      <sheetName val="Labor_abs-PW"/>
      <sheetName val="Labor_abs-NMR"/>
      <sheetName val="saihous_ele_xls1"/>
      <sheetName val="Labour_&amp;_Plant1"/>
      <sheetName val="PRECAST_lightconc_II"/>
      <sheetName val="BAL_SHEET1"/>
      <sheetName val="Sqn-Abs(G+6)_1"/>
      <sheetName val="WO-Abs_(G+2)_6_DUs1"/>
      <sheetName val="Air-Abs(G+6)_23_DUs1"/>
      <sheetName val="Stress_Calculation1"/>
      <sheetName val="Basic_Details"/>
      <sheetName val="BS_Groupings"/>
      <sheetName val="PL_Groupings"/>
      <sheetName val="organi_synthesis_lab"/>
      <sheetName val="Rate_Ana"/>
      <sheetName val="GUT_(2)1"/>
      <sheetName val="CFForecast_detail"/>
      <sheetName val="Assumption_Inputs1"/>
      <sheetName val="Service_Function"/>
      <sheetName val="IT-Fri_Base"/>
      <sheetName val="Format_1_9_Ph-1"/>
      <sheetName val="8th__floor_Beams"/>
      <sheetName val="Final_Bill1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C_Sum"/>
      <sheetName val="A_Sum"/>
      <sheetName val="reference_sheet_1"/>
      <sheetName val="Detailed_Summary_(4)"/>
      <sheetName val="boq_actual"/>
      <sheetName val="M_B_T-16"/>
      <sheetName val="FITZ_MORT_94"/>
      <sheetName val="Allg__Angaben"/>
      <sheetName val="Road_data"/>
      <sheetName val="Road_Detail_Est_"/>
      <sheetName val="Summary-margin_calc"/>
      <sheetName val="CABLES_DATA"/>
      <sheetName val="BASIC_MATERIALS"/>
      <sheetName val="VI_Floor_Beam_"/>
      <sheetName val="Step_1"/>
      <sheetName val="Equipment_Information"/>
      <sheetName val="Equipment_Block"/>
      <sheetName val="Ring_Details1"/>
      <sheetName val="DATA_2"/>
      <sheetName val="5-Thermal_&amp;_Moisture"/>
      <sheetName val="Break_Up_(bc)"/>
      <sheetName val="Break_Up_(bc1)"/>
      <sheetName val="Break_Up_(bc2)"/>
      <sheetName val="WORK_TABLE"/>
      <sheetName val="LEVEL_SHEET"/>
      <sheetName val="Cut_&amp;_Sew"/>
      <sheetName val="SUMMARY_-_PART-I-BUILDING"/>
      <sheetName val="Jan_Volume"/>
      <sheetName val="Podium_Areas"/>
      <sheetName val="Sweeper_Machine1"/>
      <sheetName val="HP(9_200)1"/>
      <sheetName val="Pier_calculation1"/>
      <sheetName val="Distribution_-_Qty_&amp;_Amount1"/>
      <sheetName val="Master_Data1"/>
      <sheetName val="Name_List"/>
      <sheetName val="33_kV-Eqpt_fdn_"/>
      <sheetName val="BOQ_LT"/>
      <sheetName val="Beam-design_exp"/>
      <sheetName val="A301_Kalk"/>
      <sheetName val="Schlüss_Inh-EF"/>
      <sheetName val="DATA_PILE_RT1_"/>
      <sheetName val="DATA_PILE__SM"/>
      <sheetName val="Pacakges_split"/>
      <sheetName val="_saihous_ele_xls_Indirect_x0005"/>
      <sheetName val="_saihous_ele_xls_Indirect퀀《혂൧_x"/>
      <sheetName val="Overall_Summary"/>
      <sheetName val="Summary_CFA_total_-_CP1_&amp;_CP2"/>
      <sheetName val="[saihous_ele_xls]Indirect_____2"/>
      <sheetName val="[saihous_ele_xls]Indirect_____3"/>
      <sheetName val="[saihous_ele_xls]Indirect_____4"/>
      <sheetName val="[saihous_ele_xls]_saihous_ele_2"/>
      <sheetName val="[saihous_ele_xls]_saihous_ele_3"/>
      <sheetName val="Labour_before_Escalation_"/>
      <sheetName val="Material_List"/>
      <sheetName val="Total_delivered_cost_calc_"/>
      <sheetName val="Format_-_4"/>
      <sheetName val="BP-Other_strs"/>
      <sheetName val="Raw_material"/>
      <sheetName val="LV_Cable_sizing"/>
      <sheetName val="Staff_Acco_136"/>
      <sheetName val="Tel__68"/>
      <sheetName val="Ext_light68"/>
      <sheetName val="Staff_Acco_137"/>
      <sheetName val="4_Annex_1_Basic_rate68"/>
      <sheetName val="DETAILED__BOQ68"/>
      <sheetName val="Detail_In_Door_Stad68"/>
      <sheetName val="Project_Details__68"/>
      <sheetName val="RCC,Ret__Wall68"/>
      <sheetName val="TBAL9697_-group_wise__sdpl68"/>
      <sheetName val="Load_Details(B2)68"/>
      <sheetName val="scurve_calc_(2)68"/>
      <sheetName val="Legal_Risk_Analysis68"/>
      <sheetName val="Detail_P&amp;L68"/>
      <sheetName val="Assumption_Sheet68"/>
      <sheetName val="APPENDIX_B-168"/>
      <sheetName val="SCHEDULE_OF_RATES68"/>
      <sheetName val="Bill_3_168"/>
      <sheetName val="PRECAST_lightconc-II68"/>
      <sheetName val="GR_slab-reinft67"/>
      <sheetName val="Bill_3_-_Site_Works67"/>
      <sheetName val="Fill_this_out_first___67"/>
      <sheetName val="INDIGINEOUS_ITEMS_67"/>
      <sheetName val="Cable_data68"/>
      <sheetName val="Material_67"/>
      <sheetName val="SPT_vs_PHI67"/>
      <sheetName val="Civil_Works67"/>
      <sheetName val="Rate_Analysis67"/>
      <sheetName val="Basement_Budget67"/>
      <sheetName val="Boq_Block_A67"/>
      <sheetName val="Break_up_Sheet67"/>
      <sheetName val="SITE_OVERHEADS67"/>
      <sheetName val="IO_List67"/>
      <sheetName val="Pipe_Supports67"/>
      <sheetName val="BOQ_(2)67"/>
      <sheetName val="Asia_Revised_10-1-0767"/>
      <sheetName val="All_Capital_Plan_P+L_10-1-0767"/>
      <sheetName val="CP08_(2)67"/>
      <sheetName val="Planning_File_10-1-0767"/>
      <sheetName val="SCHEDULE_(3)67"/>
      <sheetName val="schedule_nos67"/>
      <sheetName val="labour_coeff67"/>
      <sheetName val="Works_-_Quote_Sheet67"/>
      <sheetName val="4-Int-_ele(RA)67"/>
      <sheetName val="Box-_Girder67"/>
      <sheetName val="Sqn_Abs_G_6__67"/>
      <sheetName val="WO_Abs__G_2__6_DUs67"/>
      <sheetName val="Air_Abs_G_6__23_DUs67"/>
      <sheetName val="Detail_1A67"/>
      <sheetName val="BLOCK-A_(MEA_SHEET)67"/>
      <sheetName val="E_&amp;_R67"/>
      <sheetName val="Mat_Cost67"/>
      <sheetName val="DLC_lookups67"/>
      <sheetName val="Gen_Info67"/>
      <sheetName val="Indirect_expenses67"/>
      <sheetName val="Quote_Sheet67"/>
      <sheetName val="Cost_Any_67"/>
      <sheetName val="LIST_OF_MAKES67"/>
      <sheetName val="Lease_rents67"/>
      <sheetName val="SPILL_OVER67"/>
      <sheetName val="MASTER_RATE_ANALYSIS66"/>
      <sheetName val="Pile_cap66"/>
      <sheetName val="Bed_Class66"/>
      <sheetName val="DTF_Summary66"/>
      <sheetName val="Form_666"/>
      <sheetName val="BOQ_Direct_selling_cost66"/>
      <sheetName val="GF_Columns66"/>
      <sheetName val="UNP-NCW_66"/>
      <sheetName val="Intro_66"/>
      <sheetName val="Elite_1_-_MBCL66"/>
      <sheetName val="Direct_cost_shed_A-2_66"/>
      <sheetName val="_Resource_list66"/>
      <sheetName val="THANE_SITE66"/>
      <sheetName val="BOQ_Distribution66"/>
      <sheetName val="Cost_summary66"/>
      <sheetName val="Contract_BOQ53"/>
      <sheetName val="beam-reinft-machine_rm53"/>
      <sheetName val="T1_WO53"/>
      <sheetName val="FF_Inst_RA_08_Inst_0353"/>
      <sheetName val="key_dates66"/>
      <sheetName val="specification_options66"/>
      <sheetName val="beam-reinft-IIInd_floor53"/>
      <sheetName val="A_O_R_66"/>
      <sheetName val="_IO_List11"/>
      <sheetName val="Cost_Index11"/>
      <sheetName val="saihous_ele11"/>
      <sheetName val="M_R_List_(2)66"/>
      <sheetName val="Balance_Sheet_66"/>
      <sheetName val="SSR___NSSR_Market_final11"/>
      <sheetName val="STAFFSCHED_11"/>
      <sheetName val="Basic_Rates53"/>
      <sheetName val="bs_BP_04_SA10"/>
      <sheetName val="Blr_hire10"/>
      <sheetName val="1_0010"/>
      <sheetName val="DG_Works_(Supply)10"/>
      <sheetName val="1-Pop_Proj10"/>
      <sheetName val="220_11__BS_10"/>
      <sheetName val="_B310"/>
      <sheetName val="_B110"/>
      <sheetName val="Operating_Statistics10"/>
      <sheetName val="Annexue_B10"/>
      <sheetName val="Elect_10"/>
      <sheetName val="Desgn(zone_I)10"/>
      <sheetName val="$_KURLARI10"/>
      <sheetName val="Civil_BOQ9"/>
      <sheetName val="Boq_(Main_Building)10"/>
      <sheetName val="Basement__Works7"/>
      <sheetName val="PA-_Consutant_6"/>
      <sheetName val="Cover_sheet6"/>
      <sheetName val="AOQ-new_6"/>
      <sheetName val="water_prop_6"/>
      <sheetName val="Angebot18_7_5"/>
      <sheetName val="BC_&amp;_MNB_5"/>
      <sheetName val="Summary_Transformers7"/>
      <sheetName val="Total__Amount7"/>
      <sheetName val="11B_6"/>
      <sheetName val="DG_5"/>
      <sheetName val="10__&amp;_11__Rate_Code_&amp;_BQ5"/>
      <sheetName val="SPILL_OVER_PROJECTIONS5"/>
      <sheetName val="MAIN_FILE_9-24-074"/>
      <sheetName val="Basic_Resources5"/>
      <sheetName val="final_abstract6"/>
      <sheetName val="SC_Cost_MAR_026"/>
      <sheetName val="MTO_REV_05"/>
      <sheetName val="Linked_Lead4"/>
      <sheetName val="Material_Rate5"/>
      <sheetName val="2nd_5"/>
      <sheetName val="Material_List_5"/>
      <sheetName val="Structure_Bills_Qty5"/>
      <sheetName val="Column_BBS-Block94"/>
      <sheetName val="[saihous_ele_xls]Indirect쌳ᎈ駜/4"/>
      <sheetName val="Abstract_Sheet4"/>
      <sheetName val="April_Analysts4"/>
      <sheetName val="M_S_4"/>
      <sheetName val="Materials_4"/>
      <sheetName val="ONE_TIME5"/>
      <sheetName val="Lead_(Final)4"/>
      <sheetName val="TORRENT_CEMENT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AoR_Finishing5"/>
      <sheetName val="Fin_Sum3"/>
      <sheetName val="_GULF7"/>
      <sheetName val="Core_Data3"/>
      <sheetName val="L_(4)3"/>
      <sheetName val="AutoOpen_Stub_Data3"/>
      <sheetName val="Monthly_Budget_Summary3"/>
      <sheetName val="Tong_hop_DT_XDCT2"/>
      <sheetName val="C&amp;S_monthwise3"/>
      <sheetName val="G_R_P3"/>
      <sheetName val="PSC_REVISED3"/>
      <sheetName val="Bridge_Data_2005-063"/>
      <sheetName val="Data_F8_BTR3"/>
      <sheetName val="_3"/>
      <sheetName val="M-Book_for_FW3"/>
      <sheetName val="M-Book_for_Conc3"/>
      <sheetName val="Meas_-Hotel_Part3"/>
      <sheetName val="INPUT_SHEET3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Labor_abs-PW2"/>
      <sheetName val="Labor_abs-NMR2"/>
      <sheetName val="saihous_ele_xls3"/>
      <sheetName val="Labour_&amp;_Plant3"/>
      <sheetName val="PRECAST_lightconc_II2"/>
      <sheetName val="BAL_SHEET3"/>
      <sheetName val="Sqn-Abs(G+6)_3"/>
      <sheetName val="WO-Abs_(G+2)_6_DUs3"/>
      <sheetName val="Air-Abs(G+6)_23_DUs3"/>
      <sheetName val="Stress_Calculation3"/>
      <sheetName val="Basic_Details2"/>
      <sheetName val="BS_Groupings2"/>
      <sheetName val="PL_Groupings2"/>
      <sheetName val="organi_synthesis_lab2"/>
      <sheetName val="Rate_Ana2"/>
      <sheetName val="GUT_(2)3"/>
      <sheetName val="CFForecast_detail2"/>
      <sheetName val="Assumption_Inputs3"/>
      <sheetName val="Service_Function2"/>
      <sheetName val="IT-Fri_Base2"/>
      <sheetName val="Format_1_9_Ph-12"/>
      <sheetName val="8th__floor_Beams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C_Sum2"/>
      <sheetName val="A_Sum2"/>
      <sheetName val="reference_sheet_3"/>
      <sheetName val="Detailed_Summary_(4)2"/>
      <sheetName val="boq_actual2"/>
      <sheetName val="M_B_T-162"/>
      <sheetName val="FITZ_MORT_942"/>
      <sheetName val="Allg__Angaben2"/>
      <sheetName val="Road_data2"/>
      <sheetName val="Road_Detail_Est_2"/>
      <sheetName val="Summary-margin_calc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Cut_&amp;_Sew2"/>
      <sheetName val="SUMMARY_-_PART-I-BUILDING2"/>
      <sheetName val="Jan_Volume2"/>
      <sheetName val="Podium_Areas2"/>
      <sheetName val="Sweeper_Machine3"/>
      <sheetName val="HP(9_200)3"/>
      <sheetName val="Pier_calculation3"/>
      <sheetName val="Distribution_-_Qty_&amp;_Amount3"/>
      <sheetName val="Master_Data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Format_-_42"/>
      <sheetName val="BP-Other_strs2"/>
      <sheetName val="Raw_material2"/>
      <sheetName val="LV_Cable_sizing2"/>
      <sheetName val="Fee Recap"/>
      <sheetName val="Staff_Acco_138"/>
      <sheetName val="Tel__69"/>
      <sheetName val="Ext_light69"/>
      <sheetName val="Staff_Acco_139"/>
      <sheetName val="4_Annex_1_Basic_rate69"/>
      <sheetName val="DETAILED__BOQ69"/>
      <sheetName val="Detail_In_Door_Stad69"/>
      <sheetName val="Project_Details__69"/>
      <sheetName val="RCC,Ret__Wall69"/>
      <sheetName val="Load_Details(B2)69"/>
      <sheetName val="TBAL9697_-group_wise__sdpl69"/>
      <sheetName val="Detail_P&amp;L69"/>
      <sheetName val="Assumption_Sheet69"/>
      <sheetName val="Legal_Risk_Analysis69"/>
      <sheetName val="scurve_calc_(2)69"/>
      <sheetName val="PRECAST_lightconc-II69"/>
      <sheetName val="APPENDIX_B-169"/>
      <sheetName val="Bill_3_169"/>
      <sheetName val="SCHEDULE_OF_RATES69"/>
      <sheetName val="Cable_data69"/>
      <sheetName val="Fill_this_out_first___68"/>
      <sheetName val="GR_slab-reinft68"/>
      <sheetName val="Bill_3_-_Site_Works68"/>
      <sheetName val="Rate_Analysis68"/>
      <sheetName val="Civil_Works68"/>
      <sheetName val="SCHEDULE_(3)68"/>
      <sheetName val="schedule_nos68"/>
      <sheetName val="INDIGINEOUS_ITEMS_68"/>
      <sheetName val="Material_68"/>
      <sheetName val="SPT_vs_PHI68"/>
      <sheetName val="Basement_Budget68"/>
      <sheetName val="Asia_Revised_10-1-0768"/>
      <sheetName val="All_Capital_Plan_P+L_10-1-0768"/>
      <sheetName val="CP08_(2)68"/>
      <sheetName val="Planning_File_10-1-0768"/>
      <sheetName val="SITE_OVERHEADS68"/>
      <sheetName val="Boq_Block_A68"/>
      <sheetName val="IO_List68"/>
      <sheetName val="Pipe_Supports68"/>
      <sheetName val="BOQ_(2)68"/>
      <sheetName val="4-Int-_ele(RA)68"/>
      <sheetName val="Box-_Girder68"/>
      <sheetName val="Break_up_Sheet68"/>
      <sheetName val="Sqn_Abs_G_6__68"/>
      <sheetName val="WO_Abs__G_2__6_DUs68"/>
      <sheetName val="Air_Abs_G_6__23_DUs68"/>
      <sheetName val="BLOCK-A_(MEA_SHEET)68"/>
      <sheetName val="Detail_1A68"/>
      <sheetName val="labour_coeff68"/>
      <sheetName val="Works_-_Quote_Sheet68"/>
      <sheetName val="E_&amp;_R68"/>
      <sheetName val="Bed_Class67"/>
      <sheetName val="DLC_lookups68"/>
      <sheetName val="Gen_Info68"/>
      <sheetName val="Indirect_expenses68"/>
      <sheetName val="Quote_Sheet68"/>
      <sheetName val="Cost_Any_68"/>
      <sheetName val="LIST_OF_MAKES68"/>
      <sheetName val="MASTER_RATE_ANALYSIS67"/>
      <sheetName val="Mat_Cost68"/>
      <sheetName val="Pile_cap67"/>
      <sheetName val="Lease_rents68"/>
      <sheetName val="SPILL_OVER68"/>
      <sheetName val="DTF_Summary67"/>
      <sheetName val="Form_667"/>
      <sheetName val="BOQ_Direct_selling_cost67"/>
      <sheetName val="GF_Columns67"/>
      <sheetName val="UNP-NCW_67"/>
      <sheetName val="Intro_67"/>
      <sheetName val="Elite_1_-_MBCL67"/>
      <sheetName val="beam-reinft-machine_rm54"/>
      <sheetName val="T1_WO54"/>
      <sheetName val="Cost_summary67"/>
      <sheetName val="Direct_cost_shed_A-2_67"/>
      <sheetName val="_Resource_list67"/>
      <sheetName val="THANE_SITE67"/>
      <sheetName val="BOQ_Distribution67"/>
      <sheetName val="Contract_BOQ54"/>
      <sheetName val="A_O_R_67"/>
      <sheetName val="_IO_List12"/>
      <sheetName val="specification_options67"/>
      <sheetName val="key_dates67"/>
      <sheetName val="FF_Inst_RA_08_Inst_0354"/>
      <sheetName val="beam-reinft-IIInd_floor54"/>
      <sheetName val="Cost_Index12"/>
      <sheetName val="saihous_ele12"/>
      <sheetName val="SSR___NSSR_Market_final12"/>
      <sheetName val="M_R_List_(2)67"/>
      <sheetName val="Balance_Sheet_67"/>
      <sheetName val="STAFFSCHED_12"/>
      <sheetName val="bs_BP_04_SA11"/>
      <sheetName val="Basic_Rates54"/>
      <sheetName val="Blr_hire11"/>
      <sheetName val="1-Pop_Proj11"/>
      <sheetName val="1_0011"/>
      <sheetName val="DG_Works_(Supply)11"/>
      <sheetName val="220_11__BS_11"/>
      <sheetName val="Elect_11"/>
      <sheetName val="_B311"/>
      <sheetName val="_B111"/>
      <sheetName val="Operating_Statistics11"/>
      <sheetName val="Annexue_B11"/>
      <sheetName val="$_KURLARI11"/>
      <sheetName val="Desgn(zone_I)11"/>
      <sheetName val="Boq_(Main_Building)11"/>
      <sheetName val="Civil_BOQ10"/>
      <sheetName val="Basement__Works8"/>
      <sheetName val="Cover_sheet7"/>
      <sheetName val="AOQ-new_7"/>
      <sheetName val="water_prop_7"/>
      <sheetName val="Angebot18_7_6"/>
      <sheetName val="PA-_Consutant_7"/>
      <sheetName val="10__&amp;_11__Rate_Code_&amp;_BQ6"/>
      <sheetName val="BC_&amp;_MNB_6"/>
      <sheetName val="Summary_Transformers8"/>
      <sheetName val="Total__Amount8"/>
      <sheetName val="11B_7"/>
      <sheetName val="DG_6"/>
      <sheetName val="final_abstract7"/>
      <sheetName val="SPILL_OVER_PROJECTIONS6"/>
      <sheetName val="Basic_Resources6"/>
      <sheetName val="MAIN_FILE_9-24-075"/>
      <sheetName val="SC_Cost_MAR_027"/>
      <sheetName val="2nd_6"/>
      <sheetName val="Material_Rate6"/>
      <sheetName val="Material_List_6"/>
      <sheetName val="Structure_Bills_Qty6"/>
      <sheetName val="Column_BBS-Block95"/>
      <sheetName val="[saihous_ele_xls]Indirect쌳ᎈ駜/5"/>
      <sheetName val="MTO_REV_06"/>
      <sheetName val="Linked_Lead5"/>
      <sheetName val="Abstract_Sheet5"/>
      <sheetName val="April_Analysts5"/>
      <sheetName val="M_S_5"/>
      <sheetName val="Materials_5"/>
      <sheetName val="ONE_TIME6"/>
      <sheetName val="Lead_(Final)5"/>
      <sheetName val="TORRENT_CEMENT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AoR_Finishing6"/>
      <sheetName val="Fin_Sum4"/>
      <sheetName val="_GULF8"/>
      <sheetName val="Core_Data4"/>
      <sheetName val="L_(4)4"/>
      <sheetName val="AutoOpen_Stub_Data4"/>
      <sheetName val="Monthly_Budget_Summary4"/>
      <sheetName val="CABLES_DATA3"/>
      <sheetName val="GUT_(2)4"/>
      <sheetName val="Sqn-Abs(G+6)_4"/>
      <sheetName val="WO-Abs_(G+2)_6_DUs4"/>
      <sheetName val="Air-Abs(G+6)_23_DUs4"/>
      <sheetName val="CFForecast_detail3"/>
      <sheetName val="C&amp;S_monthwise4"/>
      <sheetName val="G_R_P4"/>
      <sheetName val="PSC_REVISED4"/>
      <sheetName val="Bridge_Data_2005-064"/>
      <sheetName val="Data_F8_BTR4"/>
      <sheetName val="_4"/>
      <sheetName val="M-Book_for_FW4"/>
      <sheetName val="M-Book_for_Conc4"/>
      <sheetName val="saihous_ele_xls4"/>
      <sheetName val="PRECAST_lightconc_II3"/>
      <sheetName val="5-Thermal_&amp;_Moisture3"/>
      <sheetName val="WORK_TABLE3"/>
      <sheetName val="Podium_Areas3"/>
      <sheetName val="Meas_-Hotel_Part4"/>
      <sheetName val="INPUT_SHEET4"/>
      <sheetName val="Labour_&amp;_Plant4"/>
      <sheetName val="BAL_SHEE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Labor_abs-PW3"/>
      <sheetName val="Labor_abs-NMR3"/>
      <sheetName val="reference_sheet_4"/>
      <sheetName val="Road_data3"/>
      <sheetName val="Road_Detail_Est_3"/>
      <sheetName val="Format_1_9_Ph-13"/>
      <sheetName val="Summary-margin_calc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M_B_T-163"/>
      <sheetName val="FITZ_MORT_943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Rate_Ana3"/>
      <sheetName val="C_Sum3"/>
      <sheetName val="A_Sum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Sweeper_Machine4"/>
      <sheetName val="HP(9_200)4"/>
      <sheetName val="Pier_calculation4"/>
      <sheetName val="Distribution_-_Qty_&amp;_Amount4"/>
      <sheetName val="boq_actual3"/>
      <sheetName val="Tong_hop_DT_XDCT3"/>
      <sheetName val="Cut_&amp;_Sew3"/>
      <sheetName val="Master_Data4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coa_ramco_168"/>
      <sheetName val="RA_markate"/>
      <sheetName val="Balustrade"/>
      <sheetName val="CableList"/>
      <sheetName val="05. BUDGET"/>
      <sheetName val="BOXCULVERT"/>
      <sheetName val="FORM5"/>
      <sheetName val="Indirect_x0005_????쌳ᎈ駜_"/>
      <sheetName val="[saihous.ele.xls]Indirect퀀《혂൧_x0001_?"/>
      <sheetName val="[saihous.ele.xls]Indirect_x0005_?⽼؃ᅜ"/>
      <sheetName val="Executive Summary"/>
      <sheetName val="Anlysis"/>
      <sheetName val="Charts"/>
      <sheetName val="Source Ref."/>
      <sheetName val="Staff_Acco_140"/>
      <sheetName val="Tel__70"/>
      <sheetName val="Ext_light70"/>
      <sheetName val="Staff_Acco_141"/>
      <sheetName val="4_Annex_1_Basic_rate70"/>
      <sheetName val="DETAILED__BOQ70"/>
      <sheetName val="Detail_In_Door_Stad70"/>
      <sheetName val="Project_Details__70"/>
      <sheetName val="SCHEDULE_OF_RATES70"/>
      <sheetName val="TBAL9697_-group_wise__sdpl70"/>
      <sheetName val="Detail_P&amp;L70"/>
      <sheetName val="Assumption_Sheet70"/>
      <sheetName val="scurve_calc_(2)70"/>
      <sheetName val="APPENDIX_B-170"/>
      <sheetName val="RCC,Ret__Wall70"/>
      <sheetName val="Load_Details(B2)70"/>
      <sheetName val="Bill_3_170"/>
      <sheetName val="Legal_Risk_Analysis70"/>
      <sheetName val="PRECAST_lightconc-II70"/>
      <sheetName val="GR_slab-reinft69"/>
      <sheetName val="Bill_3_-_Site_Works69"/>
      <sheetName val="Fill_this_out_first___69"/>
      <sheetName val="INDIGINEOUS_ITEMS_69"/>
      <sheetName val="Cable_data70"/>
      <sheetName val="Material_69"/>
      <sheetName val="SPT_vs_PHI69"/>
      <sheetName val="Civil_Works69"/>
      <sheetName val="Rate_Analysis69"/>
      <sheetName val="Basement_Budget69"/>
      <sheetName val="labour_coeff69"/>
      <sheetName val="Works_-_Quote_Sheet69"/>
      <sheetName val="BLOCK-A_(MEA_SHEET)69"/>
      <sheetName val="IO_List69"/>
      <sheetName val="Pipe_Supports69"/>
      <sheetName val="BOQ_(2)69"/>
      <sheetName val="Boq_Block_A69"/>
      <sheetName val="Sqn_Abs_G_6__69"/>
      <sheetName val="WO_Abs__G_2__6_DUs69"/>
      <sheetName val="Air_Abs_G_6__23_DUs69"/>
      <sheetName val="SCHEDULE_(3)69"/>
      <sheetName val="schedule_nos69"/>
      <sheetName val="4-Int-_ele(RA)69"/>
      <sheetName val="Box-_Girder69"/>
      <sheetName val="Lease_rents69"/>
      <sheetName val="DLC_lookups69"/>
      <sheetName val="Quote_Sheet69"/>
      <sheetName val="Gen_Info69"/>
      <sheetName val="Indirect_expenses69"/>
      <sheetName val="Cost_Any_69"/>
      <sheetName val="LIST_OF_MAKES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_&amp;_R69"/>
      <sheetName val="Break_up_Sheet69"/>
      <sheetName val="SPILL_OVER69"/>
      <sheetName val="Pile_cap68"/>
      <sheetName val="Mat_Cost69"/>
      <sheetName val="MASTER_RATE_ANALYSIS68"/>
      <sheetName val="Bed_Class68"/>
      <sheetName val="DTF_Summary68"/>
      <sheetName val="Form_668"/>
      <sheetName val="BOQ_Direct_selling_cost68"/>
      <sheetName val="GF_Columns68"/>
      <sheetName val="UNP-NCW_68"/>
      <sheetName val="Intro_68"/>
      <sheetName val="Elite_1_-_MBCL68"/>
      <sheetName val="Cost_summary68"/>
      <sheetName val="beam-reinft-machine_rm55"/>
      <sheetName val="T1_WO55"/>
      <sheetName val="Contract_BOQ55"/>
      <sheetName val="Direct_cost_shed_A-2_68"/>
      <sheetName val="_Resource_list68"/>
      <sheetName val="THANE_SITE68"/>
      <sheetName val="BOQ_Distribution68"/>
      <sheetName val="key_dates68"/>
      <sheetName val="specification_options68"/>
      <sheetName val="beam-reinft-IIInd_floor55"/>
      <sheetName val="FF_Inst_RA_08_Inst_0355"/>
      <sheetName val="A_O_R_68"/>
      <sheetName val="_IO_List13"/>
      <sheetName val="Cost_Index13"/>
      <sheetName val="saihous_ele13"/>
      <sheetName val="SSR___NSSR_Market_final13"/>
      <sheetName val="M_R_List_(2)68"/>
      <sheetName val="Balance_Sheet_68"/>
      <sheetName val="STAFFSCHED_13"/>
      <sheetName val="Basic_Rates55"/>
      <sheetName val="Blr_hire12"/>
      <sheetName val="bs_BP_04_SA12"/>
      <sheetName val="1-Pop_Proj12"/>
      <sheetName val="Itemwise Summary"/>
      <sheetName val="Payroll BL"/>
      <sheetName val="Bechtel Norms"/>
      <sheetName val="CS PIPING"/>
      <sheetName val="TECH DATA"/>
      <sheetName val="PMS"/>
      <sheetName val="RF Vol"/>
      <sheetName val="ASP"/>
      <sheetName val="Pivots"/>
      <sheetName val="Customize Your Purchase Order"/>
      <sheetName val="Rates Basic"/>
      <sheetName val="bs"/>
      <sheetName val="schedules"/>
      <sheetName val="saihous_ele14"/>
      <sheetName val="PCS DATA"/>
      <sheetName val="JACKWELL"/>
      <sheetName val="Tie Beam Steel-R0-1"/>
      <sheetName val="CCB-LES"/>
      <sheetName val="EST-CIVIL"/>
      <sheetName val="Building_List"/>
      <sheetName val="Surcharge"/>
      <sheetName val="INFO"/>
      <sheetName val="NOTES "/>
      <sheetName val="Project Info"/>
      <sheetName val="Link In"/>
      <sheetName val="Project Work Off Contribution"/>
      <sheetName val="CRF-BE Rates"/>
      <sheetName val="Datas"/>
      <sheetName val="Co-Inf"/>
      <sheetName val="CASHFLOWS"/>
      <sheetName val="T&amp;M"/>
      <sheetName val="[saihous.ele.xls]Indirect_x0005__x0000__x0000__x0005__x0000_哐"/>
      <sheetName val="Inputs"/>
      <sheetName val="Cable-code"/>
      <sheetName val="CURENCY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Cashflow projection"/>
      <sheetName val="Cash Flow Working"/>
      <sheetName val="KP1590_E"/>
      <sheetName val="Insts"/>
      <sheetName val="pri-com"/>
      <sheetName val="Ave.wtd.rates"/>
      <sheetName val="Dropdowns"/>
      <sheetName val="LB020A(月)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Concrete Quants"/>
      <sheetName val="부표총괄"/>
      <sheetName val="India F&amp;S Template"/>
      <sheetName val="Inter Co Balances"/>
      <sheetName val="15"/>
      <sheetName val="Grouped TB-2004-05"/>
      <sheetName val="sheet6"/>
      <sheetName val="03 BOQ code"/>
      <sheetName val="More &amp; Less work record"/>
      <sheetName val="Coalmine"/>
      <sheetName val="TE"/>
      <sheetName val="Indirect_x005f_x0005__x00"/>
      <sheetName val="PS"/>
      <sheetName val="CABLEDATA"/>
      <sheetName val="Supply "/>
      <sheetName val="_saihous_ele_xls_Indirect_"/>
      <sheetName val="Budget-Breakup"/>
      <sheetName val="KQ Cost Controlling"/>
      <sheetName val="KQ Appropriation"/>
      <sheetName val="Detailed Summary (5)"/>
      <sheetName val="20"/>
      <sheetName val="COVER FOR MEMBER"/>
      <sheetName val="C"/>
      <sheetName val="30"/>
      <sheetName val="UV"/>
      <sheetName val="환율"/>
      <sheetName val="Item- Compact"/>
      <sheetName val="Driveway Beams"/>
      <sheetName val="Steel-Circular"/>
      <sheetName val="1.Civil-RA"/>
      <sheetName val="RAJU ASSO"/>
      <sheetName val="STEEL"/>
      <sheetName val="list"/>
      <sheetName val="CBDGT979"/>
      <sheetName val="INNOVATION"/>
      <sheetName val="factor sheet"/>
      <sheetName val="Name Range"/>
      <sheetName val="BS before PMO"/>
      <sheetName val="경비공통"/>
      <sheetName val="13. Steel - Ratio"/>
      <sheetName val="Staff Forecast spread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Mand.Spares BBU "/>
      <sheetName val="MEXICO-C"/>
      <sheetName val="9618UH"/>
      <sheetName val="Response Spectra (UBC-1997)"/>
      <sheetName val="Response Spectra (IS1893-2002)"/>
      <sheetName val="[saihous.ele.xls]Indirect_x0005__x0000__x0000_�."/>
      <sheetName val="Tools Rev"/>
      <sheetName val="sc-mar2000"/>
      <sheetName val="sc-sepVdec99"/>
      <sheetName val="labour_rates"/>
      <sheetName val="Print_Controls"/>
      <sheetName val="Executive_Summary"/>
      <sheetName val="SLAB_SCH"/>
      <sheetName val="Beams_"/>
      <sheetName val="TB JUN'11"/>
      <sheetName val="foot-slab reinft"/>
      <sheetName val="InputPO_Del"/>
      <sheetName val="Customize Your Invoice"/>
      <sheetName val="d-safe DELUXE"/>
      <sheetName val="FINANCIAL (FLR)"/>
      <sheetName val="Annex_1"/>
      <sheetName val="Annex_5"/>
      <sheetName val="Indirect_x0005__x00"/>
      <sheetName val=" AnalysisPCC"/>
      <sheetName val="Analysis-NH-Culverts"/>
      <sheetName val="LoadSummary"/>
      <sheetName val="[saihous.ele.xls]Indirect_____5"/>
      <sheetName val="[saihous.ele.xls]_saihous_ele_4"/>
      <sheetName val="[saihous.ele.xls]Indirect_____6"/>
      <sheetName val="[saihous.ele.xls]Indirect_____7"/>
      <sheetName val="[saihous.ele.xls]_saihous_ele_5"/>
      <sheetName val="[saihous.ele.xls]_saihous_ele_6"/>
      <sheetName val="_saihous_ele_xls_Indirect堀와6"/>
      <sheetName val="_saihous_ele_xls_Indirectം핤࢐"/>
      <sheetName val="_saihous.ele.xls_Indirect_____2"/>
      <sheetName val="_saihous.ele.xls_Indirect_____3"/>
      <sheetName val="_saihous.ele.xls_Indirect_____4"/>
      <sheetName val="_saihous.ele.xls__saihous_ele_2"/>
      <sheetName val="_saihous.ele.xls__saihous_ele_3"/>
      <sheetName val="_saihous.ele.xls_Indirect_____5"/>
      <sheetName val="_saihous.ele.xls_Indirect_____6"/>
      <sheetName val="_saihous.ele.xls_Indirect_____7"/>
      <sheetName val="_saihous.ele.xls__saihous_ele_4"/>
      <sheetName val="@RISK Correlations"/>
      <sheetName val="ironmongery"/>
      <sheetName val="(M+L)"/>
      <sheetName val="fee rate summary"/>
      <sheetName val="TBEAM"/>
      <sheetName val="int. pla."/>
      <sheetName val="Internal Plaster-FTP-Block D4"/>
      <sheetName val="A.O.R r1Str"/>
      <sheetName val="A.O.R r1"/>
      <sheetName val="A.O.R (2)"/>
      <sheetName val="11 kV SWGR"/>
      <sheetName val="SP Break Up"/>
      <sheetName val="Labour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purpose&amp;input"/>
      <sheetName val="Background"/>
      <sheetName val="Reference Information"/>
      <sheetName val="Employee List"/>
      <sheetName val="Sales Office"/>
      <sheetName val="LAYING PR"/>
      <sheetName val="Safty appli"/>
      <sheetName val=" trans works 1314"/>
      <sheetName val="Finishing items"/>
      <sheetName val="Realign, Bypass, Rec"/>
      <sheetName val="FWD DATA"/>
      <sheetName val="Normalized Readings"/>
      <sheetName val="Pavement Details"/>
      <sheetName val="PLAN_FEB97"/>
      <sheetName val="Abutment "/>
      <sheetName val="[saihous.ele.xls]Indirect_____8"/>
      <sheetName val="[saihous.ele.xls]Indirect_____9"/>
      <sheetName val="[saihous.ele.xls]Indirect____10"/>
      <sheetName val="[saihous.ele.xls]Indirect____11"/>
      <sheetName val="[saihous.ele.xls]Indirect____12"/>
      <sheetName val="bwsc"/>
      <sheetName val="datasheet"/>
      <sheetName val="design sheet"/>
      <sheetName val="surge"/>
      <sheetName val="[saihous.ele.xls]Indirect____13"/>
      <sheetName val="[saihous.ele.xls]Indirect____14"/>
      <sheetName val="[saihous.ele.xls]Indirect____15"/>
      <sheetName val="[saihous.ele.xls]Indirect____16"/>
      <sheetName val="[saihous.ele.xls]Indirect____17"/>
      <sheetName val="[saihous.ele.xls]Indirect____18"/>
      <sheetName val="COLUMN-CR"/>
      <sheetName val="Cash Flow Input Data_ISC"/>
      <sheetName val="Interface_SC"/>
      <sheetName val="Calc_ISC"/>
      <sheetName val="Calc_SC"/>
      <sheetName val="Interface_ISC"/>
      <sheetName val="GD"/>
      <sheetName val="LABOUR RATE"/>
      <sheetName val="9. Package split - Cost "/>
      <sheetName val="Form 5.0"/>
      <sheetName val="Data sheet"/>
      <sheetName val="C_link"/>
      <sheetName val="P_link"/>
      <sheetName val="item"/>
      <sheetName val="Nortel-Core"/>
      <sheetName val="HT_Cable_"/>
      <sheetName val="RCC Rates"/>
      <sheetName val="saihous_ele15"/>
      <sheetName val="PCS_DATA"/>
      <sheetName val="SB_SCH_A7"/>
      <sheetName val="Tie_Beam_Steel-R0-1"/>
      <sheetName val="Summary_output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NOTES_"/>
      <sheetName val="Project_Info"/>
      <sheetName val="Link_In"/>
      <sheetName val="Project_Work_Off_Contribution"/>
      <sheetName val="CRF-BE_Rates"/>
      <sheetName val="ACAD_Finishes"/>
      <sheetName val="Site_Details"/>
      <sheetName val="Site_Area_Statement"/>
      <sheetName val="Brickwork_"/>
      <sheetName val="First_Floor_"/>
      <sheetName val="Progress_Curve"/>
      <sheetName val="Payroll_BL"/>
      <sheetName val="Itemwise_Summary"/>
      <sheetName val="saihous_ele16"/>
      <sheetName val="Labor_abs-PW4"/>
      <sheetName val="Labor_abs-NMR4"/>
      <sheetName val="Basic_Details4"/>
      <sheetName val="BS_Groupings4"/>
      <sheetName val="PL_Groupings4"/>
      <sheetName val="PRECAST_lightconc_II4"/>
      <sheetName val="organi_synthesis_lab4"/>
      <sheetName val="Format_1_9_Ph-14"/>
      <sheetName val="CFForecast_detail4"/>
      <sheetName val="Service_Function4"/>
      <sheetName val="8th__floor_Beams4"/>
      <sheetName val="Beams_1"/>
      <sheetName val="PCS_DATA1"/>
      <sheetName val="SLAB_SCH1"/>
      <sheetName val="Print_Controls1"/>
      <sheetName val="SB_SCH_A71"/>
      <sheetName val="Tie_Beam_Steel-R0-11"/>
      <sheetName val="Summary_output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Executive_Summary1"/>
      <sheetName val="NOTES_1"/>
      <sheetName val="Project_Info1"/>
      <sheetName val="Link_In1"/>
      <sheetName val="Project_Work_Off_Contribution1"/>
      <sheetName val="CRF-BE_Rates1"/>
      <sheetName val="ACAD_Finishes1"/>
      <sheetName val="Site_Details1"/>
      <sheetName val="Site_Area_Statement1"/>
      <sheetName val="Brickwork_1"/>
      <sheetName val="First_Floor_1"/>
      <sheetName val="labour_rates1"/>
      <sheetName val="Progress_Curve1"/>
      <sheetName val="Payroll_BL1"/>
      <sheetName val="Itemwise_Summary1"/>
      <sheetName val="Beam-design_exp4"/>
      <sheetName val="A301_Kalk4"/>
      <sheetName val="Schlüss_Inh-EF4"/>
      <sheetName val="Beam-design_exp5"/>
      <sheetName val="A301_Kalk5"/>
      <sheetName val="Schlüss_Inh-EF5"/>
      <sheetName val="Beam-design_exp6"/>
      <sheetName val="A301_Kalk6"/>
      <sheetName val="Schlüss_Inh-EF6"/>
      <sheetName val="LOGO"/>
      <sheetName val="Rates"/>
      <sheetName val="Indices"/>
      <sheetName val="CABLES  "/>
      <sheetName val="Cable Schedule"/>
      <sheetName val="R2"/>
      <sheetName val="DG_Works_(Supply)12"/>
      <sheetName val="1_0012"/>
      <sheetName val="_B312"/>
      <sheetName val="_B112"/>
      <sheetName val="Operating_Statistics12"/>
      <sheetName val="220_11__BS_12"/>
      <sheetName val="Annexue_B12"/>
      <sheetName val="Civil_BOQ11"/>
      <sheetName val="Desgn(zone_I)12"/>
      <sheetName val="Elect_12"/>
      <sheetName val="$_KURLARI12"/>
      <sheetName val="Boq_(Main_Building)12"/>
      <sheetName val="10__&amp;_11__Rate_Code_&amp;_BQ7"/>
      <sheetName val="PA-_Consutant_8"/>
      <sheetName val="Basement__Works9"/>
      <sheetName val="Cover_sheet8"/>
      <sheetName val="AOQ-new_8"/>
      <sheetName val="water_prop_8"/>
      <sheetName val="Summary_Transformers9"/>
      <sheetName val="Total__Amount9"/>
      <sheetName val="final_abstract8"/>
      <sheetName val="Material_List_7"/>
      <sheetName val="Structure_Bills_Qty7"/>
      <sheetName val="BC_&amp;_MNB_7"/>
      <sheetName val="Basic_Resources7"/>
      <sheetName val="Angebot18_7_7"/>
      <sheetName val="11B_8"/>
      <sheetName val="ONE_TIME7"/>
      <sheetName val="SPILL_OVER_PROJECTIONS7"/>
      <sheetName val="2nd_7"/>
      <sheetName val="AoR_Finishing7"/>
      <sheetName val="Material_Rate7"/>
      <sheetName val="SC_Cost_MAR_028"/>
      <sheetName val="Final_Bill5"/>
      <sheetName val="INPUT_SHEET5"/>
      <sheetName val="Column_BBS-Block96"/>
      <sheetName val="Tong_hop_DT_XDCT4"/>
      <sheetName val="MAIN_FILE_9-24-076"/>
      <sheetName val="DG_7"/>
      <sheetName val="MTO_REV_07"/>
      <sheetName val="Linked_Lead6"/>
      <sheetName val="Abstract_Sheet6"/>
      <sheetName val="April_Analysts6"/>
      <sheetName val="M_S_6"/>
      <sheetName val="Materials_6"/>
      <sheetName val="[saihous_ele_xls]Indirect쌳ᎈ駜/6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Fin_Sum5"/>
      <sheetName val="_GULF9"/>
      <sheetName val="Lead_(Final)6"/>
      <sheetName val="TORRENT_CEMENT5"/>
      <sheetName val="Core_Data5"/>
      <sheetName val="L_(4)5"/>
      <sheetName val="AutoOpen_Stub_Data5"/>
      <sheetName val="Monthly_Budget_Summary5"/>
      <sheetName val="C&amp;S_monthwise5"/>
      <sheetName val="G_R_P5"/>
      <sheetName val="PSC_REVISED5"/>
      <sheetName val="Bridge_Data_2005-065"/>
      <sheetName val="Data_F8_BTR5"/>
      <sheetName val="_5"/>
      <sheetName val="M-Book_for_FW5"/>
      <sheetName val="M-Book_for_Conc5"/>
      <sheetName val="Meas_-Hotel_Part5"/>
      <sheetName val="saihous_ele_xls5"/>
      <sheetName val="Labour_&amp;_Plant5"/>
      <sheetName val="Labour_Rate_5"/>
      <sheetName val="TPL_RECEIPTS_MB515"/>
      <sheetName val="ROW_Orders_for_March_055"/>
      <sheetName val="PKG_PO5"/>
      <sheetName val="LLM_DPRECEIPTS_MB515"/>
      <sheetName val="ZSEM_stock_(ympc038)5"/>
      <sheetName val="MFG_PO5"/>
      <sheetName val="BAL_SHEET5"/>
      <sheetName val="GUT_(2)5"/>
      <sheetName val="Sqn-Abs(G+6)_5"/>
      <sheetName val="WO-Abs_(G+2)_6_DUs5"/>
      <sheetName val="Air-Abs(G+6)_23_DUs5"/>
      <sheetName val="NLD_-_Assum5"/>
      <sheetName val="BASIC_MATERIALS4"/>
      <sheetName val="reference_sheet_5"/>
      <sheetName val="Stress_Calculation5"/>
      <sheetName val="Ring_Details5"/>
      <sheetName val="CABLES_DATA4"/>
      <sheetName val="DATA_24"/>
      <sheetName val="M_B_T-164"/>
      <sheetName val="FITZ_MORT_944"/>
      <sheetName val="Allg__Angaben4"/>
      <sheetName val="Road_data4"/>
      <sheetName val="Road_Detail_Est_4"/>
      <sheetName val="Summary-margin_calc4"/>
      <sheetName val="Assumption_Inputs5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Rate_Ana4"/>
      <sheetName val="C_Sum4"/>
      <sheetName val="A_Sum4"/>
      <sheetName val="Cut_&amp;_Sew4"/>
      <sheetName val="VI_Floor_Beam_4"/>
      <sheetName val="Step_14"/>
      <sheetName val="Equipment_Information4"/>
      <sheetName val="Equipment_Block4"/>
      <sheetName val="Detailed_Summary_(4)4"/>
      <sheetName val="boq_actual4"/>
      <sheetName val="5-Thermal_&amp;_Moisture4"/>
      <sheetName val="Break_Up_(bc)4"/>
      <sheetName val="Break_Up_(bc1)4"/>
      <sheetName val="Break_Up_(bc2)4"/>
      <sheetName val="WORK_TABLE4"/>
      <sheetName val="LEVEL_SHEET4"/>
      <sheetName val="SUMMARY_-_PART-I-BUILDING4"/>
      <sheetName val="Master_Data5"/>
      <sheetName val="Distribution_-_Qty_&amp;_Amount5"/>
      <sheetName val="Jan_Volume4"/>
      <sheetName val="Podium_Areas4"/>
      <sheetName val="Overall_Summary4"/>
      <sheetName val="Summary_CFA_total_-_CP1_&amp;_CP24"/>
      <sheetName val="Sweeper_Machine5"/>
      <sheetName val="HP(9_200)5"/>
      <sheetName val="Name_List4"/>
      <sheetName val="Pier_calculation5"/>
      <sheetName val="_saihous_ele_xls_Indirect쌳ᎈ駜_4"/>
      <sheetName val="33_kV-Eqpt_fdn_4"/>
      <sheetName val="BOQ_LT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Staff_Acco_142"/>
      <sheetName val="Tel__71"/>
      <sheetName val="Ext_light71"/>
      <sheetName val="Staff_Acco_143"/>
      <sheetName val="4_Annex_1_Basic_rate71"/>
      <sheetName val="DETAILED__BOQ71"/>
      <sheetName val="Detail_In_Door_Stad71"/>
      <sheetName val="Project_Details__71"/>
      <sheetName val="RCC,Ret__Wall71"/>
      <sheetName val="Load_Details(B2)71"/>
      <sheetName val="TBAL9697_-group_wise__sdpl71"/>
      <sheetName val="Legal_Risk_Analysis71"/>
      <sheetName val="scurve_calc_(2)71"/>
      <sheetName val="Detail_P&amp;L71"/>
      <sheetName val="Assumption_Sheet71"/>
      <sheetName val="Cable_data71"/>
      <sheetName val="PRECAST_lightconc-II71"/>
      <sheetName val="APPENDIX_B-171"/>
      <sheetName val="Bill_3_171"/>
      <sheetName val="SCHEDULE_OF_RATES71"/>
      <sheetName val="4-Int-_ele(RA)70"/>
      <sheetName val="Material_70"/>
      <sheetName val="SPT_vs_PHI70"/>
      <sheetName val="Civil_Works70"/>
      <sheetName val="Bill_3_-_Site_Works70"/>
      <sheetName val="GR_slab-reinft70"/>
      <sheetName val="Fill_this_out_first___70"/>
      <sheetName val="INDIGINEOUS_ITEMS_70"/>
      <sheetName val="Rate_Analysis70"/>
      <sheetName val="Boq_Block_A70"/>
      <sheetName val="beam-reinft-IIInd_floor56"/>
      <sheetName val="Bed_Class69"/>
      <sheetName val="SCHEDULE_(3)70"/>
      <sheetName val="schedule_nos70"/>
      <sheetName val="BLOCK-A_(MEA_SHEET)70"/>
      <sheetName val="IO_List70"/>
      <sheetName val="Pipe_Supports70"/>
      <sheetName val="BOQ_(2)70"/>
      <sheetName val="Box-_Girder70"/>
      <sheetName val="DLC_lookups70"/>
      <sheetName val="Gen_Info70"/>
      <sheetName val="Indirect_expenses70"/>
      <sheetName val="Quote_Sheet70"/>
      <sheetName val="labour_coeff70"/>
      <sheetName val="Works_-_Quote_Sheet70"/>
      <sheetName val="Cost_Any_70"/>
      <sheetName val="LIST_OF_MAKES70"/>
      <sheetName val="Sqn_Abs_G_6__70"/>
      <sheetName val="WO_Abs__G_2__6_DUs70"/>
      <sheetName val="Air_Abs_G_6__23_DUs70"/>
      <sheetName val="Lease_rents70"/>
      <sheetName val="Basement_Budget70"/>
      <sheetName val="SITE_OVERHEADS70"/>
      <sheetName val="Asia_Revised_10-1-0770"/>
      <sheetName val="All_Capital_Plan_P+L_10-1-0770"/>
      <sheetName val="CP08_(2)70"/>
      <sheetName val="Planning_File_10-1-0770"/>
      <sheetName val="Break_up_Sheet70"/>
      <sheetName val="Detail_1A70"/>
      <sheetName val="E_&amp;_R70"/>
      <sheetName val="SPILL_OVER70"/>
      <sheetName val="Pile_cap69"/>
      <sheetName val="DTF_Summary69"/>
      <sheetName val="UNP-NCW_69"/>
      <sheetName val="Mat_Cost70"/>
      <sheetName val="GF_Columns69"/>
      <sheetName val="beam-reinft-machine_rm56"/>
      <sheetName val="Form_669"/>
      <sheetName val="BOQ_Direct_selling_cost69"/>
      <sheetName val="Intro_69"/>
      <sheetName val="MASTER_RATE_ANALYSIS69"/>
      <sheetName val="specification_options69"/>
      <sheetName val="key_dates69"/>
      <sheetName val="Elite_1_-_MBCL69"/>
      <sheetName val="Cost_summary69"/>
      <sheetName val="1-Pop_Proj13"/>
      <sheetName val="Contract_BOQ56"/>
      <sheetName val="T1_WO56"/>
      <sheetName val="bs_BP_04_SA13"/>
      <sheetName val="Cost_Index14"/>
      <sheetName val="A_O_R_69"/>
      <sheetName val="Direct_cost_shed_A-2_69"/>
      <sheetName val="_Resource_list69"/>
      <sheetName val="THANE_SITE69"/>
      <sheetName val="BOQ_Distribution69"/>
      <sheetName val="STAFFSCHED_14"/>
      <sheetName val="FF_Inst_RA_08_Inst_0356"/>
      <sheetName val="_IO_List14"/>
      <sheetName val="M_R_List_(2)69"/>
      <sheetName val="Balance_Sheet_69"/>
      <sheetName val="SSR___NSSR_Market_final14"/>
      <sheetName val="Basic_Rates56"/>
      <sheetName val="Blr_hire13"/>
      <sheetName val="DG_Works_(Supply)13"/>
      <sheetName val="1_0013"/>
      <sheetName val="_B313"/>
      <sheetName val="_B113"/>
      <sheetName val="Operating_Statistics13"/>
      <sheetName val="220_11__BS_13"/>
      <sheetName val="Annexue_B13"/>
      <sheetName val="Civil_BOQ12"/>
      <sheetName val="Desgn(zone_I)13"/>
      <sheetName val="Elect_13"/>
      <sheetName val="$_KURLARI13"/>
      <sheetName val="Boq_(Main_Building)13"/>
      <sheetName val="10__&amp;_11__Rate_Code_&amp;_BQ8"/>
      <sheetName val="PA-_Consutant_9"/>
      <sheetName val="Basement__Works10"/>
      <sheetName val="Cover_sheet9"/>
      <sheetName val="AOQ-new_9"/>
      <sheetName val="water_prop_9"/>
      <sheetName val="Summary_Transformers10"/>
      <sheetName val="Total__Amount10"/>
      <sheetName val="final_abstract9"/>
      <sheetName val="Material_List_8"/>
      <sheetName val="Structure_Bills_Qty8"/>
      <sheetName val="BC_&amp;_MNB_8"/>
      <sheetName val="Basic_Resources8"/>
      <sheetName val="Angebot18_7_8"/>
      <sheetName val="11B_9"/>
      <sheetName val="ONE_TIME8"/>
      <sheetName val="SPILL_OVER_PROJECTIONS8"/>
      <sheetName val="2nd_8"/>
      <sheetName val="AoR_Finishing8"/>
      <sheetName val="Material_Rate8"/>
      <sheetName val="SC_Cost_MAR_029"/>
      <sheetName val="Final_Bill6"/>
      <sheetName val="INPUT_SHEET6"/>
      <sheetName val="Column_BBS-Block97"/>
      <sheetName val="Tong_hop_DT_XDCT5"/>
      <sheetName val="MAIN_FILE_9-24-077"/>
      <sheetName val="DG_8"/>
      <sheetName val="MTO_REV_08"/>
      <sheetName val="Linked_Lead7"/>
      <sheetName val="Abstract_Sheet7"/>
      <sheetName val="April_Analysts7"/>
      <sheetName val="M_S_7"/>
      <sheetName val="Materials_7"/>
      <sheetName val="[saihous_ele_xls]Indirect쌳ᎈ駜/7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Fin_Sum6"/>
      <sheetName val="_GULF10"/>
      <sheetName val="Lead_(Final)7"/>
      <sheetName val="TORRENT_CEMENT6"/>
      <sheetName val="Core_Data6"/>
      <sheetName val="L_(4)6"/>
      <sheetName val="AutoOpen_Stub_Data6"/>
      <sheetName val="Monthly_Budget_Summary6"/>
      <sheetName val="C&amp;S_monthwise6"/>
      <sheetName val="G_R_P6"/>
      <sheetName val="PSC_REVISED6"/>
      <sheetName val="Bridge_Data_2005-066"/>
      <sheetName val="Data_F8_BTR6"/>
      <sheetName val="_6"/>
      <sheetName val="M-Book_for_FW6"/>
      <sheetName val="M-Book_for_Conc6"/>
      <sheetName val="Meas_-Hotel_Part6"/>
      <sheetName val="saihous_ele_xls6"/>
      <sheetName val="Labour_&amp;_Plant6"/>
      <sheetName val="Labour_Rate_6"/>
      <sheetName val="TPL_RECEIPTS_MB516"/>
      <sheetName val="ROW_Orders_for_March_056"/>
      <sheetName val="PKG_PO6"/>
      <sheetName val="LLM_DPRECEIPTS_MB516"/>
      <sheetName val="ZSEM_stock_(ympc038)6"/>
      <sheetName val="MFG_PO6"/>
      <sheetName val="PRECAST_lightconc_II5"/>
      <sheetName val="BAL_SHEET6"/>
      <sheetName val="organi_synthesis_lab5"/>
      <sheetName val="GUT_(2)6"/>
      <sheetName val="Sqn-Abs(G+6)_6"/>
      <sheetName val="WO-Abs_(G+2)_6_DUs6"/>
      <sheetName val="Air-Abs(G+6)_23_DUs6"/>
      <sheetName val="CFForecast_detail5"/>
      <sheetName val="Basic_Details5"/>
      <sheetName val="BS_Groupings5"/>
      <sheetName val="PL_Groupings5"/>
      <sheetName val="Format_1_9_Ph-15"/>
      <sheetName val="Service_Function5"/>
      <sheetName val="8th__floor_Beams5"/>
      <sheetName val="Labor_abs-PW5"/>
      <sheetName val="Labor_abs-NMR5"/>
      <sheetName val="NLD_-_Assum6"/>
      <sheetName val="BASIC_MATERIALS5"/>
      <sheetName val="reference_sheet_6"/>
      <sheetName val="Stress_Calculation6"/>
      <sheetName val="Ring_Details6"/>
      <sheetName val="CABLES_DATA5"/>
      <sheetName val="DATA_25"/>
      <sheetName val="M_B_T-165"/>
      <sheetName val="FITZ_MORT_945"/>
      <sheetName val="Allg__Angaben5"/>
      <sheetName val="Road_data5"/>
      <sheetName val="Road_Detail_Est_5"/>
      <sheetName val="Summary-margin_calc5"/>
      <sheetName val="Assumption_Inputs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Rate_Ana5"/>
      <sheetName val="C_Sum5"/>
      <sheetName val="A_Sum5"/>
      <sheetName val="Cut_&amp;_Sew5"/>
      <sheetName val="VI_Floor_Beam_5"/>
      <sheetName val="Step_15"/>
      <sheetName val="Equipment_Information5"/>
      <sheetName val="Equipment_Block5"/>
      <sheetName val="Detailed_Summary_(4)5"/>
      <sheetName val="boq_actual5"/>
      <sheetName val="5-Thermal_&amp;_Moisture5"/>
      <sheetName val="Break_Up_(bc)5"/>
      <sheetName val="Break_Up_(bc1)5"/>
      <sheetName val="Break_Up_(bc2)5"/>
      <sheetName val="WORK_TABLE5"/>
      <sheetName val="LEVEL_SHEET5"/>
      <sheetName val="SUMMARY_-_PART-I-BUILDING5"/>
      <sheetName val="Master_Data6"/>
      <sheetName val="Distribution_-_Qty_&amp;_Amount6"/>
      <sheetName val="Jan_Volume5"/>
      <sheetName val="Podium_Areas5"/>
      <sheetName val="Overall_Summary5"/>
      <sheetName val="Summary_CFA_total_-_CP1_&amp;_CP25"/>
      <sheetName val="Sweeper_Machine6"/>
      <sheetName val="HP(9_200)6"/>
      <sheetName val="Name_List5"/>
      <sheetName val="Pier_calculation6"/>
      <sheetName val="_saihous_ele_xls_Indirect쌳ᎈ駜_5"/>
      <sheetName val="33_kV-Eqpt_fdn_5"/>
      <sheetName val="BOQ_LT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WPR-IV"/>
      <sheetName val="Filtration1"/>
      <sheetName val="aug stat 06 (2)"/>
      <sheetName val="Boq-_Civil"/>
      <sheetName val="Flooring_Chart"/>
      <sheetName val="BRL_FORMAT"/>
      <sheetName val="05__BUDGET"/>
      <sheetName val="Indirect????쌳ᎈ駜_"/>
      <sheetName val="[saihous_ele_xls]Indirect퀀《혂൧?"/>
      <sheetName val="[saihous_ele_xls]Indirect?⽼؃ᅜ"/>
      <sheetName val="Staff_Acco_144"/>
      <sheetName val="Tel__72"/>
      <sheetName val="Ext_light72"/>
      <sheetName val="Staff_Acco_145"/>
      <sheetName val="4_Annex_1_Basic_rate72"/>
      <sheetName val="DETAILED__BOQ72"/>
      <sheetName val="Detail_In_Door_Stad72"/>
      <sheetName val="Project_Details__72"/>
      <sheetName val="SCHEDULE_OF_RATES72"/>
      <sheetName val="TBAL9697_-group_wise__sdpl72"/>
      <sheetName val="Detail_P&amp;L72"/>
      <sheetName val="Assumption_Sheet72"/>
      <sheetName val="scurve_calc_(2)72"/>
      <sheetName val="APPENDIX_B-172"/>
      <sheetName val="RCC,Ret__Wall72"/>
      <sheetName val="Load_Details(B2)72"/>
      <sheetName val="Bill_3_172"/>
      <sheetName val="Legal_Risk_Analysis72"/>
      <sheetName val="PRECAST_lightconc-II72"/>
      <sheetName val="GR_slab-reinft71"/>
      <sheetName val="Bill_3_-_Site_Works71"/>
      <sheetName val="Fill_this_out_first___71"/>
      <sheetName val="Break_up_Sheet71"/>
      <sheetName val="Cable_data72"/>
      <sheetName val="Civil_Works71"/>
      <sheetName val="INDIGINEOUS_ITEMS_71"/>
      <sheetName val="Material_71"/>
      <sheetName val="SPT_vs_PHI71"/>
      <sheetName val="Rate_Analysis71"/>
      <sheetName val="Basement_Budget71"/>
      <sheetName val="IO_List71"/>
      <sheetName val="Pipe_Supports71"/>
      <sheetName val="BOQ_(2)71"/>
      <sheetName val="Boq_Block_A71"/>
      <sheetName val="Sqn_Abs_G_6__71"/>
      <sheetName val="WO_Abs__G_2__6_DUs71"/>
      <sheetName val="Air_Abs_G_6__23_DUs71"/>
      <sheetName val="Asia_Revised_10-1-0771"/>
      <sheetName val="All_Capital_Plan_P+L_10-1-0771"/>
      <sheetName val="CP08_(2)71"/>
      <sheetName val="Planning_File_10-1-0771"/>
      <sheetName val="SITE_OVERHEADS71"/>
      <sheetName val="SCHEDULE_(3)71"/>
      <sheetName val="schedule_nos71"/>
      <sheetName val="E_&amp;_R71"/>
      <sheetName val="4-Int-_ele(RA)71"/>
      <sheetName val="Pile_cap70"/>
      <sheetName val="DLC_lookups71"/>
      <sheetName val="Quote_Sheet71"/>
      <sheetName val="labour_coeff71"/>
      <sheetName val="Works_-_Quote_Sheet71"/>
      <sheetName val="BLOCK-A_(MEA_SHEET)71"/>
      <sheetName val="Box-_Girder71"/>
      <sheetName val="Detail_1A71"/>
      <sheetName val="Gen_Info71"/>
      <sheetName val="Indirect_expenses71"/>
      <sheetName val="Cost_Any_71"/>
      <sheetName val="LIST_OF_MAKES71"/>
      <sheetName val="Bed_Class70"/>
      <sheetName val="Lease_rents71"/>
      <sheetName val="DTF_Summary70"/>
      <sheetName val="SPILL_OVER71"/>
      <sheetName val="GF_Columns70"/>
      <sheetName val="Intro_70"/>
      <sheetName val="Mat_Cost71"/>
      <sheetName val="Form_670"/>
      <sheetName val="BOQ_Direct_selling_cost70"/>
      <sheetName val="UNP-NCW_70"/>
      <sheetName val="MASTER_RATE_ANALYSIS70"/>
      <sheetName val="Elite_1_-_MBCL70"/>
      <sheetName val="specification_options70"/>
      <sheetName val="key_dates70"/>
      <sheetName val="Cost_summary70"/>
      <sheetName val="Contract_BOQ57"/>
      <sheetName val="beam-reinft-machine_rm57"/>
      <sheetName val="T1_WO57"/>
      <sheetName val="beam-reinft-IIInd_floor57"/>
      <sheetName val="Direct_cost_shed_A-2_70"/>
      <sheetName val="_Resource_list70"/>
      <sheetName val="THANE_SITE70"/>
      <sheetName val="BOQ_Distribution70"/>
      <sheetName val="_IO_List15"/>
      <sheetName val="A_O_R_70"/>
      <sheetName val="FF_Inst_RA_08_Inst_0357"/>
      <sheetName val="M_R_List_(2)70"/>
      <sheetName val="Balance_Sheet_70"/>
      <sheetName val="Cost_Index15"/>
      <sheetName val="SSR___NSSR_Market_final15"/>
      <sheetName val="STAFFSCHED_15"/>
      <sheetName val="Basic_Rates57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Cover_sheet10"/>
      <sheetName val="AOQ-new_10"/>
      <sheetName val="water_prop_10"/>
      <sheetName val="BC_&amp;_MNB_9"/>
      <sheetName val="11B_10"/>
      <sheetName val="final_abstract10"/>
      <sheetName val="_GULF11"/>
      <sheetName val="Angebot18_7_9"/>
      <sheetName val="SPILL_OVER_PROJECTIONS9"/>
      <sheetName val="10__&amp;_11__Rate_Code_&amp;_BQ9"/>
      <sheetName val="MAIN_FILE_9-24-078"/>
      <sheetName val="Material_List_9"/>
      <sheetName val="Structure_Bills_Qty9"/>
      <sheetName val="Basic_Resources9"/>
      <sheetName val="DG_9"/>
      <sheetName val="ONE_TIME9"/>
      <sheetName val="2nd_9"/>
      <sheetName val="Material_Rate9"/>
      <sheetName val="SC_Cost_MAR_0210"/>
      <sheetName val="Column_BBS-Block98"/>
      <sheetName val="[saihous_ele_xls]Indirect쌳ᎈ駜/8"/>
      <sheetName val="Linked_Lead8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MTO_REV_09"/>
      <sheetName val="Abstract_Sheet8"/>
      <sheetName val="April_Analysts8"/>
      <sheetName val="M_S_8"/>
      <sheetName val="AoR_Finishing9"/>
      <sheetName val="Fin_Sum7"/>
      <sheetName val="Materials_8"/>
      <sheetName val="Core_Data7"/>
      <sheetName val="L_(4)7"/>
      <sheetName val="AutoOpen_Stub_Data7"/>
      <sheetName val="Basic_Details6"/>
      <sheetName val="BS_Groupings6"/>
      <sheetName val="PL_Groupings6"/>
      <sheetName val="Meas_-Hotel_Part7"/>
      <sheetName val="NLD_-_Assum7"/>
      <sheetName val="Labour_Rate_7"/>
      <sheetName val="Lead_(Final)8"/>
      <sheetName val="TORRENT_CEMENT7"/>
      <sheetName val="reference_sheet_7"/>
      <sheetName val="Labor_abs-PW6"/>
      <sheetName val="Labor_abs-NMR6"/>
      <sheetName val="Labour_&amp;_Plant7"/>
      <sheetName val="Detailed_Summary_(4)6"/>
      <sheetName val="M_B_T-166"/>
      <sheetName val="FITZ_MORT_946"/>
      <sheetName val="Monthly_Budget_Summary7"/>
      <sheetName val="C&amp;S_monthwise7"/>
      <sheetName val="G_R_P7"/>
      <sheetName val="PSC_REVISED7"/>
      <sheetName val="Bridge_Data_2005-067"/>
      <sheetName val="Data_F8_BTR7"/>
      <sheetName val="_7"/>
      <sheetName val="M-Book_for_FW7"/>
      <sheetName val="M-Book_for_Conc7"/>
      <sheetName val="INPUT_SHEET7"/>
      <sheetName val="saihous_ele_xls7"/>
      <sheetName val="PRECAST_lightconc_II6"/>
      <sheetName val="organi_synthesis_lab6"/>
      <sheetName val="BAL_SHEET7"/>
      <sheetName val="Sqn-Abs(G+6)_7"/>
      <sheetName val="WO-Abs_(G+2)_6_DUs7"/>
      <sheetName val="Air-Abs(G+6)_23_DUs7"/>
      <sheetName val="CFForecast_detail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GUT_(2)7"/>
      <sheetName val="Road_data6"/>
      <sheetName val="Road_Detail_Est_6"/>
      <sheetName val="Format_1_9_Ph-16"/>
      <sheetName val="Summary-margin_calc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Boq-_Civil1"/>
      <sheetName val="HT_Cable_1"/>
      <sheetName val="Flooring_Chart1"/>
      <sheetName val="BRL_FORMAT1"/>
      <sheetName val="05__BUDGET1"/>
      <sheetName val="C_Sum6"/>
      <sheetName val="A_Sum6"/>
      <sheetName val="Jan_Volume6"/>
      <sheetName val="VI_Floor_Beam_6"/>
      <sheetName val="Step_16"/>
      <sheetName val="Equipment_Information6"/>
      <sheetName val="Equipment_Block6"/>
      <sheetName val="5-Thermal_&amp;_Moisture6"/>
      <sheetName val="Labor_abs-PW7"/>
      <sheetName val="Labor_abs-NMR7"/>
      <sheetName val="FITZ_MORT_947"/>
      <sheetName val="M_B_T-167"/>
      <sheetName val="C_Sum7"/>
      <sheetName val="A_Sum7"/>
      <sheetName val="Jan_Volume7"/>
      <sheetName val="Basic_Details7"/>
      <sheetName val="BS_Groupings7"/>
      <sheetName val="PL_Groupings7"/>
      <sheetName val="PRECAST_lightconc_II7"/>
      <sheetName val="CFForecast_detail7"/>
      <sheetName val="organi_synthesis_lab7"/>
      <sheetName val="Service_Function7"/>
      <sheetName val="BASIC_MATERIALS7"/>
      <sheetName val="Format_1_9_Ph-17"/>
      <sheetName val="8th__floor_Beams7"/>
      <sheetName val="Summary-margin_calc7"/>
      <sheetName val="Allg__Angaben7"/>
      <sheetName val="Road_data7"/>
      <sheetName val="Road_Detail_Est_7"/>
      <sheetName val="CABLES_DATA7"/>
      <sheetName val="VI_Floor_Beam_7"/>
      <sheetName val="Step_17"/>
      <sheetName val="Equipment_Information7"/>
      <sheetName val="Equipment_Block7"/>
      <sheetName val="5-Thermal_&amp;_Moisture7"/>
      <sheetName val="Labor_abs-PW8"/>
      <sheetName val="Labor_abs-NMR8"/>
      <sheetName val="Meas_-Hotel_Part8"/>
      <sheetName val="BC_&amp;_MNB_10"/>
      <sheetName val="SPILL_OVER_PROJECTIONS10"/>
      <sheetName val="L_(4)8"/>
      <sheetName val="FITZ_MORT_948"/>
      <sheetName val="Basic_Resources10"/>
      <sheetName val="MAIN_FILE_9-24-079"/>
      <sheetName val="Column_BBS-Block99"/>
      <sheetName val="[saihous_ele_xls]Indirect쌳ᎈ駜/9"/>
      <sheetName val="Linked_Lead9"/>
      <sheetName val="Core_Data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Abstract_Sheet9"/>
      <sheetName val="April_Analysts9"/>
      <sheetName val="M_S_9"/>
      <sheetName val="Materials_9"/>
      <sheetName val="Fin_Sum8"/>
      <sheetName val="AutoOpen_Stub_Data8"/>
      <sheetName val="M_B_T-168"/>
      <sheetName val="Monthly_Budget_Summary8"/>
      <sheetName val="reference_sheet_8"/>
      <sheetName val="Lead_(Final)9"/>
      <sheetName val="TORRENT_CEMENT8"/>
      <sheetName val="Labour_Rate_8"/>
      <sheetName val="NLD_-_Assum8"/>
      <sheetName val="GUT_(2)8"/>
      <sheetName val="C_Sum8"/>
      <sheetName val="A_Sum8"/>
      <sheetName val="C&amp;S_monthwise8"/>
      <sheetName val="G_R_P8"/>
      <sheetName val="PSC_REVISED8"/>
      <sheetName val="Bridge_Data_2005-068"/>
      <sheetName val="Data_F8_BTR8"/>
      <sheetName val="_8"/>
      <sheetName val="Jan_Volume8"/>
      <sheetName val="Basic_Details8"/>
      <sheetName val="BS_Groupings8"/>
      <sheetName val="PL_Groupings8"/>
      <sheetName val="M-Book_for_FW8"/>
      <sheetName val="M-Book_for_Conc8"/>
      <sheetName val="saihous_ele_xls8"/>
      <sheetName val="PRECAST_lightconc_II8"/>
      <sheetName val="INPUT_SHEET8"/>
      <sheetName val="Labour_&amp;_Plant8"/>
      <sheetName val="Sqn-Abs(G+6)_8"/>
      <sheetName val="WO-Abs_(G+2)_6_DUs8"/>
      <sheetName val="Air-Abs(G+6)_23_DUs8"/>
      <sheetName val="CFForecast_detail8"/>
      <sheetName val="BAL_SHEET8"/>
      <sheetName val="organi_synthesis_lab8"/>
      <sheetName val="Service_Function8"/>
      <sheetName val="BASIC_MATERIALS8"/>
      <sheetName val="Format_1_9_Ph-18"/>
      <sheetName val="TPL_RECEIPTS_MB518"/>
      <sheetName val="ROW_Orders_for_March_058"/>
      <sheetName val="PKG_PO8"/>
      <sheetName val="LLM_DPRECEIPTS_MB518"/>
      <sheetName val="ZSEM_stock_(ympc038)8"/>
      <sheetName val="MFG_PO8"/>
      <sheetName val="8th__floor_Beams8"/>
      <sheetName val="Final_Bill8"/>
      <sheetName val="Summary-margin_calc8"/>
      <sheetName val="Allg__Angaben8"/>
      <sheetName val="Road_data8"/>
      <sheetName val="Road_Detail_Est_8"/>
      <sheetName val="CABLES_DATA8"/>
      <sheetName val="VI_Floor_Beam_8"/>
      <sheetName val="Step_18"/>
      <sheetName val="Equipment_Information8"/>
      <sheetName val="Equipment_Block8"/>
      <sheetName val="5-Thermal_&amp;_Moisture8"/>
      <sheetName val="PA-_Consutant_11"/>
      <sheetName val="Cover_sheet11"/>
      <sheetName val="AOQ-new_11"/>
      <sheetName val="water_prop_11"/>
      <sheetName val="Material_List_10"/>
      <sheetName val="Structure_Bills_Qty10"/>
      <sheetName val="Labor_abs-PW9"/>
      <sheetName val="Labor_abs-NMR9"/>
      <sheetName val="Meas_-Hotel_Part9"/>
      <sheetName val="BC_&amp;_MNB_11"/>
      <sheetName val="Summary_Transformers12"/>
      <sheetName val="Total__Amount12"/>
      <sheetName val="Angebot18_7_10"/>
      <sheetName val="2nd_10"/>
      <sheetName val="SPILL_OVER_PROJECTIONS11"/>
      <sheetName val="10__&amp;_11__Rate_Code_&amp;_BQ10"/>
      <sheetName val="Material_Rate10"/>
      <sheetName val="L_(4)9"/>
      <sheetName val="FITZ_MORT_949"/>
      <sheetName val="Basic_Resources11"/>
      <sheetName val="DG_10"/>
      <sheetName val="MAIN_FILE_9-24-0710"/>
      <sheetName val="Column_BBS-Block910"/>
      <sheetName val="[saihous_ele_xls]Indirect쌳ᎈ駜10"/>
      <sheetName val="Linked_Lead10"/>
      <sheetName val="AoR_Finishing10"/>
      <sheetName val="Core_Data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MTO_REV_010"/>
      <sheetName val="Abstract_Sheet10"/>
      <sheetName val="April_Analysts10"/>
      <sheetName val="M_S_10"/>
      <sheetName val="Materials_10"/>
      <sheetName val="ONE_TIME10"/>
      <sheetName val="_GULF12"/>
      <sheetName val="Fin_Sum9"/>
      <sheetName val="AutoOpen_Stub_Data9"/>
      <sheetName val="M_B_T-169"/>
      <sheetName val="Monthly_Budget_Summary9"/>
      <sheetName val="reference_sheet_9"/>
      <sheetName val="Lead_(Final)10"/>
      <sheetName val="TORRENT_CEMENT9"/>
      <sheetName val="Labour_Rate_9"/>
      <sheetName val="NLD_-_Assum9"/>
      <sheetName val="GUT_(2)9"/>
      <sheetName val="C_Sum9"/>
      <sheetName val="A_Sum9"/>
      <sheetName val="C&amp;S_monthwise9"/>
      <sheetName val="G_R_P9"/>
      <sheetName val="PSC_REVISED9"/>
      <sheetName val="Bridge_Data_2005-069"/>
      <sheetName val="Data_F8_BTR9"/>
      <sheetName val="_9"/>
      <sheetName val="Jan_Volume9"/>
      <sheetName val="Basic_Details9"/>
      <sheetName val="BS_Groupings9"/>
      <sheetName val="PL_Groupings9"/>
      <sheetName val="M-Book_for_FW9"/>
      <sheetName val="M-Book_for_Conc9"/>
      <sheetName val="saihous_ele_xls9"/>
      <sheetName val="PRECAST_lightconc_II9"/>
      <sheetName val="INPUT_SHEET9"/>
      <sheetName val="Labour_&amp;_Plant9"/>
      <sheetName val="Sqn-Abs(G+6)_9"/>
      <sheetName val="WO-Abs_(G+2)_6_DUs9"/>
      <sheetName val="Air-Abs(G+6)_23_DUs9"/>
      <sheetName val="CFForecast_detail9"/>
      <sheetName val="BAL_SHEET9"/>
      <sheetName val="organi_synthesis_lab9"/>
      <sheetName val="Service_Function9"/>
      <sheetName val="BASIC_MATERIALS9"/>
      <sheetName val="Format_1_9_Ph-19"/>
      <sheetName val="TPL_RECEIPTS_MB519"/>
      <sheetName val="ROW_Orders_for_March_059"/>
      <sheetName val="PKG_PO9"/>
      <sheetName val="LLM_DPRECEIPTS_MB519"/>
      <sheetName val="ZSEM_stock_(ympc038)9"/>
      <sheetName val="MFG_PO9"/>
      <sheetName val="8th__floor_Beams9"/>
      <sheetName val="Final_Bill9"/>
      <sheetName val="Summary-margin_calc9"/>
      <sheetName val="Allg__Angaben9"/>
      <sheetName val="Road_data9"/>
      <sheetName val="Road_Detail_Est_9"/>
      <sheetName val="CABLES_DATA9"/>
      <sheetName val="VI_Floor_Beam_9"/>
      <sheetName val="Step_19"/>
      <sheetName val="Equipment_Information9"/>
      <sheetName val="Equipment_Block9"/>
      <sheetName val="5-Thermal_&amp;_Moisture9"/>
      <sheetName val="_IO_List16"/>
      <sheetName val="Cost_Index16"/>
      <sheetName val="STAFFSCHED_16"/>
      <sheetName val="SSR___NSSR_Market_final16"/>
      <sheetName val="Blr_hire15"/>
      <sheetName val="bs_BP_04_SA15"/>
      <sheetName val="Elect_15"/>
      <sheetName val="1-Pop_Proj15"/>
      <sheetName val="1_0015"/>
      <sheetName val="DG_Works_(Supply)15"/>
      <sheetName val="220_11__BS_15"/>
      <sheetName val="Operating_Statistics15"/>
      <sheetName val="_B315"/>
      <sheetName val="_B115"/>
      <sheetName val="Annexue_B15"/>
      <sheetName val="Desgn(zone_I)15"/>
      <sheetName val="$_KURLARI15"/>
      <sheetName val="Boq_(Main_Building)15"/>
      <sheetName val="Civil_BOQ14"/>
      <sheetName val="PA-_Consutant_12"/>
      <sheetName val="Cover_sheet12"/>
      <sheetName val="AOQ-new_12"/>
      <sheetName val="water_prop_12"/>
      <sheetName val="Basement__Works12"/>
      <sheetName val="final_abstract11"/>
      <sheetName val="Material_List_11"/>
      <sheetName val="Structure_Bills_Qty11"/>
      <sheetName val="Labor_abs-PW10"/>
      <sheetName val="Labor_abs-NMR10"/>
      <sheetName val="Meas_-Hotel_Part10"/>
      <sheetName val="BC_&amp;_MNB_12"/>
      <sheetName val="Summary_Transformers13"/>
      <sheetName val="Total__Amount13"/>
      <sheetName val="Angebot18_7_11"/>
      <sheetName val="2nd_11"/>
      <sheetName val="SPILL_OVER_PROJECTIONS12"/>
      <sheetName val="10__&amp;_11__Rate_Code_&amp;_BQ11"/>
      <sheetName val="Material_Rate11"/>
      <sheetName val="L_(4)10"/>
      <sheetName val="FITZ_MORT_9410"/>
      <sheetName val="Basic_Resources12"/>
      <sheetName val="11B_11"/>
      <sheetName val="DG_11"/>
      <sheetName val="MAIN_FILE_9-24-0711"/>
      <sheetName val="Column_BBS-Block911"/>
      <sheetName val="[saihous_ele_xls]Indirect쌳ᎈ駜11"/>
      <sheetName val="Linked_Lead11"/>
      <sheetName val="SC_Cost_MAR_0211"/>
      <sheetName val="AoR_Finishing11"/>
      <sheetName val="Core_Data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MTO_REV_011"/>
      <sheetName val="Abstract_Sheet11"/>
      <sheetName val="April_Analysts11"/>
      <sheetName val="M_S_11"/>
      <sheetName val="Materials_11"/>
      <sheetName val="ONE_TIME11"/>
      <sheetName val="_GULF13"/>
      <sheetName val="Fin_Sum10"/>
      <sheetName val="AutoOpen_Stub_Data10"/>
      <sheetName val="M_B_T-1610"/>
      <sheetName val="Monthly_Budget_Summary10"/>
      <sheetName val="reference_sheet_10"/>
      <sheetName val="Lead_(Final)11"/>
      <sheetName val="TORRENT_CEMENT10"/>
      <sheetName val="Labour_Rate_10"/>
      <sheetName val="NLD_-_Assum10"/>
      <sheetName val="GUT_(2)10"/>
      <sheetName val="C_Sum10"/>
      <sheetName val="A_Sum10"/>
      <sheetName val="C&amp;S_monthwise10"/>
      <sheetName val="G_R_P10"/>
      <sheetName val="PSC_REVISED10"/>
      <sheetName val="Bridge_Data_2005-0610"/>
      <sheetName val="Data_F8_BTR10"/>
      <sheetName val="_10"/>
      <sheetName val="Jan_Volume10"/>
      <sheetName val="Basic_Details10"/>
      <sheetName val="BS_Groupings10"/>
      <sheetName val="PL_Groupings10"/>
      <sheetName val="M-Book_for_FW10"/>
      <sheetName val="M-Book_for_Conc10"/>
      <sheetName val="saihous_ele_xls10"/>
      <sheetName val="PRECAST_lightconc_II10"/>
      <sheetName val="INPUT_SHEET10"/>
      <sheetName val="Labour_&amp;_Plant10"/>
      <sheetName val="Sqn-Abs(G+6)_10"/>
      <sheetName val="WO-Abs_(G+2)_6_DUs10"/>
      <sheetName val="Air-Abs(G+6)_23_DUs10"/>
      <sheetName val="CFForecast_detail10"/>
      <sheetName val="BAL_SHEET10"/>
      <sheetName val="organi_synthesis_lab10"/>
      <sheetName val="Service_Function10"/>
      <sheetName val="BASIC_MATERIALS10"/>
      <sheetName val="Format_1_9_Ph-110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8th__floor_Beams10"/>
      <sheetName val="Final_Bill10"/>
      <sheetName val="Summary-margin_calc10"/>
      <sheetName val="Allg__Angaben10"/>
      <sheetName val="Road_data10"/>
      <sheetName val="Road_Detail_Est_10"/>
      <sheetName val="CABLES_DATA10"/>
      <sheetName val="VI_Floor_Beam_10"/>
      <sheetName val="Step_110"/>
      <sheetName val="Equipment_Information10"/>
      <sheetName val="Equipment_Block10"/>
      <sheetName val="5-Thermal_&amp;_Moisture10"/>
      <sheetName val="_IO_List17"/>
      <sheetName val="Cost_Index17"/>
      <sheetName val="STAFFSCHED_17"/>
      <sheetName val="saihous_ele17"/>
      <sheetName val="SSR___NSSR_Market_final17"/>
      <sheetName val="Blr_hire16"/>
      <sheetName val="bs_BP_04_SA16"/>
      <sheetName val="Elect_16"/>
      <sheetName val="1-Pop_Proj16"/>
      <sheetName val="1_0016"/>
      <sheetName val="DG_Works_(Supply)16"/>
      <sheetName val="220_11__BS_16"/>
      <sheetName val="Operating_Statistics16"/>
      <sheetName val="_B316"/>
      <sheetName val="_B116"/>
      <sheetName val="Annexue_B16"/>
      <sheetName val="Desgn(zone_I)16"/>
      <sheetName val="$_KURLARI16"/>
      <sheetName val="Boq_(Main_Building)16"/>
      <sheetName val="Civil_BOQ15"/>
      <sheetName val="PA-_Consutant_13"/>
      <sheetName val="Cover_sheet13"/>
      <sheetName val="AOQ-new_13"/>
      <sheetName val="water_prop_13"/>
      <sheetName val="Basement__Works13"/>
      <sheetName val="final_abstract12"/>
      <sheetName val="Material_List_12"/>
      <sheetName val="Structure_Bills_Qty12"/>
      <sheetName val="Labor_abs-PW11"/>
      <sheetName val="Labor_abs-NMR11"/>
      <sheetName val="Meas_-Hotel_Part11"/>
      <sheetName val="BC_&amp;_MNB_13"/>
      <sheetName val="Summary_Transformers14"/>
      <sheetName val="Total__Amount14"/>
      <sheetName val="Angebot18_7_12"/>
      <sheetName val="2nd_12"/>
      <sheetName val="SPILL_OVER_PROJECTIONS13"/>
      <sheetName val="10__&amp;_11__Rate_Code_&amp;_BQ12"/>
      <sheetName val="Material_Rate12"/>
      <sheetName val="L_(4)11"/>
      <sheetName val="FITZ_MORT_9411"/>
      <sheetName val="Basic_Resources13"/>
      <sheetName val="11B_12"/>
      <sheetName val="DG_12"/>
      <sheetName val="MAIN_FILE_9-24-0712"/>
      <sheetName val="Column_BBS-Block912"/>
      <sheetName val="[saihous_ele_xls]Indirect쌳ᎈ駜12"/>
      <sheetName val="Linked_Lead12"/>
      <sheetName val="SC_Cost_MAR_0212"/>
      <sheetName val="AoR_Finishing12"/>
      <sheetName val="Core_Data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MTO_REV_012"/>
      <sheetName val="Abstract_Sheet12"/>
      <sheetName val="April_Analysts12"/>
      <sheetName val="M_S_12"/>
      <sheetName val="Materials_12"/>
      <sheetName val="ONE_TIME12"/>
      <sheetName val="_GULF14"/>
      <sheetName val="Fin_Sum11"/>
      <sheetName val="AutoOpen_Stub_Data11"/>
      <sheetName val="M_B_T-1611"/>
      <sheetName val="Monthly_Budget_Summary11"/>
      <sheetName val="reference_sheet_11"/>
      <sheetName val="Lead_(Final)12"/>
      <sheetName val="TORRENT_CEMENT11"/>
      <sheetName val="Labour_Rate_11"/>
      <sheetName val="NLD_-_Assum11"/>
      <sheetName val="GUT_(2)11"/>
      <sheetName val="C_Sum11"/>
      <sheetName val="A_Sum11"/>
      <sheetName val="C&amp;S_monthwise11"/>
      <sheetName val="G_R_P11"/>
      <sheetName val="PSC_REVISED11"/>
      <sheetName val="Bridge_Data_2005-0611"/>
      <sheetName val="Data_F8_BTR11"/>
      <sheetName val="_11"/>
      <sheetName val="Jan_Volume11"/>
      <sheetName val="Basic_Details11"/>
      <sheetName val="BS_Groupings11"/>
      <sheetName val="PL_Groupings11"/>
      <sheetName val="M-Book_for_FW11"/>
      <sheetName val="M-Book_for_Conc11"/>
      <sheetName val="saihous_ele_xls11"/>
      <sheetName val="PRECAST_lightconc_II11"/>
      <sheetName val="INPUT_SHEET11"/>
      <sheetName val="Labour_&amp;_Plant11"/>
      <sheetName val="Sqn-Abs(G+6)_11"/>
      <sheetName val="WO-Abs_(G+2)_6_DUs11"/>
      <sheetName val="Air-Abs(G+6)_23_DUs11"/>
      <sheetName val="CFForecast_detail11"/>
      <sheetName val="BAL_SHEET11"/>
      <sheetName val="organi_synthesis_lab11"/>
      <sheetName val="Service_Function11"/>
      <sheetName val="BASIC_MATERIALS11"/>
      <sheetName val="Format_1_9_Ph-111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8th__floor_Beams11"/>
      <sheetName val="Final_Bill11"/>
      <sheetName val="Summary-margin_calc11"/>
      <sheetName val="Allg__Angaben11"/>
      <sheetName val="Road_data11"/>
      <sheetName val="Road_Detail_Est_11"/>
      <sheetName val="CABLES_DATA11"/>
      <sheetName val="VI_Floor_Beam_11"/>
      <sheetName val="Step_111"/>
      <sheetName val="Equipment_Information11"/>
      <sheetName val="Equipment_Block11"/>
      <sheetName val="5-Thermal_&amp;_Moisture11"/>
      <sheetName val="[saihous.ele.xls]Indirect_x0005__x0000__x0000_?."/>
      <sheetName val="[saihous.ele.xls]Indirect_x0005__x0000__x0000_?_x001f_"/>
      <sheetName val="Sch-3"/>
      <sheetName val="目录"/>
      <sheetName val="Designs"/>
      <sheetName val="[saihous.ele.xls]_saihous_ele_9"/>
      <sheetName val="[saihous.ele.xls]_saihous_ele_7"/>
      <sheetName val="[saihous.ele.xls]_saihous_ele_8"/>
      <sheetName val="PriceCalculation"/>
      <sheetName val="Final"/>
      <sheetName val="Summary-Price_New"/>
      <sheetName val="AN-2K"/>
      <sheetName val="Switch V16"/>
      <sheetName val="Lintel"/>
      <sheetName val="Sheet3 (2)"/>
      <sheetName val="RFP002"/>
      <sheetName val="PROCTOR"/>
      <sheetName val="Final VA"/>
      <sheetName val="MPR_PA_1"/>
      <sheetName val="scurve(2)"/>
      <sheetName val="COMPS"/>
      <sheetName val="Anl"/>
      <sheetName val="(Do not delete)"/>
      <sheetName val="Lead statement"/>
      <sheetName val="Column (P1 to P2)"/>
      <sheetName val="Bill-12"/>
      <sheetName val="[saihous.ele.xls][saihous.ele.x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[saihous.ele.xls]Indirect_x0005__x0005_哐"/>
      <sheetName val="[saihous.ele.xls]Indirect_x0005_�."/>
      <sheetName val="[saihous.ele.xls]Indirect_x0005_?."/>
      <sheetName val="[saihous.ele.xls]Indirect_x0005_?_x001f_"/>
      <sheetName val=" BC-220"/>
      <sheetName val="Package-2"/>
      <sheetName val="abst-of -cost"/>
      <sheetName val="Beam Details"/>
      <sheetName val="Rate analysis civil"/>
      <sheetName val="2000"/>
      <sheetName val="BFNR"/>
      <sheetName val="DETPROD"/>
      <sheetName val="calendrier"/>
      <sheetName val="Factor_sheet"/>
      <sheetName val="BOQ "/>
      <sheetName val="Summary year Plan"/>
      <sheetName val="KPIs"/>
      <sheetName val="Licences"/>
      <sheetName val="Mobile Micro "/>
      <sheetName val="Price Sheet"/>
      <sheetName val="BeamRft-Stilt 02 &amp; GF"/>
      <sheetName val="Indirect___"/>
      <sheetName val="Rates_Basic"/>
      <sheetName val="RF_Vol"/>
      <sheetName val="Customize_Your_Purchase_Order"/>
      <sheetName val="Bechtel_Norms"/>
      <sheetName val="CS_PIPING"/>
      <sheetName val="TECH_DATA"/>
      <sheetName val="Source_Ref_"/>
      <sheetName val="Cashflow_projection"/>
      <sheetName val="Cash_Flow_Working"/>
      <sheetName val="Footing "/>
      <sheetName val="Roof  PT beams "/>
      <sheetName val="Price Comparison"/>
      <sheetName val="BOQ ( Only Ground floor ) "/>
      <sheetName val="Combined Results "/>
      <sheetName val="Abstract"/>
      <sheetName val="dlvoid"/>
      <sheetName val="Budget_CF - Overall"/>
      <sheetName val="Centaurus- Consultacny"/>
      <sheetName val="Qty take-off IFCplans "/>
      <sheetName val="RTO5BASEref001"/>
      <sheetName val="Cashflow_projection1"/>
      <sheetName val="Cash_Flow_Working1"/>
      <sheetName val="Cable Specifications"/>
      <sheetName val="STATUE"/>
      <sheetName val="Detail Top Sheet"/>
      <sheetName val="Staff_Acco_150"/>
      <sheetName val="Tel__75"/>
      <sheetName val="Ext_light75"/>
      <sheetName val="Staff_Acco_151"/>
      <sheetName val="4_Annex_1_Basic_rate75"/>
      <sheetName val="Detail_In_Door_Stad75"/>
      <sheetName val="Project_Details__75"/>
      <sheetName val="DETAILED__BOQ75"/>
      <sheetName val="TBAL9697_-group_wise__sdpl75"/>
      <sheetName val="Detail_P&amp;L75"/>
      <sheetName val="Assumption_Sheet75"/>
      <sheetName val="Load_Details(B2)75"/>
      <sheetName val="RCC,Ret__Wall75"/>
      <sheetName val="SCHEDULE_OF_RATES75"/>
      <sheetName val="scurve_calc_(2)75"/>
      <sheetName val="APPENDIX_B-175"/>
      <sheetName val="Bill_3_175"/>
      <sheetName val="PRECAST_lightconc-II75"/>
      <sheetName val="Legal_Risk_Analysis75"/>
      <sheetName val="Bill_3_-_Site_Works74"/>
      <sheetName val="GR_slab-reinft74"/>
      <sheetName val="Fill_this_out_first___74"/>
      <sheetName val="Rate_Analysis74"/>
      <sheetName val="Boq_Block_A74"/>
      <sheetName val="Cable_data75"/>
      <sheetName val="Material_74"/>
      <sheetName val="SPT_vs_PHI74"/>
      <sheetName val="Sqn_Abs_G_6__74"/>
      <sheetName val="WO_Abs__G_2__6_DUs74"/>
      <sheetName val="Air_Abs_G_6__23_DUs74"/>
      <sheetName val="Lease_rents74"/>
      <sheetName val="Civil_Works74"/>
      <sheetName val="SCHEDULE_(3)74"/>
      <sheetName val="schedule_nos74"/>
      <sheetName val="BLOCK-A_(MEA_SHEET)74"/>
      <sheetName val="IO_List74"/>
      <sheetName val="Pipe_Supports74"/>
      <sheetName val="BOQ_(2)74"/>
      <sheetName val="INDIGINEOUS_ITEMS_74"/>
      <sheetName val="Box-_Girder74"/>
      <sheetName val="4-Int-_ele(RA)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Basement_Budget74"/>
      <sheetName val="SITE_OVERHEADS74"/>
      <sheetName val="Asia_Revised_10-1-0774"/>
      <sheetName val="All_Capital_Plan_P+L_10-1-0774"/>
      <sheetName val="CP08_(2)74"/>
      <sheetName val="Planning_File_10-1-0774"/>
      <sheetName val="Detail_1A74"/>
      <sheetName val="E_&amp;_R74"/>
      <sheetName val="Break_up_Sheet74"/>
      <sheetName val="Mat_Cost74"/>
      <sheetName val="Pile_cap73"/>
      <sheetName val="SPILL_OVER74"/>
      <sheetName val="GF_Columns73"/>
      <sheetName val="Bed_Class73"/>
      <sheetName val="DTF_Summary73"/>
      <sheetName val="Form_673"/>
      <sheetName val="BOQ_Direct_selling_cost73"/>
      <sheetName val="UNP-NCW_73"/>
      <sheetName val="MASTER_RATE_ANALYSIS73"/>
      <sheetName val="Intro_73"/>
      <sheetName val="Elite_1_-_MBCL73"/>
      <sheetName val="Cost_summary73"/>
      <sheetName val="specification_options73"/>
      <sheetName val="key_dates73"/>
      <sheetName val="Direct_cost_shed_A-2_73"/>
      <sheetName val="_Resource_list73"/>
      <sheetName val="THANE_SITE73"/>
      <sheetName val="BOQ_Distribution73"/>
      <sheetName val="Contract_BOQ60"/>
      <sheetName val="beam-reinft-machine_rm60"/>
      <sheetName val="T1_WO60"/>
      <sheetName val="beam-reinft-IIInd_floor60"/>
      <sheetName val="A_O_R_73"/>
      <sheetName val="FF_Inst_RA_08_Inst_0360"/>
      <sheetName val="_IO_List20"/>
      <sheetName val="Cost_Index20"/>
      <sheetName val="saihous_ele20"/>
      <sheetName val="SSR___NSSR_Market_final20"/>
      <sheetName val="M_R_List_(2)73"/>
      <sheetName val="Balance_Sheet_73"/>
      <sheetName val="STAFFSCHED_20"/>
      <sheetName val="Blr_hire19"/>
      <sheetName val="DG_Works_(Supply)19"/>
      <sheetName val="Basic_Rates60"/>
      <sheetName val="1_0019"/>
      <sheetName val="_B319"/>
      <sheetName val="_B119"/>
      <sheetName val="bs_BP_04_SA19"/>
      <sheetName val="1-Pop_Proj19"/>
      <sheetName val="Operating_Statistics19"/>
      <sheetName val="220_11__BS_19"/>
      <sheetName val="Desgn(zone_I)19"/>
      <sheetName val="Annexue_B19"/>
      <sheetName val="Boq_(Main_Building)19"/>
      <sheetName val="Basement__Works16"/>
      <sheetName val="Elect_19"/>
      <sheetName val="Cover_sheet16"/>
      <sheetName val="AOQ-new_16"/>
      <sheetName val="water_prop_16"/>
      <sheetName val="$_KURLARI19"/>
      <sheetName val="Civil_BOQ18"/>
      <sheetName val="Angebot18_7_15"/>
      <sheetName val="PA-_Consutant_16"/>
      <sheetName val="final_abstract15"/>
      <sheetName val="BC_&amp;_MNB_16"/>
      <sheetName val="SPILL_OVER_PROJECTIONS16"/>
      <sheetName val="Summary_Transformers17"/>
      <sheetName val="Total__Amount17"/>
      <sheetName val="10__&amp;_11__Rate_Code_&amp;_BQ15"/>
      <sheetName val="MAIN_FILE_9-24-0715"/>
      <sheetName val="Basic_Resources16"/>
      <sheetName val="DG_15"/>
      <sheetName val="11B_15"/>
      <sheetName val="Meas_-Hotel_Part14"/>
      <sheetName val="Fin_Sum14"/>
      <sheetName val="L_(4)14"/>
      <sheetName val="Material_List_15"/>
      <sheetName val="Structure_Bills_Qty15"/>
      <sheetName val="Linked_Lead15"/>
      <sheetName val="SC_Cost_MAR_0215"/>
      <sheetName val="Column_BBS-Block915"/>
      <sheetName val="2nd_15"/>
      <sheetName val="Material_Rate15"/>
      <sheetName val="[saihous_ele_xls]Indirect쌳ᎈ駜15"/>
      <sheetName val="Labour_&amp;_Plant14"/>
      <sheetName val="MTO_REV_015"/>
      <sheetName val="Lead_(Final)15"/>
      <sheetName val="Abstract_Sheet15"/>
      <sheetName val="April_Analysts15"/>
      <sheetName val="M_S_15"/>
      <sheetName val="Materials_15"/>
      <sheetName val="ONE_TIME15"/>
      <sheetName val="AoR_Finishing15"/>
      <sheetName val="C&amp;S_monthwise14"/>
      <sheetName val="G_R_P14"/>
      <sheetName val="PSC_REVISED14"/>
      <sheetName val="Bridge_Data_2005-0614"/>
      <sheetName val="Data_F8_BTR14"/>
      <sheetName val="_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Core_Data14"/>
      <sheetName val="M-Book_for_FW14"/>
      <sheetName val="M-Book_for_Conc14"/>
      <sheetName val="_GULF17"/>
      <sheetName val="Labor_abs-PW14"/>
      <sheetName val="Labor_abs-NMR14"/>
      <sheetName val="Monthly_Budget_Summary14"/>
      <sheetName val="AutoOpen_Stub_Data14"/>
      <sheetName val="saihous_ele_xls14"/>
      <sheetName val="INPUT_SHEET14"/>
      <sheetName val="PRECAST_lightconc_II14"/>
      <sheetName val="BAL_SHEET14"/>
      <sheetName val="Allg__Angaben14"/>
      <sheetName val="GUT_(2)14"/>
      <sheetName val="TORRENT_CEMENT14"/>
      <sheetName val="Sqn-Abs(G+6)_14"/>
      <sheetName val="WO-Abs_(G+2)_6_DUs14"/>
      <sheetName val="Air-Abs(G+6)_23_DUs14"/>
      <sheetName val="CFForecast_detail14"/>
      <sheetName val="reference_sheet_14"/>
      <sheetName val="Road_data14"/>
      <sheetName val="Road_Detail_Est_14"/>
      <sheetName val="organi_synthesis_lab14"/>
      <sheetName val="Format_1_9_Ph-114"/>
      <sheetName val="Summary-margin_calc14"/>
      <sheetName val="CABLES_DATA14"/>
      <sheetName val="Break_Up_(bc)8"/>
      <sheetName val="Break_Up_(bc1)8"/>
      <sheetName val="Break_Up_(bc2)8"/>
      <sheetName val="WORK_TABLE8"/>
      <sheetName val="LEVEL_SHEET8"/>
      <sheetName val="Basic_Details14"/>
      <sheetName val="BS_Groupings14"/>
      <sheetName val="PL_Groupings14"/>
      <sheetName val="5-Thermal_&amp;_Moisture14"/>
      <sheetName val="Podium_Areas8"/>
      <sheetName val="Name_List8"/>
      <sheetName val="Service_Function14"/>
      <sheetName val="8th__floor_Beams14"/>
      <sheetName val="IT-Fri_Base8"/>
      <sheetName val="VI_Floor_Beam_14"/>
      <sheetName val="Step_114"/>
      <sheetName val="NLD_-_Assum14"/>
      <sheetName val="Equipment_Information14"/>
      <sheetName val="Equipment_Block14"/>
      <sheetName val="BASIC_MATERIALS14"/>
      <sheetName val="Labour_Rate_14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Final_Bill14"/>
      <sheetName val="M_B_T-1614"/>
      <sheetName val="FITZ_MORT_9414"/>
      <sheetName val="Ring_Details10"/>
      <sheetName val="Stress_Calculation10"/>
      <sheetName val="DATA_29"/>
      <sheetName val="Overall_Summary8"/>
      <sheetName val="Summary_CFA_total_-_CP1_&amp;_CP28"/>
      <sheetName val="SUMMARY_-_PART-I-BUILDING8"/>
      <sheetName val="_saihous_ele_xls_Indirect쌳ᎈ駜_8"/>
      <sheetName val="03_BOQ_code2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C_Sum14"/>
      <sheetName val="A_Sum14"/>
      <sheetName val="Jan_Volume14"/>
      <sheetName val="Beam-design_exp9"/>
      <sheetName val="A301_Kalk9"/>
      <sheetName val="Rate_Ana8"/>
      <sheetName val="DATA_PILE_RT1_8"/>
      <sheetName val="DATA_PILE__SM8"/>
      <sheetName val="Sweeper_Machine9"/>
      <sheetName val="HP(9_200)9"/>
      <sheetName val="Pier_calculation9"/>
      <sheetName val="Distribution_-_Qty_&amp;_Amount9"/>
      <sheetName val="boq_actual8"/>
      <sheetName val="Detailed_Summary_(4)9"/>
      <sheetName val="Assumption_Inputs9"/>
      <sheetName val="Master_Data9"/>
      <sheetName val="RAJU_ASSO2"/>
      <sheetName val="Cut_&amp;_Sew8"/>
      <sheetName val="Tong_hop_DT_XDCT8"/>
      <sheetName val="Pacakges_split8"/>
      <sheetName val="_saihous_ele_xls_Indirect_x0009"/>
      <sheetName val="_saihous_ele_xls_Indirect퀀《혂൧_8"/>
      <sheetName val="Schlüss_Inh-EF9"/>
      <sheetName val="Raw_material8"/>
      <sheetName val="Source_Ref_3"/>
      <sheetName val="33_kV-Eqpt_fdn_8"/>
      <sheetName val="BOQ_LT8"/>
      <sheetName val="SLAB_SCH4"/>
      <sheetName val="[saihous_ele_xls]Indirect____53"/>
      <sheetName val="[saihous_ele_xls]Indirect____54"/>
      <sheetName val="[saihous_ele_xls]Indirect____55"/>
      <sheetName val="[saihous_ele_xls]_saihous_ele29"/>
      <sheetName val="[saihous_ele_xls]_saihous_ele30"/>
      <sheetName val="Boq-_Civil4"/>
      <sheetName val="LV_Cable_sizing8"/>
      <sheetName val="Beams_4"/>
      <sheetName val="Brickwork_4"/>
      <sheetName val="First_Floor_4"/>
      <sheetName val="Labour_before_Escalation_8"/>
      <sheetName val="Material_List8"/>
      <sheetName val="RF_Vol3"/>
      <sheetName val="Customize_Your_Purchase_Order3"/>
      <sheetName val="Executive_Summary4"/>
      <sheetName val="Print_Controls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SB_SCH_A74"/>
      <sheetName val="Tie_Beam_Steel-R0-14"/>
      <sheetName val="Summary_output4"/>
      <sheetName val="Total_delivered_cost_calc_8"/>
      <sheetName val="Progress_Curve4"/>
      <sheetName val="labour_rates4"/>
      <sheetName val="Format_-_48"/>
      <sheetName val="BP-Other_strs8"/>
      <sheetName val="Fee_Recap4"/>
      <sheetName val="HT_Cable_4"/>
      <sheetName val="Flooring_Chart4"/>
      <sheetName val="BRL_FORMAT4"/>
      <sheetName val="05__BUDGET4"/>
      <sheetName val="Bechtel_Norms3"/>
      <sheetName val="CS_PIPING3"/>
      <sheetName val="TECH_DATA3"/>
      <sheetName val="Rates_Basic3"/>
      <sheetName val="PCS_DATA4"/>
      <sheetName val="Budget_By_Month2"/>
      <sheetName val="Devco_Cashflow2"/>
      <sheetName val="Mand_Spares_BBU_2"/>
      <sheetName val="Supply_2"/>
      <sheetName val="ACAD_Finishes4"/>
      <sheetName val="Site_Details4"/>
      <sheetName val="Site_Area_Statement4"/>
      <sheetName val="Cashflow_projection4"/>
      <sheetName val="Cash_Flow_Working4"/>
      <sheetName val="KQ_Cost_Controlling2"/>
      <sheetName val="KQ_Appropriation2"/>
      <sheetName val="Ave_wtd_rates2"/>
      <sheetName val="Itemwise_Summary4"/>
      <sheetName val="Payroll_BL4"/>
      <sheetName val="NOTES_4"/>
      <sheetName val="Project_Info4"/>
      <sheetName val="Link_In4"/>
      <sheetName val="Project_Work_Off_Contribution4"/>
      <sheetName val="CRF-BE_Rates4"/>
      <sheetName val="factor_sheet1"/>
      <sheetName val="Name_Range2"/>
      <sheetName val="BS_before_PMO2"/>
      <sheetName val="More_&amp;_Less_work_record2"/>
      <sheetName val="TB_JUN'112"/>
      <sheetName val="India_F&amp;S_Template2"/>
      <sheetName val="2_civil-RA2"/>
      <sheetName val="Concrete_Quants2"/>
      <sheetName val="Grouped_TB-2004-052"/>
      <sheetName val="Detailed_Summary_(5)2"/>
      <sheetName val="COVER_FOR_MEMBER2"/>
      <sheetName val="Indirect_x00"/>
      <sheetName val="Inter_Co_Balances2"/>
      <sheetName val="Response_Spectra_(UBC-1997)2"/>
      <sheetName val="Response_Spectra_(IS1893-2002)2"/>
      <sheetName val="_AnalysisPCC2"/>
      <sheetName val="1_Civil-RA2"/>
      <sheetName val="FINANCIAL_(FLR)2"/>
      <sheetName val="Customize_Your_Invoice2"/>
      <sheetName val="Tools_Rev2"/>
      <sheetName val="d-safe_DELUXE2"/>
      <sheetName val="[saihous_ele_xls]Indirect____56"/>
      <sheetName val="[saihous_ele_xls]_saihous_ele31"/>
      <sheetName val="[saihous_ele_xls]Indirect____57"/>
      <sheetName val="[saihous_ele_xls]Indirect____58"/>
      <sheetName val="[saihous_ele_xls]_saihous_ele32"/>
      <sheetName val="[saihous_ele_xls]_saihous_ele33"/>
      <sheetName val="Item-_Compact2"/>
      <sheetName val="Driveway_Beams2"/>
      <sheetName val="_saihous_ele_xls_Indirect____13"/>
      <sheetName val="_saihous_ele_xls_Indirect____14"/>
      <sheetName val="_saihous_ele_xls_Indirect____15"/>
      <sheetName val="_saihous_ele_xls__saihous_ele_7"/>
      <sheetName val="_saihous_ele_xls__saihous_ele_8"/>
      <sheetName val="_saihous_ele_xls_Indirect____16"/>
      <sheetName val="_saihous_ele_xls_Indirect____17"/>
      <sheetName val="_saihous_ele_xls_Indirect____18"/>
      <sheetName val="_saihous_ele_xls__saihous_ele_9"/>
      <sheetName val="@RISK_Correlations2"/>
      <sheetName val="fee_rate_summary2"/>
      <sheetName val="int__pla_2"/>
      <sheetName val="Internal_Plaster-FTP-Block_D42"/>
      <sheetName val="A_O_R_r1Str2"/>
      <sheetName val="A_O_R_r12"/>
      <sheetName val="A_O_R_(2)2"/>
      <sheetName val="11_kV_SWGR2"/>
      <sheetName val="SP_Break_Up2"/>
      <sheetName val="Reference_Information2"/>
      <sheetName val="Employee_List2"/>
      <sheetName val="Sales_Office2"/>
      <sheetName val="LAYING_PR2"/>
      <sheetName val="Safty_appli2"/>
      <sheetName val="_trans_works_13142"/>
      <sheetName val="foot-slab_reinft2"/>
      <sheetName val="Finishing_items2"/>
      <sheetName val="Realign,_Bypass,_Rec2"/>
      <sheetName val="FWD_DATA2"/>
      <sheetName val="Normalized_Readings2"/>
      <sheetName val="Pavement_Details2"/>
      <sheetName val="Abutment_2"/>
      <sheetName val="[saihous_ele_xls]Indirect____59"/>
      <sheetName val="[saihous_ele_xls]Indirect____60"/>
      <sheetName val="[saihous_ele_xls]Indirect____61"/>
      <sheetName val="[saihous_ele_xls]Indirect____62"/>
      <sheetName val="[saihous_ele_xls]Indirect____63"/>
      <sheetName val="design_sheet2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Cash_Flow_Input_Data_ISC2"/>
      <sheetName val="LABOUR_RATE2"/>
      <sheetName val="9__Package_split_-_Cost_2"/>
      <sheetName val="Form_5_02"/>
      <sheetName val="Data_sheet2"/>
      <sheetName val="RCC_Rates2"/>
      <sheetName val="Staff_Forecast_spread2"/>
      <sheetName val="CABLES__2"/>
      <sheetName val="Cable_Schedule2"/>
      <sheetName val="aug_stat_06_(2)2"/>
      <sheetName val="[saihous_ele_xls]Indirect哐"/>
      <sheetName val="rcc(_sub)2"/>
      <sheetName val="Rate_Analysis_2"/>
      <sheetName val="[saihous_ele_xls]Indirect?_"/>
      <sheetName val="[saihous_ele_xls]Indirect?"/>
      <sheetName val="13__Steel_-_Ratio2"/>
      <sheetName val="[saihous_ele_xls]_saihous_ele34"/>
      <sheetName val="[saihous_ele_xls]_saihous_ele35"/>
      <sheetName val="[saihous_ele_xls]_saihous_ele36"/>
      <sheetName val="Switch_V162"/>
      <sheetName val="Sheet3_(2)2"/>
      <sheetName val="Final_VA2"/>
      <sheetName val="(Do_not_delete)2"/>
      <sheetName val="Lead_statement2"/>
      <sheetName val="Column_(P1_to_P2)2"/>
      <sheetName val="[saihous_ele_xls][saihous_ele_2"/>
      <sheetName val="Staff_Acco_148"/>
      <sheetName val="Tel__74"/>
      <sheetName val="Ext_light74"/>
      <sheetName val="Staff_Acco_149"/>
      <sheetName val="DETAILED__BOQ74"/>
      <sheetName val="4_Annex_1_Basic_rate74"/>
      <sheetName val="Detail_In_Door_Stad74"/>
      <sheetName val="Project_Details__74"/>
      <sheetName val="scurve_calc_(2)74"/>
      <sheetName val="Detail_P&amp;L74"/>
      <sheetName val="Assumption_Sheet74"/>
      <sheetName val="RCC,Ret__Wall74"/>
      <sheetName val="Load_Details(B2)74"/>
      <sheetName val="TBAL9697_-group_wise__sdpl74"/>
      <sheetName val="SCHEDULE_OF_RATES74"/>
      <sheetName val="Bill_3_-_Site_Works73"/>
      <sheetName val="Legal_Risk_Analysis74"/>
      <sheetName val="PRECAST_lightconc-II74"/>
      <sheetName val="APPENDIX_B-174"/>
      <sheetName val="Bill_3_174"/>
      <sheetName val="GR_slab-reinft73"/>
      <sheetName val="Fill_this_out_first___73"/>
      <sheetName val="INDIGINEOUS_ITEMS_73"/>
      <sheetName val="Cable_data74"/>
      <sheetName val="Material_73"/>
      <sheetName val="SPT_vs_PHI73"/>
      <sheetName val="Civil_Works73"/>
      <sheetName val="Rate_Analysis73"/>
      <sheetName val="Basement_Budget73"/>
      <sheetName val="SITE_OVERHEADS73"/>
      <sheetName val="Boq_Block_A73"/>
      <sheetName val="IO_List73"/>
      <sheetName val="Pipe_Supports73"/>
      <sheetName val="BOQ_(2)73"/>
      <sheetName val="Asia_Revised_10-1-0773"/>
      <sheetName val="All_Capital_Plan_P+L_10-1-0773"/>
      <sheetName val="CP08_(2)73"/>
      <sheetName val="Planning_File_10-1-0773"/>
      <sheetName val="SCHEDULE_(3)73"/>
      <sheetName val="schedule_nos73"/>
      <sheetName val="Break_up_Sheet73"/>
      <sheetName val="4-Int-_ele(RA)73"/>
      <sheetName val="Sqn_Abs_G_6__73"/>
      <sheetName val="WO_Abs__G_2__6_DUs73"/>
      <sheetName val="Air_Abs_G_6__23_DUs73"/>
      <sheetName val="BLOCK-A_(MEA_SHEET)73"/>
      <sheetName val="Box-_Girder73"/>
      <sheetName val="Detail_1A73"/>
      <sheetName val="labour_coeff73"/>
      <sheetName val="Works_-_Quote_Sheet73"/>
      <sheetName val="E_&amp;_R73"/>
      <sheetName val="MASTER_RATE_ANALYSIS72"/>
      <sheetName val="Mat_Cost73"/>
      <sheetName val="DLC_lookups73"/>
      <sheetName val="Gen_Info73"/>
      <sheetName val="Indirect_expenses73"/>
      <sheetName val="Quote_Sheet73"/>
      <sheetName val="Cost_Any_73"/>
      <sheetName val="LIST_OF_MAKES73"/>
      <sheetName val="Pile_cap72"/>
      <sheetName val="Lease_rents73"/>
      <sheetName val="SPILL_OVER73"/>
      <sheetName val="Bed_Class72"/>
      <sheetName val="DTF_Summary72"/>
      <sheetName val="Form_672"/>
      <sheetName val="BOQ_Direct_selling_cost72"/>
      <sheetName val="GF_Columns72"/>
      <sheetName val="UNP-NCW_72"/>
      <sheetName val="Intro_72"/>
      <sheetName val="Elite_1_-_MBCL72"/>
      <sheetName val="Cost_summary72"/>
      <sheetName val="beam-reinft-machine_rm59"/>
      <sheetName val="T1_WO59"/>
      <sheetName val="Direct_cost_shed_A-2_72"/>
      <sheetName val="_Resource_list72"/>
      <sheetName val="THANE_SITE72"/>
      <sheetName val="BOQ_Distribution72"/>
      <sheetName val="Contract_BOQ59"/>
      <sheetName val="key_dates72"/>
      <sheetName val="specification_options72"/>
      <sheetName val="M_R_List_(2)72"/>
      <sheetName val="Balance_Sheet_72"/>
      <sheetName val="beam-reinft-IIInd_floor59"/>
      <sheetName val="A_O_R_72"/>
      <sheetName val="FF_Inst_RA_08_Inst_0359"/>
      <sheetName val="_IO_List19"/>
      <sheetName val="Cost_Index19"/>
      <sheetName val="saihous_ele19"/>
      <sheetName val="SSR___NSSR_Market_final19"/>
      <sheetName val="1_0018"/>
      <sheetName val="Blr_hire18"/>
      <sheetName val="STAFFSCHED_19"/>
      <sheetName val="DG_Works_(Supply)18"/>
      <sheetName val="Basic_Rates59"/>
      <sheetName val="bs_BP_04_SA18"/>
      <sheetName val="1-Pop_Proj18"/>
      <sheetName val="_B318"/>
      <sheetName val="_B118"/>
      <sheetName val="Operating_Statistics18"/>
      <sheetName val="220_11__BS_18"/>
      <sheetName val="Annexue_B18"/>
      <sheetName val="Desgn(zone_I)18"/>
      <sheetName val="Elect_18"/>
      <sheetName val="$_KURLARI18"/>
      <sheetName val="Boq_(Main_Building)18"/>
      <sheetName val="Basement__Works15"/>
      <sheetName val="Cover_sheet15"/>
      <sheetName val="AOQ-new_15"/>
      <sheetName val="water_prop_15"/>
      <sheetName val="Summary_Transformers16"/>
      <sheetName val="Total__Amount16"/>
      <sheetName val="Civil_BOQ17"/>
      <sheetName val="PA-_Consutant_15"/>
      <sheetName val="10__&amp;_11__Rate_Code_&amp;_BQ14"/>
      <sheetName val="SPILL_OVER_PROJECTIONS15"/>
      <sheetName val="BC_&amp;_MNB_15"/>
      <sheetName val="11B_14"/>
      <sheetName val="Angebot18_7_14"/>
      <sheetName val="MAIN_FILE_9-24-0714"/>
      <sheetName val="DG_14"/>
      <sheetName val="Basic_Resources15"/>
      <sheetName val="_GULF16"/>
      <sheetName val="final_abstract14"/>
      <sheetName val="Material_List_14"/>
      <sheetName val="Structure_Bills_Qty14"/>
      <sheetName val="Material_Rate14"/>
      <sheetName val="2nd_14"/>
      <sheetName val="Basic_Details13"/>
      <sheetName val="BS_Groupings13"/>
      <sheetName val="PL_Groupings13"/>
      <sheetName val="SC_Cost_MAR_0214"/>
      <sheetName val="AoR_Finishing14"/>
      <sheetName val="MTO_REV_014"/>
      <sheetName val="Linked_Lead14"/>
      <sheetName val="INPUT_SHEET13"/>
      <sheetName val="Meas_-Hotel_Part13"/>
      <sheetName val="Abstract_Sheet14"/>
      <sheetName val="April_Analysts14"/>
      <sheetName val="M_S_14"/>
      <sheetName val="Lead_(Final)14"/>
      <sheetName val="Column_BBS-Block914"/>
      <sheetName val="Materials_14"/>
      <sheetName val="ONE_TIME14"/>
      <sheetName val="[saihous_ele_xls]Indirect쌳ᎈ駜14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Fin_Sum13"/>
      <sheetName val="L_(4)13"/>
      <sheetName val="rcc(_sub)1"/>
      <sheetName val="Core_Data13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WORK_TABLE7"/>
      <sheetName val="PRECAST_lightconc_II13"/>
      <sheetName val="5-Thermal_&amp;_Moisture13"/>
      <sheetName val="AutoOpen_Stub_Data13"/>
      <sheetName val="Podium_Areas7"/>
      <sheetName val="Overall_Summary7"/>
      <sheetName val="Summary_CFA_total_-_CP1_&amp;_CP27"/>
      <sheetName val="TORRENT_CEMENT13"/>
      <sheetName val="saihous_ele_xls13"/>
      <sheetName val="Labour_&amp;_Plant13"/>
      <sheetName val="BAL_SHEET13"/>
      <sheetName val="Sqn-Abs(G+6)_13"/>
      <sheetName val="WO-Abs_(G+2)_6_DUs13"/>
      <sheetName val="Air-Abs(G+6)_23_DUs13"/>
      <sheetName val="CFForecast_detail13"/>
      <sheetName val="Allg__Angaben13"/>
      <sheetName val="GUT_(2)13"/>
      <sheetName val="Labor_abs-PW13"/>
      <sheetName val="Labor_abs-NMR13"/>
      <sheetName val="reference_sheet_13"/>
      <sheetName val="Road_data13"/>
      <sheetName val="Road_Detail_Est_13"/>
      <sheetName val="organi_synthesis_lab13"/>
      <sheetName val="Format_1_9_Ph-113"/>
      <sheetName val="Summary-margin_calc13"/>
      <sheetName val="CABLES_DATA13"/>
      <sheetName val="VI_Floor_Beam_13"/>
      <sheetName val="Step_113"/>
      <sheetName val="NLD_-_Assum13"/>
      <sheetName val="Equipment_Information13"/>
      <sheetName val="Equipment_Block13"/>
      <sheetName val="Labour_Rate_13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3"/>
      <sheetName val="8th__floor_Beams13"/>
      <sheetName val="BASIC_MATERIALS13"/>
      <sheetName val="Final_Bill13"/>
      <sheetName val="M_B_T-1613"/>
      <sheetName val="FITZ_MORT_9413"/>
      <sheetName val="Ring_Details9"/>
      <sheetName val="Stress_Calculation9"/>
      <sheetName val="DATA_2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Assumption_Inputs8"/>
      <sheetName val="SUMMARY_-_PART-I-BUILDING7"/>
      <sheetName val="C_Sum13"/>
      <sheetName val="A_Sum13"/>
      <sheetName val="IT-Fri_Base7"/>
      <sheetName val="BP-Other_strs7"/>
      <sheetName val="Rate_Analysis_1"/>
      <sheetName val="Sweeper_Machine8"/>
      <sheetName val="HP(9_200)8"/>
      <sheetName val="Break_Up_(bc)7"/>
      <sheetName val="Break_Up_(bc1)7"/>
      <sheetName val="Break_Up_(bc2)7"/>
      <sheetName val="LEVEL_SHEET7"/>
      <sheetName val="Jan_Volume13"/>
      <sheetName val="Pier_calculation8"/>
      <sheetName val="Distribution_-_Qty_&amp;_Amount8"/>
      <sheetName val="Rate_Ana7"/>
      <sheetName val="Detailed_Summary_(4)8"/>
      <sheetName val="boq_actual7"/>
      <sheetName val="Cut_&amp;_Sew7"/>
      <sheetName val="Tong_hop_DT_XDCT7"/>
      <sheetName val="33_kV-Eqpt_fdn_7"/>
      <sheetName val="Name_List7"/>
      <sheetName val="_saihous_ele_xls_Indirect쌳ᎈ駜_7"/>
      <sheetName val="Beam-design_exp8"/>
      <sheetName val="A301_Kalk8"/>
      <sheetName val="Schlüss_Inh-EF8"/>
      <sheetName val="DATA_PILE_RT1_7"/>
      <sheetName val="DATA_PILE__SM7"/>
      <sheetName val="BOQ_LT7"/>
      <sheetName val="Labour_before_Escalation_7"/>
      <sheetName val="Material_List7"/>
      <sheetName val="Master_Data8"/>
      <sheetName val="Pacakges_split7"/>
      <sheetName val="_saihous_ele_xls_Indirect_x0008"/>
      <sheetName val="_saihous_ele_xls_Indirect퀀《혂൧_7"/>
      <sheetName val="BRL_FORMAT3"/>
      <sheetName val="Total_delivered_cost_calc_7"/>
      <sheetName val="HT_Cable_3"/>
      <sheetName val="Format_-_47"/>
      <sheetName val="Flooring_Chart3"/>
      <sheetName val="Raw_material7"/>
      <sheetName val="Print_Controls3"/>
      <sheetName val="Beams_3"/>
      <sheetName val="Brickwork_3"/>
      <sheetName val="First_Floor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SLAB_SCH3"/>
      <sheetName val="[saihous_ele_xls]Indirect____36"/>
      <sheetName val="[saihous_ele_xls]Indirect____37"/>
      <sheetName val="[saihous_ele_xls]Indirect____38"/>
      <sheetName val="[saihous_ele_xls]_saihous_ele21"/>
      <sheetName val="[saihous_ele_xls]_saihous_ele22"/>
      <sheetName val="SB_SCH_A73"/>
      <sheetName val="Summary_output3"/>
      <sheetName val="Boq-_Civil3"/>
      <sheetName val="LV_Cable_sizing7"/>
      <sheetName val="Progress_Curve3"/>
      <sheetName val="labour_rates3"/>
      <sheetName val="Fee_Recap3"/>
      <sheetName val="05__BUDGET3"/>
      <sheetName val="Executive_Summary3"/>
      <sheetName val="Source_Ref_2"/>
      <sheetName val="Itemwise_Summary3"/>
      <sheetName val="Payroll_BL3"/>
      <sheetName val="Bechtel_Norms2"/>
      <sheetName val="CS_PIPING2"/>
      <sheetName val="TECH_DATA2"/>
      <sheetName val="RF_Vol2"/>
      <sheetName val="Customize_Your_Purchase_Order2"/>
      <sheetName val="Rates_Basic2"/>
      <sheetName val="PCS_DATA3"/>
      <sheetName val="Tie_Beam_Steel-R0-13"/>
      <sheetName val="NOTES_3"/>
      <sheetName val="Project_Info3"/>
      <sheetName val="Link_In3"/>
      <sheetName val="Project_Work_Off_Contribution3"/>
      <sheetName val="CRF-BE_Rates3"/>
      <sheetName val="ACAD_Finishes3"/>
      <sheetName val="Site_Details3"/>
      <sheetName val="Site_Area_Statement3"/>
      <sheetName val="Cashflow_projection3"/>
      <sheetName val="Cash_Flow_Working3"/>
      <sheetName val="Ave_wtd_rates1"/>
      <sheetName val="2_civil-RA1"/>
      <sheetName val="Concrete_Quants1"/>
      <sheetName val="India_F&amp;S_Template1"/>
      <sheetName val="Inter_Co_Balances1"/>
      <sheetName val="Grouped_TB-2004-051"/>
      <sheetName val="03_BOQ_code1"/>
      <sheetName val="More_&amp;_Less_work_record1"/>
      <sheetName val="Supply_1"/>
      <sheetName val="KQ_Cost_Controlling1"/>
      <sheetName val="KQ_Appropriation1"/>
      <sheetName val="Detailed_Summary_(5)1"/>
      <sheetName val="COVER_FOR_MEMBER1"/>
      <sheetName val="Item-_Compact1"/>
      <sheetName val="Driveway_Beams1"/>
      <sheetName val="1_Civil-RA1"/>
      <sheetName val="RAJU_ASSO1"/>
      <sheetName val="Name_Range1"/>
      <sheetName val="BS_before_PMO1"/>
      <sheetName val="13__Steel_-_Ratio1"/>
      <sheetName val="Staff_Forecast_spread1"/>
      <sheetName val="Budget_By_Month1"/>
      <sheetName val="Devco_Cashflow1"/>
      <sheetName val="Mand_Spares_BBU_1"/>
      <sheetName val="Response_Spectra_(UBC-1997)1"/>
      <sheetName val="Response_Spectra_(IS1893-2002)1"/>
      <sheetName val="Tools_Rev1"/>
      <sheetName val="TB_JUN'111"/>
      <sheetName val="foot-slab_reinft1"/>
      <sheetName val="Customize_Your_Invoice1"/>
      <sheetName val="d-safe_DELUXE1"/>
      <sheetName val="FINANCIAL_(FLR)1"/>
      <sheetName val="A_O_R_r1Str1"/>
      <sheetName val="A_O_R_r11"/>
      <sheetName val="A_O_R_(2)1"/>
      <sheetName val="11_kV_SWGR1"/>
      <sheetName val="RCC_Rates1"/>
      <sheetName val="fee_rate_summary1"/>
      <sheetName val="@RISK_Correlations1"/>
      <sheetName val="SP_Break_Up1"/>
      <sheetName val="_AnalysisPCC1"/>
      <sheetName val="9__Package_split_-_Cost_1"/>
      <sheetName val="Finishing_items1"/>
      <sheetName val="LABOUR_RATE1"/>
      <sheetName val="[saihous_ele_xls]Indirect____39"/>
      <sheetName val="[saihous_ele_xls]Indirect____40"/>
      <sheetName val="[saihous_ele_xls]_saihous_ele23"/>
      <sheetName val="[saihous_ele_xls]Indirect____41"/>
      <sheetName val="[saihous_ele_xls]_saihous_ele24"/>
      <sheetName val="[saihous_ele_xls]_saihous_ele25"/>
      <sheetName val="[saihous_ele_xls]_saihous_ele26"/>
      <sheetName val="[saihous_ele_xls]Indirect____42"/>
      <sheetName val="[saihous_ele_xls]Indirect____43"/>
      <sheetName val="[saihous_ele_xls]Indirect____44"/>
      <sheetName val="[saihous_ele_xls]_saihous_ele27"/>
      <sheetName val="[saihous_ele_xls]_saihous_ele28"/>
      <sheetName val="Switch_V161"/>
      <sheetName val="aug_stat_06_(2)1"/>
      <sheetName val="Data_sheet1"/>
      <sheetName val="Sheet3_(2)1"/>
      <sheetName val="Final_VA1"/>
      <sheetName val="(Do_not_delete)1"/>
      <sheetName val="Lead_statement1"/>
      <sheetName val="Cash_Flow_Input_Data_ISC1"/>
      <sheetName val="Column_(P1_to_P2)1"/>
      <sheetName val="CABLES__1"/>
      <sheetName val="Cable_Schedule1"/>
      <sheetName val="_saihous_ele_xls_Indirect_____1"/>
      <sheetName val="_saihous_ele_xls_Indirect_____8"/>
      <sheetName val="_saihous_ele_xls_Indirect_____9"/>
      <sheetName val="_saihous_ele_xls__saihous_ele_1"/>
      <sheetName val="_saihous_ele_xls__saihous_ele_5"/>
      <sheetName val="_saihous_ele_xls_Indirect____10"/>
      <sheetName val="_saihous_ele_xls_Indirect____11"/>
      <sheetName val="_saihous_ele_xls_Indirect____12"/>
      <sheetName val="_saihous_ele_xls__saihous_ele_6"/>
      <sheetName val="int__pla_1"/>
      <sheetName val="Internal_Plaster-FTP-Block_D41"/>
      <sheetName val="Reference_Information1"/>
      <sheetName val="Employee_List1"/>
      <sheetName val="Sales_Office1"/>
      <sheetName val="LAYING_PR1"/>
      <sheetName val="Safty_appli1"/>
      <sheetName val="_trans_works_13141"/>
      <sheetName val="Realign,_Bypass,_Rec1"/>
      <sheetName val="FWD_DATA1"/>
      <sheetName val="Normalized_Readings1"/>
      <sheetName val="Pavement_Details1"/>
      <sheetName val="Abutment_1"/>
      <sheetName val="[saihous_ele_xls]Indirect____45"/>
      <sheetName val="[saihous_ele_xls]Indirect____46"/>
      <sheetName val="design_sheet1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Indirect____52"/>
      <sheetName val="[saihous_ele_xls][saihous_ele_1"/>
      <sheetName val="Form_5_01"/>
      <sheetName val="Footing_1"/>
      <sheetName val="Roof__PT_beams_1"/>
      <sheetName val="Price_Comparison1"/>
      <sheetName val="BOQ_(_Only_Ground_floor_)_1"/>
      <sheetName val="Combined_Results_1"/>
      <sheetName val="Budget_CF_-_Overall1"/>
      <sheetName val="Centaurus-_Consultacny1"/>
      <sheetName val="Qty_take-off_IFCplans_1"/>
      <sheetName val="Cable_Specifications1"/>
      <sheetName val="Detail_Top_Sheet1"/>
      <sheetName val="_BC-2201"/>
      <sheetName val="abst-of_-cost1"/>
      <sheetName val="Beam_Details1"/>
      <sheetName val="Rate_analysis_civil1"/>
      <sheetName val="BOQ_1"/>
      <sheetName val="Summary_year_Plan1"/>
      <sheetName val="Price_Sheet1"/>
      <sheetName val="Staff_Acco_146"/>
      <sheetName val="Tel__73"/>
      <sheetName val="Ext_light73"/>
      <sheetName val="Staff_Acco_147"/>
      <sheetName val="DETAILED__BOQ73"/>
      <sheetName val="4_Annex_1_Basic_rate73"/>
      <sheetName val="Detail_In_Door_Stad73"/>
      <sheetName val="Project_Details__73"/>
      <sheetName val="scurve_calc_(2)73"/>
      <sheetName val="Detail_P&amp;L73"/>
      <sheetName val="Assumption_Sheet73"/>
      <sheetName val="RCC,Ret__Wall73"/>
      <sheetName val="Load_Details(B2)73"/>
      <sheetName val="TBAL9697_-group_wise__sdpl73"/>
      <sheetName val="SCHEDULE_OF_RATES73"/>
      <sheetName val="Bill_3_-_Site_Works72"/>
      <sheetName val="Legal_Risk_Analysis73"/>
      <sheetName val="PRECAST_lightconc-II73"/>
      <sheetName val="APPENDIX_B-173"/>
      <sheetName val="Bill_3_173"/>
      <sheetName val="GR_slab-reinft72"/>
      <sheetName val="Fill_this_out_first___72"/>
      <sheetName val="INDIGINEOUS_ITEMS_72"/>
      <sheetName val="Cable_data73"/>
      <sheetName val="Material_72"/>
      <sheetName val="SPT_vs_PHI72"/>
      <sheetName val="Civil_Works72"/>
      <sheetName val="Rate_Analysis72"/>
      <sheetName val="Basement_Budget72"/>
      <sheetName val="SITE_OVERHEADS72"/>
      <sheetName val="Boq_Block_A72"/>
      <sheetName val="IO_List72"/>
      <sheetName val="Pipe_Supports72"/>
      <sheetName val="BOQ_(2)72"/>
      <sheetName val="Asia_Revised_10-1-0772"/>
      <sheetName val="All_Capital_Plan_P+L_10-1-0772"/>
      <sheetName val="CP08_(2)72"/>
      <sheetName val="Planning_File_10-1-0772"/>
      <sheetName val="SCHEDULE_(3)72"/>
      <sheetName val="schedule_nos72"/>
      <sheetName val="Break_up_Sheet72"/>
      <sheetName val="4-Int-_ele(RA)72"/>
      <sheetName val="Sqn_Abs_G_6__72"/>
      <sheetName val="WO_Abs__G_2__6_DUs72"/>
      <sheetName val="Air_Abs_G_6__23_DUs72"/>
      <sheetName val="BLOCK-A_(MEA_SHEET)72"/>
      <sheetName val="Box-_Girder72"/>
      <sheetName val="Detail_1A72"/>
      <sheetName val="labour_coeff72"/>
      <sheetName val="Works_-_Quote_Sheet72"/>
      <sheetName val="E_&amp;_R72"/>
      <sheetName val="MASTER_RATE_ANALYSIS71"/>
      <sheetName val="Mat_Cost72"/>
      <sheetName val="DLC_lookups72"/>
      <sheetName val="Gen_Info72"/>
      <sheetName val="Indirect_expenses72"/>
      <sheetName val="Quote_Sheet72"/>
      <sheetName val="Cost_Any_72"/>
      <sheetName val="LIST_OF_MAKES72"/>
      <sheetName val="Pile_cap71"/>
      <sheetName val="Lease_rents72"/>
      <sheetName val="SPILL_OVER72"/>
      <sheetName val="Bed_Class71"/>
      <sheetName val="DTF_Summary71"/>
      <sheetName val="Form_671"/>
      <sheetName val="BOQ_Direct_selling_cost71"/>
      <sheetName val="GF_Columns71"/>
      <sheetName val="UNP-NCW_71"/>
      <sheetName val="Intro_71"/>
      <sheetName val="Elite_1_-_MBCL71"/>
      <sheetName val="Cost_summary71"/>
      <sheetName val="beam-reinft-machine_rm58"/>
      <sheetName val="T1_WO58"/>
      <sheetName val="Direct_cost_shed_A-2_71"/>
      <sheetName val="_Resource_list71"/>
      <sheetName val="THANE_SITE71"/>
      <sheetName val="BOQ_Distribution71"/>
      <sheetName val="Contract_BOQ58"/>
      <sheetName val="key_dates71"/>
      <sheetName val="specification_options71"/>
      <sheetName val="M_R_List_(2)71"/>
      <sheetName val="Balance_Sheet_71"/>
      <sheetName val="beam-reinft-IIInd_floor58"/>
      <sheetName val="A_O_R_71"/>
      <sheetName val="FF_Inst_RA_08_Inst_0358"/>
      <sheetName val="_IO_List18"/>
      <sheetName val="Cost_Index18"/>
      <sheetName val="saihous_ele18"/>
      <sheetName val="SSR___NSSR_Market_final18"/>
      <sheetName val="1_0017"/>
      <sheetName val="Blr_hire17"/>
      <sheetName val="STAFFSCHED_18"/>
      <sheetName val="DG_Works_(Supply)17"/>
      <sheetName val="Basic_Rates58"/>
      <sheetName val="bs_BP_04_SA17"/>
      <sheetName val="1-Pop_Proj17"/>
      <sheetName val="_B317"/>
      <sheetName val="_B117"/>
      <sheetName val="Operating_Statistics17"/>
      <sheetName val="220_11__BS_17"/>
      <sheetName val="Annexue_B17"/>
      <sheetName val="Desgn(zone_I)17"/>
      <sheetName val="Elect_17"/>
      <sheetName val="$_KURLARI17"/>
      <sheetName val="Boq_(Main_Building)17"/>
      <sheetName val="Basement__Works14"/>
      <sheetName val="Cover_sheet14"/>
      <sheetName val="AOQ-new_14"/>
      <sheetName val="water_prop_14"/>
      <sheetName val="Summary_Transformers15"/>
      <sheetName val="Total__Amount15"/>
      <sheetName val="Civil_BOQ16"/>
      <sheetName val="PA-_Consutant_14"/>
      <sheetName val="10__&amp;_11__Rate_Code_&amp;_BQ13"/>
      <sheetName val="SPILL_OVER_PROJECTIONS14"/>
      <sheetName val="BC_&amp;_MNB_14"/>
      <sheetName val="11B_13"/>
      <sheetName val="Angebot18_7_13"/>
      <sheetName val="MAIN_FILE_9-24-0713"/>
      <sheetName val="DG_13"/>
      <sheetName val="Basic_Resources14"/>
      <sheetName val="_GULF15"/>
      <sheetName val="final_abstract13"/>
      <sheetName val="Material_List_13"/>
      <sheetName val="Structure_Bills_Qty13"/>
      <sheetName val="Material_Rate13"/>
      <sheetName val="2nd_13"/>
      <sheetName val="Basic_Details12"/>
      <sheetName val="BS_Groupings12"/>
      <sheetName val="PL_Groupings12"/>
      <sheetName val="SC_Cost_MAR_0213"/>
      <sheetName val="AoR_Finishing13"/>
      <sheetName val="MTO_REV_013"/>
      <sheetName val="Linked_Lead13"/>
      <sheetName val="INPUT_SHEET12"/>
      <sheetName val="Meas_-Hotel_Part12"/>
      <sheetName val="Abstract_Sheet13"/>
      <sheetName val="April_Analysts13"/>
      <sheetName val="M_S_13"/>
      <sheetName val="Lead_(Final)13"/>
      <sheetName val="Column_BBS-Block913"/>
      <sheetName val="Materials_13"/>
      <sheetName val="ONE_TIME13"/>
      <sheetName val="[saihous_ele_xls]Indirect쌳ᎈ駜13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Fin_Sum12"/>
      <sheetName val="L_(4)12"/>
      <sheetName val="rcc(_sub)"/>
      <sheetName val="Core_Data12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WORK_TABLE6"/>
      <sheetName val="PRECAST_lightconc_II12"/>
      <sheetName val="5-Thermal_&amp;_Moisture12"/>
      <sheetName val="AutoOpen_Stub_Data12"/>
      <sheetName val="Podium_Areas6"/>
      <sheetName val="Overall_Summary6"/>
      <sheetName val="Summary_CFA_total_-_CP1_&amp;_CP26"/>
      <sheetName val="TORRENT_CEMENT12"/>
      <sheetName val="saihous_ele_xls12"/>
      <sheetName val="Labour_&amp;_Plant12"/>
      <sheetName val="BAL_SHEET12"/>
      <sheetName val="Sqn-Abs(G+6)_12"/>
      <sheetName val="WO-Abs_(G+2)_6_DUs12"/>
      <sheetName val="Air-Abs(G+6)_23_DUs12"/>
      <sheetName val="CFForecast_detail12"/>
      <sheetName val="Allg__Angaben12"/>
      <sheetName val="GUT_(2)12"/>
      <sheetName val="Labor_abs-PW12"/>
      <sheetName val="Labor_abs-NMR12"/>
      <sheetName val="reference_sheet_12"/>
      <sheetName val="Road_data12"/>
      <sheetName val="Road_Detail_Est_12"/>
      <sheetName val="organi_synthesis_lab12"/>
      <sheetName val="Format_1_9_Ph-112"/>
      <sheetName val="Summary-margin_calc12"/>
      <sheetName val="CABLES_DATA12"/>
      <sheetName val="VI_Floor_Beam_12"/>
      <sheetName val="Step_112"/>
      <sheetName val="NLD_-_Assum12"/>
      <sheetName val="Equipment_Information12"/>
      <sheetName val="Equipment_Block12"/>
      <sheetName val="Labour_Rate_12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2"/>
      <sheetName val="8th__floor_Beams12"/>
      <sheetName val="BASIC_MATERIALS12"/>
      <sheetName val="Final_Bill12"/>
      <sheetName val="M_B_T-1612"/>
      <sheetName val="FITZ_MORT_9412"/>
      <sheetName val="Ring_Details8"/>
      <sheetName val="Stress_Calculation8"/>
      <sheetName val="DATA_2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Assumption_Inputs7"/>
      <sheetName val="SUMMARY_-_PART-I-BUILDING6"/>
      <sheetName val="C_Sum12"/>
      <sheetName val="A_Sum12"/>
      <sheetName val="IT-Fri_Base6"/>
      <sheetName val="BP-Other_strs6"/>
      <sheetName val="Rate_Analysis_"/>
      <sheetName val="Sweeper_Machine7"/>
      <sheetName val="HP(9_200)7"/>
      <sheetName val="Break_Up_(bc)6"/>
      <sheetName val="Break_Up_(bc1)6"/>
      <sheetName val="Break_Up_(bc2)6"/>
      <sheetName val="LEVEL_SHEET6"/>
      <sheetName val="Jan_Volume12"/>
      <sheetName val="Pier_calculation7"/>
      <sheetName val="Distribution_-_Qty_&amp;_Amount7"/>
      <sheetName val="Rate_Ana6"/>
      <sheetName val="Detailed_Summary_(4)7"/>
      <sheetName val="boq_actual6"/>
      <sheetName val="Cut_&amp;_Sew6"/>
      <sheetName val="Tong_hop_DT_XDCT6"/>
      <sheetName val="33_kV-Eqpt_fdn_6"/>
      <sheetName val="Name_List6"/>
      <sheetName val="_saihous_ele_xls_Indirect쌳ᎈ駜_6"/>
      <sheetName val="Beam-design_exp7"/>
      <sheetName val="A301_Kalk7"/>
      <sheetName val="Schlüss_Inh-EF7"/>
      <sheetName val="DATA_PILE_RT1_6"/>
      <sheetName val="DATA_PILE__SM6"/>
      <sheetName val="BOQ_LT6"/>
      <sheetName val="Labour_before_Escalation_6"/>
      <sheetName val="Material_List6"/>
      <sheetName val="Master_Data7"/>
      <sheetName val="Pacakges_split6"/>
      <sheetName val="_saihous_ele_xls_Indirect_x0007"/>
      <sheetName val="_saihous_ele_xls_Indirect퀀《혂൧_6"/>
      <sheetName val="BRL_FORMAT2"/>
      <sheetName val="Total_delivered_cost_calc_6"/>
      <sheetName val="HT_Cable_2"/>
      <sheetName val="Format_-_46"/>
      <sheetName val="Flooring_Chart2"/>
      <sheetName val="Raw_material6"/>
      <sheetName val="Print_Controls2"/>
      <sheetName val="Beams_2"/>
      <sheetName val="Brickwork_2"/>
      <sheetName val="First_Floor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SLAB_SCH2"/>
      <sheetName val="[saihous_ele_xls]Indirect____19"/>
      <sheetName val="[saihous_ele_xls]Indirect____20"/>
      <sheetName val="[saihous_ele_xls]Indirect____21"/>
      <sheetName val="[saihous_ele_xls]_saihous_ele13"/>
      <sheetName val="[saihous_ele_xls]_saihous_ele14"/>
      <sheetName val="SB_SCH_A72"/>
      <sheetName val="Summary_output2"/>
      <sheetName val="Boq-_Civil2"/>
      <sheetName val="LV_Cable_sizing6"/>
      <sheetName val="Progress_Curve2"/>
      <sheetName val="labour_rates2"/>
      <sheetName val="Fee_Recap2"/>
      <sheetName val="05__BUDGET2"/>
      <sheetName val="Executive_Summary2"/>
      <sheetName val="Source_Ref_1"/>
      <sheetName val="Itemwise_Summary2"/>
      <sheetName val="Payroll_BL2"/>
      <sheetName val="Bechtel_Norms1"/>
      <sheetName val="CS_PIPING1"/>
      <sheetName val="TECH_DATA1"/>
      <sheetName val="RF_Vol1"/>
      <sheetName val="Customize_Your_Purchase_Order1"/>
      <sheetName val="Rates_Basic1"/>
      <sheetName val="PCS_DATA2"/>
      <sheetName val="Tie_Beam_Steel-R0-12"/>
      <sheetName val="NOTES_2"/>
      <sheetName val="Project_Info2"/>
      <sheetName val="Link_In2"/>
      <sheetName val="Project_Work_Off_Contribution2"/>
      <sheetName val="CRF-BE_Rates2"/>
      <sheetName val="ACAD_Finishes2"/>
      <sheetName val="Site_Details2"/>
      <sheetName val="Site_Area_Statement2"/>
      <sheetName val="Cashflow_projection2"/>
      <sheetName val="Cash_Flow_Working2"/>
      <sheetName val="Ave_wtd_rates"/>
      <sheetName val="2_civil-RA"/>
      <sheetName val="Concrete_Quants"/>
      <sheetName val="India_F&amp;S_Template"/>
      <sheetName val="Inter_Co_Balances"/>
      <sheetName val="Grouped_TB-2004-05"/>
      <sheetName val="03_BOQ_code"/>
      <sheetName val="More_&amp;_Less_work_record"/>
      <sheetName val="Supply_"/>
      <sheetName val="KQ_Cost_Controlling"/>
      <sheetName val="KQ_Appropriation"/>
      <sheetName val="Detailed_Summary_(5)"/>
      <sheetName val="COVER_FOR_MEMBER"/>
      <sheetName val="Item-_Compact"/>
      <sheetName val="Driveway_Beams"/>
      <sheetName val="1_Civil-RA"/>
      <sheetName val="RAJU_ASSO"/>
      <sheetName val="Name_Range"/>
      <sheetName val="BS_before_PMO"/>
      <sheetName val="13__Steel_-_Ratio"/>
      <sheetName val="Staff_Forecast_spread"/>
      <sheetName val="Budget_By_Month"/>
      <sheetName val="Devco_Cashflow"/>
      <sheetName val="Mand_Spares_BBU_"/>
      <sheetName val="Response_Spectra_(UBC-1997)"/>
      <sheetName val="Response_Spectra_(IS1893-2002)"/>
      <sheetName val="Tools_Rev"/>
      <sheetName val="TB_JUN'11"/>
      <sheetName val="foot-slab_reinft"/>
      <sheetName val="Customize_Your_Invoice"/>
      <sheetName val="d-safe_DELUXE"/>
      <sheetName val="FINANCIAL_(FLR)"/>
      <sheetName val="A_O_R_r1Str"/>
      <sheetName val="A_O_R_r1"/>
      <sheetName val="A_O_R_(2)"/>
      <sheetName val="11_kV_SWGR"/>
      <sheetName val="RCC_Rates"/>
      <sheetName val="fee_rate_summary"/>
      <sheetName val="@RISK_Correlations"/>
      <sheetName val="SP_Break_Up"/>
      <sheetName val="_AnalysisPCC"/>
      <sheetName val="9__Package_split_-_Cost_"/>
      <sheetName val="Finishing_items"/>
      <sheetName val="LABOUR_RATE"/>
      <sheetName val="[saihous_ele_xls]Indirect____22"/>
      <sheetName val="[saihous_ele_xls]Indirect____23"/>
      <sheetName val="[saihous_ele_xls]_saihous_ele15"/>
      <sheetName val="[saihous_ele_xls]Indirect____24"/>
      <sheetName val="[saihous_ele_xls]_saihous_ele16"/>
      <sheetName val="[saihous_ele_xls]_saihous_ele17"/>
      <sheetName val="[saihous_ele_xls]_saihous_ele18"/>
      <sheetName val="[saihous_ele_xls]Indirect____25"/>
      <sheetName val="[saihous_ele_xls]Indirect____26"/>
      <sheetName val="[saihous_ele_xls]Indirect____27"/>
      <sheetName val="[saihous_ele_xls]_saihous_ele19"/>
      <sheetName val="[saihous_ele_xls]_saihous_ele20"/>
      <sheetName val="Switch_V16"/>
      <sheetName val="aug_stat_06_(2)"/>
      <sheetName val="Data_sheet"/>
      <sheetName val="Sheet3_(2)"/>
      <sheetName val="Final_VA"/>
      <sheetName val="(Do_not_delete)"/>
      <sheetName val="Lead_statement"/>
      <sheetName val="Cash_Flow_Input_Data_ISC"/>
      <sheetName val="Column_(P1_to_P2)"/>
      <sheetName val="CABLES__"/>
      <sheetName val="Cable_Schedule"/>
      <sheetName val="_saihous_ele_xls_Indirect_____2"/>
      <sheetName val="_saihous_ele_xls_Indirect_____3"/>
      <sheetName val="_saihous_ele_xls_Indirect_____4"/>
      <sheetName val="_saihous_ele_xls__saihous_ele_2"/>
      <sheetName val="_saihous_ele_xls__saihous_ele_3"/>
      <sheetName val="_saihous_ele_xls_Indirect_____5"/>
      <sheetName val="_saihous_ele_xls_Indirect_____6"/>
      <sheetName val="_saihous_ele_xls_Indirect_____7"/>
      <sheetName val="_saihous_ele_xls__saihous_ele_4"/>
      <sheetName val="int__pla_"/>
      <sheetName val="Internal_Plaster-FTP-Block_D4"/>
      <sheetName val="Reference_Information"/>
      <sheetName val="Employee_List"/>
      <sheetName val="Sales_Office"/>
      <sheetName val="LAYING_PR"/>
      <sheetName val="Safty_appli"/>
      <sheetName val="_trans_works_1314"/>
      <sheetName val="Realign,_Bypass,_Rec"/>
      <sheetName val="FWD_DATA"/>
      <sheetName val="Normalized_Readings"/>
      <sheetName val="Pavement_Details"/>
      <sheetName val="Abutment_"/>
      <sheetName val="[saihous_ele_xls]Indirect____28"/>
      <sheetName val="[saihous_ele_xls]Indirect____29"/>
      <sheetName val="design_sheet"/>
      <sheetName val="[saihous_ele_xls]Indirect____30"/>
      <sheetName val="[saihous_ele_xls]Indirect____31"/>
      <sheetName val="[saihous_ele_xls]Indirect____32"/>
      <sheetName val="[saihous_ele_xls]Indirect____33"/>
      <sheetName val="[saihous_ele_xls]Indirect____34"/>
      <sheetName val="[saihous_ele_xls]Indirect____35"/>
      <sheetName val="[saihous_ele_xls][saihous_ele_x"/>
      <sheetName val="Form_5_0"/>
      <sheetName val="Footing_"/>
      <sheetName val="Roof__PT_beams_"/>
      <sheetName val="Price_Comparison"/>
      <sheetName val="BOQ_(_Only_Ground_floor_)_"/>
      <sheetName val="Combined_Results_"/>
      <sheetName val="Budget_CF_-_Overall"/>
      <sheetName val="Centaurus-_Consultacny"/>
      <sheetName val="Qty_take-off_IFCplans_"/>
      <sheetName val="Cable_Specifications"/>
      <sheetName val="Detail_Top_Sheet"/>
      <sheetName val="_BC-220"/>
      <sheetName val="abst-of_-cost"/>
      <sheetName val="Beam_Details"/>
      <sheetName val="Rate_analysis_civil"/>
      <sheetName val="BOQ_"/>
      <sheetName val="Summary_year_Plan"/>
      <sheetName val="Price_Sheet"/>
      <sheetName val="bridge data by 3dot"/>
      <sheetName val="[saihous.ele.xls]Indirect☂꨸砀⪳栚ᶨ"/>
      <sheetName val="3"/>
      <sheetName val="data existing_do not delete"/>
      <sheetName val="Specification"/>
      <sheetName val="Abs"/>
      <sheetName val="Class IV Qtr. Ele"/>
      <sheetName val="GROUND FLOOR"/>
      <sheetName val="mlead"/>
      <sheetName val="RMR"/>
      <sheetName val="CYLA BFLA"/>
      <sheetName val="Ignore"/>
      <sheetName val="statistic"/>
      <sheetName val="IDCCALHYD_GOO"/>
      <sheetName val="Resumen"/>
      <sheetName val="Cade voute"/>
      <sheetName val="Récap"/>
      <sheetName val="[saihous.ele.xls]_saihous_el_10"/>
      <sheetName val="[saihous.ele.xls]_saihous_el_11"/>
      <sheetName val="Micro"/>
      <sheetName val="Scaff-Rose"/>
      <sheetName val="basic rate"/>
      <sheetName val="recap horas"/>
      <sheetName val="MRATES"/>
      <sheetName val="MRoad data"/>
      <sheetName val="m"/>
      <sheetName val="DATA-BASE"/>
      <sheetName val="DATA-ABSTRACT"/>
      <sheetName val="定额"/>
      <sheetName val="TB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 refreshError="1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/>
      <sheetData sheetId="2081"/>
      <sheetData sheetId="2082"/>
      <sheetData sheetId="2083"/>
      <sheetData sheetId="2084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/>
      <sheetData sheetId="6593"/>
      <sheetData sheetId="6594"/>
      <sheetData sheetId="6595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 refreshError="1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/>
      <sheetData sheetId="7851" refreshError="1"/>
      <sheetData sheetId="7852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/>
      <sheetData sheetId="7910" refreshError="1"/>
      <sheetData sheetId="7911"/>
      <sheetData sheetId="7912"/>
      <sheetData sheetId="7913"/>
      <sheetData sheetId="7914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/>
      <sheetData sheetId="7971"/>
      <sheetData sheetId="7972"/>
      <sheetData sheetId="7973"/>
      <sheetData sheetId="7974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/>
      <sheetData sheetId="7989" refreshError="1"/>
      <sheetData sheetId="7990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 refreshError="1"/>
      <sheetData sheetId="8044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/>
      <sheetData sheetId="8052" refreshError="1"/>
      <sheetData sheetId="8053" refreshError="1"/>
      <sheetData sheetId="8054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/>
      <sheetData sheetId="8069" refreshError="1"/>
      <sheetData sheetId="8070"/>
      <sheetData sheetId="8071" refreshError="1"/>
      <sheetData sheetId="8072"/>
      <sheetData sheetId="8073"/>
      <sheetData sheetId="8074"/>
      <sheetData sheetId="8075" refreshError="1"/>
      <sheetData sheetId="8076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 refreshError="1"/>
      <sheetData sheetId="8606" refreshError="1"/>
      <sheetData sheetId="8607" refreshError="1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/>
      <sheetData sheetId="9354"/>
      <sheetData sheetId="9355" refreshError="1"/>
      <sheetData sheetId="9356" refreshError="1"/>
      <sheetData sheetId="9357" refreshError="1"/>
      <sheetData sheetId="9358"/>
      <sheetData sheetId="9359" refreshError="1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Plastering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Hard Finish"/>
      <sheetName val="Labor bill Water proofing"/>
      <sheetName val="Labor bill MS items"/>
      <sheetName val="Labor Painting"/>
      <sheetName val="Staff Acco."/>
      <sheetName val="Labor bills 22.11.06"/>
      <sheetName val="Labor_abs-PW"/>
      <sheetName val="Labor_abs-NMR"/>
      <sheetName val="Labor_bill_-_Plastering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Hard_Finish"/>
      <sheetName val="Labor_bill_Water_proofing"/>
      <sheetName val="Labor_bill_MS_items"/>
      <sheetName val="Labor_Painting"/>
      <sheetName val="Staff_Acco_"/>
      <sheetName val="Labor_bills_22_11_06"/>
      <sheetName val="Boq"/>
      <sheetName val="Build-up"/>
      <sheetName val="GUT"/>
      <sheetName val="RA-markate"/>
      <sheetName val="sept-plan"/>
      <sheetName val="key dates"/>
      <sheetName val="Actuals"/>
      <sheetName val="Summ"/>
      <sheetName val="PROJECT BRI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Q-Ext  "/>
      <sheetName val="Data"/>
      <sheetName val="Sheet1"/>
      <sheetName val="std"/>
      <sheetName val="RA_EIL"/>
      <sheetName val="RA_MKT_QUOTE"/>
      <sheetName val="RECAPITULATION"/>
      <sheetName val="Bank Guarantee"/>
      <sheetName val="AutoOpen Stub Data"/>
      <sheetName val="Design"/>
      <sheetName val="Guidelines"/>
      <sheetName val="final abstract"/>
      <sheetName val="Basic Rates"/>
      <sheetName val="Fin Sum"/>
      <sheetName val="BS Schedules"/>
      <sheetName val="Break up Sheet"/>
      <sheetName val="Rate analysis"/>
      <sheetName val="RawMatCost"/>
      <sheetName val="factors"/>
      <sheetName val="A-General"/>
      <sheetName val="COLUMN"/>
      <sheetName val="p&amp;m"/>
      <sheetName val="NC"/>
      <sheetName val="Slab"/>
      <sheetName val="Blr hire"/>
      <sheetName val="Structure Bills Qty"/>
      <sheetName val="STP"/>
      <sheetName val="Boq Block A"/>
      <sheetName val="CCTV_EST1"/>
      <sheetName val="Field Values"/>
      <sheetName val="PR Standards Technopark"/>
      <sheetName val="Labor_abs-PW6"/>
      <sheetName val="Labor_abs-NMR6"/>
      <sheetName val="Labor_bill_-_Plastering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Hard_Finish6"/>
      <sheetName val="Labor_bill_Water_proofing6"/>
      <sheetName val="Labor_bill_MS_items6"/>
      <sheetName val="Labor_Painting6"/>
      <sheetName val="Staff_Acco_6"/>
      <sheetName val="Labor_bills_22_11_066"/>
      <sheetName val="key_dates5"/>
      <sheetName val="PROJECT_BRIEF5"/>
      <sheetName val="11B_5"/>
      <sheetName val="BQ-Ext__5"/>
      <sheetName val="Bank_Guarantee5"/>
      <sheetName val="AutoOpen_Stub_Data5"/>
      <sheetName val="final_abstract5"/>
      <sheetName val="Basic_Rates5"/>
      <sheetName val="Fin_Sum5"/>
      <sheetName val="BS_Schedules5"/>
      <sheetName val="Break_up_Sheet5"/>
      <sheetName val="Rate_analysis5"/>
      <sheetName val="Labor_abs-PW4"/>
      <sheetName val="Labor_abs-NMR4"/>
      <sheetName val="Labor_bill_-_Plastering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Hard_Finish4"/>
      <sheetName val="Labor_bill_Water_proofing4"/>
      <sheetName val="Labor_bill_MS_items4"/>
      <sheetName val="Labor_Painting4"/>
      <sheetName val="Staff_Acco_4"/>
      <sheetName val="Labor_bills_22_11_064"/>
      <sheetName val="key_dates3"/>
      <sheetName val="PROJECT_BRIEF3"/>
      <sheetName val="11B_3"/>
      <sheetName val="BQ-Ext__3"/>
      <sheetName val="Bank_Guarantee3"/>
      <sheetName val="AutoOpen_Stub_Data3"/>
      <sheetName val="final_abstract3"/>
      <sheetName val="Basic_Rates3"/>
      <sheetName val="Fin_Sum3"/>
      <sheetName val="BS_Schedules3"/>
      <sheetName val="Break_up_Sheet3"/>
      <sheetName val="Rate_analysis3"/>
      <sheetName val="Labor_abs-PW3"/>
      <sheetName val="Labor_abs-NMR3"/>
      <sheetName val="Labor_bill_-_Plastering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Hard_Finish3"/>
      <sheetName val="Labor_bill_Water_proofing3"/>
      <sheetName val="Labor_bill_MS_items3"/>
      <sheetName val="Labor_Painting3"/>
      <sheetName val="Staff_Acco_3"/>
      <sheetName val="Labor_bills_22_11_063"/>
      <sheetName val="key_dates2"/>
      <sheetName val="PROJECT_BRIEF2"/>
      <sheetName val="11B_2"/>
      <sheetName val="BQ-Ext__2"/>
      <sheetName val="Bank_Guarantee2"/>
      <sheetName val="AutoOpen_Stub_Data2"/>
      <sheetName val="final_abstract2"/>
      <sheetName val="Basic_Rates2"/>
      <sheetName val="Fin_Sum2"/>
      <sheetName val="BS_Schedules2"/>
      <sheetName val="Break_up_Sheet2"/>
      <sheetName val="Rate_analysis2"/>
      <sheetName val="Labor_abs-PW1"/>
      <sheetName val="Labor_abs-NMR1"/>
      <sheetName val="Labor_bill_-_Plastering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Hard_Finish1"/>
      <sheetName val="Labor_bill_Water_proofing1"/>
      <sheetName val="Labor_bill_MS_items1"/>
      <sheetName val="Labor_Painting1"/>
      <sheetName val="Staff_Acco_1"/>
      <sheetName val="Labor_bills_22_11_061"/>
      <sheetName val="key_dates"/>
      <sheetName val="PROJECT_BRIEF"/>
      <sheetName val="11B_"/>
      <sheetName val="BQ-Ext__"/>
      <sheetName val="Bank_Guarantee"/>
      <sheetName val="AutoOpen_Stub_Data"/>
      <sheetName val="final_abstract"/>
      <sheetName val="Basic_Rates"/>
      <sheetName val="Fin_Sum"/>
      <sheetName val="BS_Schedules"/>
      <sheetName val="Break_up_Sheet"/>
      <sheetName val="Rate_analysis"/>
      <sheetName val="Blr_hire"/>
      <sheetName val="Labor_abs-PW2"/>
      <sheetName val="Labor_abs-NMR2"/>
      <sheetName val="Labor_bill_-_Plastering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Hard_Finish2"/>
      <sheetName val="Labor_bill_Water_proofing2"/>
      <sheetName val="Labor_bill_MS_items2"/>
      <sheetName val="Labor_Painting2"/>
      <sheetName val="Staff_Acco_2"/>
      <sheetName val="Labor_bills_22_11_062"/>
      <sheetName val="key_dates1"/>
      <sheetName val="PROJECT_BRIEF1"/>
      <sheetName val="11B_1"/>
      <sheetName val="BQ-Ext__1"/>
      <sheetName val="Bank_Guarantee1"/>
      <sheetName val="AutoOpen_Stub_Data1"/>
      <sheetName val="final_abstract1"/>
      <sheetName val="Basic_Rates1"/>
      <sheetName val="Fin_Sum1"/>
      <sheetName val="BS_Schedules1"/>
      <sheetName val="Break_up_Sheet1"/>
      <sheetName val="Rate_analysis1"/>
      <sheetName val="Blr_hire1"/>
      <sheetName val="Blr_hire2"/>
      <sheetName val="Labor_abs-PW5"/>
      <sheetName val="Labor_abs-NMR5"/>
      <sheetName val="Labor_bill_-_Plastering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Hard_Finish5"/>
      <sheetName val="Labor_bill_Water_proofing5"/>
      <sheetName val="Labor_bill_MS_items5"/>
      <sheetName val="Labor_Painting5"/>
      <sheetName val="Staff_Acco_5"/>
      <sheetName val="Labor_bills_22_11_065"/>
      <sheetName val="key_dates4"/>
      <sheetName val="PROJECT_BRIEF4"/>
      <sheetName val="11B_4"/>
      <sheetName val="BQ-Ext__4"/>
      <sheetName val="Bank_Guarantee4"/>
      <sheetName val="AutoOpen_Stub_Data4"/>
      <sheetName val="final_abstract4"/>
      <sheetName val="Basic_Rates4"/>
      <sheetName val="Fin_Sum4"/>
      <sheetName val="BS_Schedules4"/>
      <sheetName val="Break_up_Sheet4"/>
      <sheetName val="Rate_analysis4"/>
      <sheetName val="Block 02, Staircace &amp; lift head"/>
      <sheetName val="ridgewood"/>
      <sheetName val="Footings"/>
      <sheetName val="BASIS -DEC 08"/>
      <sheetName val="FitOutConfCentre"/>
      <sheetName val="97-98"/>
      <sheetName val="discounts_XP140"/>
      <sheetName val="Labor_abs-PW7"/>
      <sheetName val="Labor_abs-NMR7"/>
      <sheetName val="Labor_bill_-_Plastering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Hard_Finish7"/>
      <sheetName val="Labor_bill_Water_proofing7"/>
      <sheetName val="Labor_bill_MS_items7"/>
      <sheetName val="Labor_Painting7"/>
      <sheetName val="Staff_Acco_7"/>
      <sheetName val="Labor_bills_22_11_067"/>
      <sheetName val="key_dates6"/>
      <sheetName val="PROJECT_BRIEF6"/>
      <sheetName val="11B_6"/>
      <sheetName val="BQ-Ext__6"/>
      <sheetName val="Bank_Guarantee6"/>
      <sheetName val="AutoOpen_Stub_Data6"/>
      <sheetName val="final_abstract6"/>
      <sheetName val="Basic_Rates6"/>
      <sheetName val="Fin_Sum6"/>
      <sheetName val="BS_Schedules6"/>
      <sheetName val="Break_up_Sheet6"/>
      <sheetName val="Rate_analysis6"/>
      <sheetName val="Blr_hire3"/>
      <sheetName val="Field_Values"/>
      <sheetName val="PR_Standards_Technopark"/>
      <sheetName val="Structure_Bills_Qty"/>
      <sheetName val="Boq_Block_A"/>
      <sheetName val="Block_02,_Staircace_&amp;_lift_head"/>
      <sheetName val="Cover"/>
      <sheetName val="Concrete"/>
      <sheetName val="Pivots"/>
      <sheetName val="INPUT SHEET"/>
      <sheetName val="Detailed Summary (5)"/>
      <sheetName val="labour coeff"/>
      <sheetName val="RES-PLANNING"/>
      <sheetName val="Civil Boq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BASIS_-DEC_08"/>
      <sheetName val="Datas"/>
      <sheetName val="% prog figs -u5 and total"/>
      <sheetName val="rc01"/>
      <sheetName val="BOQ fire proofing"/>
      <sheetName val="Rate An"/>
      <sheetName val="7 Other Costs"/>
      <sheetName val="IO LIST"/>
      <sheetName val="Sheet3 (2)"/>
      <sheetName val="basic-data"/>
      <sheetName val="mem-property"/>
      <sheetName val="Intro"/>
      <sheetName val="List"/>
      <sheetName val="7IFS-5A"/>
      <sheetName val="E_Summary"/>
      <sheetName val="D_Cntnts"/>
      <sheetName val="BQ"/>
      <sheetName val="PROJECT BRIEF(EX.NEW)"/>
      <sheetName val="HV SWITCHGEAR"/>
      <sheetName val="CABLE DATA"/>
      <sheetName val="Summary_Bank"/>
      <sheetName val="Database"/>
      <sheetName val="schedule nos"/>
      <sheetName val="Set"/>
      <sheetName val="beam-reinft-IIInd floor"/>
      <sheetName val="WT-LIST"/>
      <sheetName val="horizontal"/>
      <sheetName val="Control"/>
      <sheetName val="Civil Works"/>
      <sheetName val="BHANDUP"/>
      <sheetName val="BS, PL, SCH 96"/>
      <sheetName val="SCHEDULE"/>
      <sheetName val="Mat.-Rates"/>
      <sheetName val="FINOLEX"/>
      <sheetName val="PCC"/>
      <sheetName val="sumary"/>
      <sheetName val="shuttering"/>
      <sheetName val="Channel Contribution Analysis"/>
      <sheetName val="analysis"/>
      <sheetName val="AK-Offertstammblatt"/>
      <sheetName val="purpose&amp;input"/>
      <sheetName val="opd"/>
      <sheetName val="dummy"/>
      <sheetName val="#REF!"/>
      <sheetName val="S1BOQ_P.8~P.21"/>
      <sheetName val="A(Rev.3)"/>
      <sheetName val="Annex"/>
      <sheetName val="Interface_ISC"/>
      <sheetName val="Electrical"/>
      <sheetName val="SEW4"/>
      <sheetName val="Cash Flow Working"/>
      <sheetName val="MECHANICAL"/>
      <sheetName val="T&amp;M"/>
      <sheetName val="Projects"/>
      <sheetName val="Parameter"/>
      <sheetName val="1_Project_Profile"/>
      <sheetName val="DETAILED  BOQ"/>
      <sheetName val="노임단가"/>
      <sheetName val="CHIFLET"/>
      <sheetName val="CABLERET"/>
      <sheetName val="Cul_detail"/>
      <sheetName val="BOQ_SERENO"/>
      <sheetName val="lc 11"/>
      <sheetName val="lc 21"/>
      <sheetName val="Abstract"/>
      <sheetName val="Beams "/>
      <sheetName val="switch"/>
      <sheetName val="conc-foot-gradeslab"/>
      <sheetName val="G.1-AV SYSTEM"/>
      <sheetName val="BOQ Distribution"/>
      <sheetName val="macros"/>
      <sheetName val="Data sheet"/>
      <sheetName val="Micro"/>
      <sheetName val="Macro"/>
      <sheetName val="Scaff-Rose"/>
      <sheetName val="girder"/>
      <sheetName val="細目"/>
      <sheetName val="Supplier"/>
      <sheetName val="SP Break Up"/>
      <sheetName val="Quotation"/>
      <sheetName val="Budget_CF - Overall"/>
      <sheetName val="Summary_CFA"/>
      <sheetName val="Sheet2"/>
      <sheetName val="S1BOQ"/>
      <sheetName val="Pay_Sep06"/>
      <sheetName val="Project Budget Worksheet"/>
      <sheetName val="pri-com"/>
      <sheetName val="dBase"/>
      <sheetName val="Lookup data"/>
      <sheetName val="10. &amp; 11. Rate Code &amp; BQ"/>
      <sheetName val="Base data Security Procedures"/>
      <sheetName val="PRICE COMP"/>
      <sheetName val="p1-costg"/>
      <sheetName val="KP1590_E"/>
      <sheetName val="13. Steel - Ratio"/>
      <sheetName val="cover page"/>
      <sheetName val="Basement Budget"/>
      <sheetName val="Cashflow projection"/>
      <sheetName val="gen"/>
      <sheetName val="costing_ESDV"/>
      <sheetName val="costing_FE"/>
      <sheetName val="costing_Misc"/>
      <sheetName val="costing_MOV"/>
      <sheetName val="costing_Press"/>
      <sheetName val="4K - (6a) Non Manual Breakdown"/>
      <sheetName val="Fill this out first..."/>
      <sheetName val="Builtup Area"/>
      <sheetName val="MA"/>
      <sheetName val="RateAnalysis"/>
      <sheetName val="Introduction"/>
      <sheetName val="Main-Material"/>
      <sheetName val="Basic Rate"/>
      <sheetName val="Measurment"/>
      <sheetName val="MASTER_RATE ANALYSIS"/>
      <sheetName val="Cash Flow"/>
      <sheetName val="Definitions"/>
      <sheetName val="Materials Cost(PCC)"/>
      <sheetName val=" S-DIV02-CONCRETE"/>
      <sheetName val="M&amp;A D"/>
      <sheetName val="M&amp;A E"/>
      <sheetName val="M&amp;A G"/>
      <sheetName val="Names&amp;Cases"/>
      <sheetName val="costing sheet"/>
      <sheetName val="Delhi"/>
      <sheetName val="Channel_Contribution_Analysis"/>
      <sheetName val="Detailed_Summary_(5)"/>
      <sheetName val="Sheet3_(2)"/>
      <sheetName val="schedule_nos"/>
      <sheetName val="beam-reinft-IIInd_floor"/>
      <sheetName val="Civil_Works"/>
      <sheetName val="PROJECT_BRIEF(EX_NEW)"/>
      <sheetName val="HV_SWITCHGEAR"/>
      <sheetName val="CABLE_DATA"/>
      <sheetName val="BS,_PL,_SCH_96"/>
      <sheetName val="Mat_-Rates"/>
      <sheetName val="LOOSE FURNITURE"/>
      <sheetName val="目录"/>
      <sheetName val="RA_markate"/>
      <sheetName val="Publicbuilding"/>
      <sheetName val="INPUT_SHEET"/>
      <sheetName val="THK"/>
      <sheetName val="Rekap"/>
      <sheetName val="Oustanding Balances"/>
      <sheetName val="MASTER - MARCH"/>
      <sheetName val="12"/>
      <sheetName val="XREF"/>
      <sheetName val="Wag&amp;Sal"/>
      <sheetName val="Lease rents"/>
      <sheetName val="rcc( sub)"/>
      <sheetName val="TB"/>
      <sheetName val="bs"/>
      <sheetName val="SHORT LIST"/>
      <sheetName val="NR-PS-CL P1-MEP-0000"/>
      <sheetName val="Design Devmt"/>
      <sheetName val="AOR"/>
      <sheetName val="Demand"/>
      <sheetName val="Occ"/>
      <sheetName val="tender allowances"/>
      <sheetName val="Hardfinishes-Contemporary"/>
      <sheetName val="grsummary"/>
      <sheetName val="Register"/>
      <sheetName val="Notes"/>
      <sheetName val="CERTIFICATE"/>
      <sheetName val="SHORT_LIST"/>
      <sheetName val="NR-PS-CL_P1-MEP-0000"/>
      <sheetName val="Design_Devmt"/>
      <sheetName val="BOQ_Distribution"/>
      <sheetName val="tender_allowances"/>
      <sheetName val="Field_Values1"/>
      <sheetName val="PR_Standards_Technopark1"/>
      <sheetName val="BASIS_-DEC_081"/>
      <sheetName val="SHORT_LIST1"/>
      <sheetName val="CABLE_DATA1"/>
      <sheetName val="NR-PS-CL_P1-MEP-00001"/>
      <sheetName val="PROJECT_BRIEF(EX_NEW)1"/>
      <sheetName val="Design_Devmt1"/>
      <sheetName val="BOQ_Distribution1"/>
      <sheetName val="tender_allowances1"/>
      <sheetName val="Site Expenses"/>
      <sheetName val="Assumptions"/>
      <sheetName val="C9901"/>
      <sheetName val="MPR_PA_1"/>
      <sheetName val="CL MEP -VOL 3"/>
      <sheetName val="Comments"/>
      <sheetName val="POWER"/>
      <sheetName val="EATON SUMMARY"/>
      <sheetName val="Master Equipment List"/>
      <sheetName val="Scatter"/>
      <sheetName val="Site_Expenses"/>
      <sheetName val="Day work"/>
      <sheetName val="SUM"/>
      <sheetName val="Raw Data"/>
      <sheetName val="Summary Transformers"/>
      <sheetName val="Field_Values2"/>
      <sheetName val="PR_Standards_Technopark2"/>
      <sheetName val="BASIS_-DEC_082"/>
      <sheetName val="SHORT_LIST2"/>
      <sheetName val="CABLE_DATA2"/>
      <sheetName val="NR-PS-CL_P1-MEP-00002"/>
      <sheetName val="PROJECT_BRIEF(EX_NEW)2"/>
      <sheetName val="Design_Devmt2"/>
      <sheetName val="BOQ_Distribution2"/>
      <sheetName val="tender_allowances2"/>
      <sheetName val="%_prog_figs_-u5_and_total"/>
      <sheetName val="BOQ_fire_proofing"/>
      <sheetName val="Site_Expenses1"/>
      <sheetName val="CL_MEP_-VOL_3"/>
      <sheetName val="EATON_SUMMARY"/>
      <sheetName val="Master_Equipment_List"/>
      <sheetName val="DETAILED__BOQ"/>
      <sheetName val="Day_work"/>
      <sheetName val="Raw_Data"/>
      <sheetName val="Cash_Flow_Working"/>
      <sheetName val="_S-DIV02-CONCRETE"/>
      <sheetName val="M&amp;A_D"/>
      <sheetName val="M&amp;A_E"/>
      <sheetName val="M&amp;A_G"/>
      <sheetName val="Rate_An"/>
      <sheetName val="Summary_Transformers"/>
      <sheetName val="Summary"/>
      <sheetName val="Siteworks"/>
      <sheetName val="Summary:Siteworks"/>
      <sheetName val="Inter unit set off"/>
      <sheetName val="P Distribution  Detail"/>
      <sheetName val="CALCULATIONS"/>
      <sheetName val="hr"/>
      <sheetName val="Sch 1-11"/>
      <sheetName val="Challan"/>
      <sheetName val="Schedules"/>
      <sheetName val="Summary year Plan"/>
      <sheetName val="pukhraj (HUF)"/>
      <sheetName val="149"/>
      <sheetName val="Legal Risk Analysis"/>
      <sheetName val="keyword"/>
      <sheetName val="Final Bill of Material"/>
      <sheetName val="Pile cap"/>
      <sheetName val="Settings"/>
      <sheetName val="9"/>
      <sheetName val="Arch"/>
      <sheetName val="upa"/>
      <sheetName val="office"/>
      <sheetName val="Lab"/>
      <sheetName val="BOQ_Direct_selling cost"/>
      <sheetName val="BFS"/>
      <sheetName val="strand"/>
      <sheetName val="KQ Cost Controlling"/>
      <sheetName val="KQ Appropriation"/>
      <sheetName val="M"/>
      <sheetName val="N"/>
      <sheetName val="2days16-19-22-23-24-26-27-28"/>
      <sheetName val="FT-05-02IsoBOM"/>
      <sheetName val="SCHEDULE (9)"/>
      <sheetName val="complexall"/>
      <sheetName val="MH(on site)"/>
      <sheetName val="site fab&amp;ernstr"/>
      <sheetName val="RCC,Ret. Wall"/>
      <sheetName val="ABBR"/>
      <sheetName val="Branch Power"/>
      <sheetName val="Distrib"/>
      <sheetName val="Emergency"/>
      <sheetName val="Equipment"/>
      <sheetName val="Lighting"/>
      <sheetName val="LOOSE_FURNITURE"/>
      <sheetName val="Civil_Works1"/>
      <sheetName val="LOOSE_FURNITURE1"/>
      <sheetName val=" "/>
      <sheetName val="TBAL9697 -group wise  sdpl"/>
      <sheetName val="Driveway Beams"/>
      <sheetName val="INTSHEET"/>
      <sheetName val="INTSHEET3"/>
      <sheetName val="1.1 - Capital"/>
      <sheetName val="Cashflows"/>
      <sheetName val="GM &amp; TA"/>
      <sheetName val="lookups"/>
      <sheetName val="ref"/>
      <sheetName val="Costing"/>
      <sheetName val="RA_MKT_INTERIOR"/>
      <sheetName val="Job Data"/>
      <sheetName val="D5"/>
      <sheetName val="D5-P&amp;L"/>
      <sheetName val="Model (Not Merged)"/>
      <sheetName val="crews"/>
      <sheetName val="Cost summary"/>
      <sheetName val="two way-1"/>
      <sheetName val="Sump"/>
      <sheetName val="sheet6"/>
      <sheetName val="Lead"/>
      <sheetName val="Results"/>
      <sheetName val="PLGroupings"/>
      <sheetName val="MN T.B."/>
      <sheetName val="BLOCK-A (MEA.SHEET)"/>
      <sheetName val="Internet"/>
      <sheetName val="SITE OVERHEADS"/>
      <sheetName val="HV_SWITCHGEAR1"/>
      <sheetName val="Detailed_Summary_(5)1"/>
      <sheetName val="Sheet3_(2)1"/>
      <sheetName val="Civil_Boq"/>
      <sheetName val="Data_sheet"/>
      <sheetName val="Mat_-Rates1"/>
      <sheetName val="schedule_nos1"/>
      <sheetName val="beam-reinft-IIInd_floor1"/>
      <sheetName val="Channel_Contribution_Analysis1"/>
      <sheetName val="Structure_Bills_Qty1"/>
      <sheetName val="BS,_PL,_SCH_961"/>
      <sheetName val="INPUT_SHEET1"/>
      <sheetName val="SP_Break_Up"/>
      <sheetName val="Budget_CF_-_Overall"/>
      <sheetName val="Cash_Flow"/>
      <sheetName val="Final_Bill_of_Material"/>
      <sheetName val="Project_Budget_Worksheet"/>
      <sheetName val="Beams_"/>
      <sheetName val="labour_coeff"/>
      <sheetName val="S1BOQ_P_8~P_21"/>
      <sheetName val="A(Rev_3)"/>
      <sheetName val="G_1-AV_SYSTEM"/>
      <sheetName val="7_Other_Costs"/>
      <sheetName val="IO_LIST"/>
      <sheetName val="lc_11"/>
      <sheetName val="lc_21"/>
      <sheetName val="costing_sheet"/>
      <sheetName val="Oustanding_Balances"/>
      <sheetName val="MASTER_-_MARCH"/>
      <sheetName val="Branch_Power"/>
      <sheetName val="1_1_-_Capital"/>
      <sheetName val="Basic_Rate"/>
      <sheetName val="Base_data_Security_Procedures"/>
      <sheetName val="Lookup_data"/>
      <sheetName val="10__&amp;_11__Rate_Code_&amp;_BQ"/>
      <sheetName val="PRICE_COMP"/>
      <sheetName val="SITE_OVERHEADS"/>
      <sheetName val="13__Steel_-_Ratio"/>
      <sheetName val="cover_page"/>
      <sheetName val="Basement_Budget"/>
      <sheetName val="Pile_cap"/>
      <sheetName val="Legal_Risk_Analysis"/>
      <sheetName val="BOQ_Direct_selling_cost"/>
      <sheetName val="SCHEDULE_(9)"/>
      <sheetName val="TBAL9697_-group_wise__sdpl"/>
      <sheetName val="Driveway_Beams"/>
      <sheetName val="MH(on_site)"/>
      <sheetName val="site_fab&amp;ernstr"/>
      <sheetName val="MN_T_B_"/>
      <sheetName val="BLOCK-A_(MEA_SHEET)"/>
      <sheetName val="Consolidated"/>
      <sheetName val="BalanceSheet"/>
      <sheetName val="PRECAST lightconc-II"/>
      <sheetName val="cubes_M20"/>
      <sheetName val="Occ, Other Rev, Exp, Dispo"/>
      <sheetName val="FLOOR beam design"/>
      <sheetName val="material "/>
      <sheetName val="Brickwork "/>
      <sheetName val="First Floor "/>
      <sheetName val="Name List"/>
      <sheetName val="RCC,Ret__Wall"/>
      <sheetName val="Mat_Cost"/>
      <sheetName val="電気設備表"/>
      <sheetName val="RFP002"/>
      <sheetName val="Civil_Works2"/>
      <sheetName val="LOOSE_FURNITURE2"/>
      <sheetName val="Occ,_Other_Rev,_Exp,_Dispo"/>
      <sheetName val="GM_&amp;_TA"/>
      <sheetName val="PRECAST_lightconc-II"/>
      <sheetName val="Cashflow"/>
      <sheetName val="Leg 1-1"/>
      <sheetName val="PRICING"/>
      <sheetName val="Ra  stair"/>
      <sheetName val="%_prog_figs_-u5_and_total1"/>
      <sheetName val="BOQ_fire_proofing1"/>
      <sheetName val="Lines (1 - 1)"/>
      <sheetName val="B'Sheet"/>
      <sheetName val="Asmp"/>
      <sheetName val="RAJU ASSO"/>
      <sheetName val="Dels"/>
      <sheetName val="Cable-data"/>
      <sheetName val="Detailed Summary (3)"/>
      <sheetName val="Cd"/>
      <sheetName val="Cs"/>
      <sheetName val="CPIPE"/>
      <sheetName val="CPIPE 1"/>
      <sheetName val="Config"/>
      <sheetName val="Break Dw"/>
      <sheetName val="3"/>
      <sheetName val="SOA"/>
      <sheetName val="Podium Areas"/>
      <sheetName val="s"/>
      <sheetName val="area statement"/>
      <sheetName val="Headings"/>
      <sheetName val="CFForecast detail"/>
      <sheetName val="FORM7"/>
      <sheetName val="Main Sheet"/>
      <sheetName val="ESTIMATE"/>
      <sheetName val="Unit cost- Drain-Protection-1 "/>
      <sheetName val="Designs"/>
      <sheetName val="NLD - Assum"/>
      <sheetName val="Detailed_Summary_(5)2"/>
      <sheetName val="Sheet3_(2)2"/>
      <sheetName val="schedule_nos2"/>
      <sheetName val="beam-reinft-IIInd_floor2"/>
      <sheetName val="HV_SWITCHGEAR2"/>
      <sheetName val="Mat_-Rates2"/>
      <sheetName val="Structure_Bills_Qty2"/>
      <sheetName val="Channel_Contribution_Analysis2"/>
      <sheetName val="BS,_PL,_SCH_962"/>
      <sheetName val="INPUT_SHEET2"/>
      <sheetName val="Cash_Flow_Working1"/>
      <sheetName val="Rate_An1"/>
      <sheetName val="Beams_1"/>
      <sheetName val="labour_coeff1"/>
      <sheetName val="_S-DIV02-CONCRETE1"/>
      <sheetName val="M&amp;A_D1"/>
      <sheetName val="M&amp;A_E1"/>
      <sheetName val="M&amp;A_G1"/>
      <sheetName val="G_1-AV_SYSTEM1"/>
      <sheetName val="costing_sheet1"/>
      <sheetName val="Civil_Boq1"/>
      <sheetName val="lc_111"/>
      <sheetName val="lc_211"/>
      <sheetName val="Cash_Flow1"/>
      <sheetName val="Data_sheet1"/>
      <sheetName val="DETAILED__BOQ1"/>
      <sheetName val="S1BOQ_P_8~P_211"/>
      <sheetName val="A(Rev_3)1"/>
      <sheetName val="7_Other_Costs1"/>
      <sheetName val="IO_LIST1"/>
      <sheetName val="Oustanding_Balances1"/>
      <sheetName val="MASTER_-_MARCH1"/>
      <sheetName val="SP_Break_Up1"/>
      <sheetName val="Basic_Rate1"/>
      <sheetName val="Budget_CF_-_Overall1"/>
      <sheetName val="Base_data_Security_Procedures1"/>
      <sheetName val="Project_Budget_Worksheet1"/>
      <sheetName val="Lookup_data1"/>
      <sheetName val="10__&amp;_11__Rate_Code_&amp;_BQ1"/>
      <sheetName val="PRICE_COMP1"/>
      <sheetName val="Branch_Power1"/>
      <sheetName val="TBAL9697_-group_wise__sdpl1"/>
      <sheetName val="Driveway_Beams1"/>
      <sheetName val="MH(on_site)1"/>
      <sheetName val="site_fab&amp;ernstr1"/>
      <sheetName val="Legal_Risk_Analysis1"/>
      <sheetName val="BASIS_-DEC_083"/>
      <sheetName val="Detailed_Summary_(5)3"/>
      <sheetName val="Sheet3_(2)3"/>
      <sheetName val="schedule_nos3"/>
      <sheetName val="beam-reinft-IIInd_floor3"/>
      <sheetName val="Civil_Works3"/>
      <sheetName val="PROJECT_BRIEF(EX_NEW)3"/>
      <sheetName val="HV_SWITCHGEAR3"/>
      <sheetName val="CABLE_DATA3"/>
      <sheetName val="Mat_-Rates3"/>
      <sheetName val="Structure_Bills_Qty3"/>
      <sheetName val="Channel_Contribution_Analysis3"/>
      <sheetName val="BS,_PL,_SCH_963"/>
      <sheetName val="INPUT_SHEET3"/>
      <sheetName val="Cash_Flow_Working2"/>
      <sheetName val="Rate_An2"/>
      <sheetName val="Beams_2"/>
      <sheetName val="labour_coeff2"/>
      <sheetName val="%_prog_figs_-u5_and_total2"/>
      <sheetName val="_S-DIV02-CONCRETE2"/>
      <sheetName val="M&amp;A_D2"/>
      <sheetName val="M&amp;A_E2"/>
      <sheetName val="M&amp;A_G2"/>
      <sheetName val="G_1-AV_SYSTEM2"/>
      <sheetName val="costing_sheet2"/>
      <sheetName val="Civil_Boq2"/>
      <sheetName val="BOQ_fire_proofing2"/>
      <sheetName val="lc_112"/>
      <sheetName val="lc_212"/>
      <sheetName val="Cash_Flow2"/>
      <sheetName val="Data_sheet2"/>
      <sheetName val="DETAILED__BOQ2"/>
      <sheetName val="S1BOQ_P_8~P_212"/>
      <sheetName val="A(Rev_3)2"/>
      <sheetName val="7_Other_Costs2"/>
      <sheetName val="IO_LIST2"/>
      <sheetName val="Oustanding_Balances2"/>
      <sheetName val="MASTER_-_MARCH2"/>
      <sheetName val="SP_Break_Up2"/>
      <sheetName val="Basic_Rate2"/>
      <sheetName val="Budget_CF_-_Overall2"/>
      <sheetName val="Base_data_Security_Procedures2"/>
      <sheetName val="Project_Budget_Worksheet2"/>
      <sheetName val="Lookup_data2"/>
      <sheetName val="10__&amp;_11__Rate_Code_&amp;_BQ2"/>
      <sheetName val="PRICE_COMP2"/>
      <sheetName val="Branch_Power2"/>
      <sheetName val="TBAL9697_-group_wise__sdpl2"/>
      <sheetName val="Driveway_Beams2"/>
      <sheetName val="MH(on_site)2"/>
      <sheetName val="site_fab&amp;ernstr2"/>
      <sheetName val="Legal_Risk_Analysis2"/>
      <sheetName val="BASIS_-DEC_084"/>
      <sheetName val="Detailed_Summary_(5)4"/>
      <sheetName val="Sheet3_(2)4"/>
      <sheetName val="schedule_nos4"/>
      <sheetName val="beam-reinft-IIInd_floor4"/>
      <sheetName val="Civil_Works4"/>
      <sheetName val="PROJECT_BRIEF(EX_NEW)4"/>
      <sheetName val="HV_SWITCHGEAR4"/>
      <sheetName val="CABLE_DATA4"/>
      <sheetName val="Mat_-Rates4"/>
      <sheetName val="Structure_Bills_Qty4"/>
      <sheetName val="Channel_Contribution_Analysis4"/>
      <sheetName val="BS,_PL,_SCH_964"/>
      <sheetName val="INPUT_SHEET4"/>
      <sheetName val="Cash_Flow_Working3"/>
      <sheetName val="Rate_An3"/>
      <sheetName val="Beams_3"/>
      <sheetName val="labour_coeff3"/>
      <sheetName val="%_prog_figs_-u5_and_total3"/>
      <sheetName val="BOQ_Distribution3"/>
      <sheetName val="_S-DIV02-CONCRETE3"/>
      <sheetName val="M&amp;A_D3"/>
      <sheetName val="M&amp;A_E3"/>
      <sheetName val="M&amp;A_G3"/>
      <sheetName val="G_1-AV_SYSTEM3"/>
      <sheetName val="costing_sheet3"/>
      <sheetName val="Civil_Boq3"/>
      <sheetName val="BOQ_fire_proofing3"/>
      <sheetName val="lc_113"/>
      <sheetName val="lc_213"/>
      <sheetName val="LOOSE_FURNITURE3"/>
      <sheetName val="Cash_Flow3"/>
      <sheetName val="Data_sheet3"/>
      <sheetName val="DETAILED__BOQ3"/>
      <sheetName val="S1BOQ_P_8~P_213"/>
      <sheetName val="A(Rev_3)3"/>
      <sheetName val="7_Other_Costs3"/>
      <sheetName val="IO_LIST3"/>
      <sheetName val="Oustanding_Balances3"/>
      <sheetName val="MASTER_-_MARCH3"/>
      <sheetName val="SP_Break_Up3"/>
      <sheetName val="Basic_Rate3"/>
      <sheetName val="Budget_CF_-_Overall3"/>
      <sheetName val="Base_data_Security_Procedures3"/>
      <sheetName val="Project_Budget_Worksheet3"/>
      <sheetName val="Lookup_data3"/>
      <sheetName val="10__&amp;_11__Rate_Code_&amp;_BQ3"/>
      <sheetName val="PRICE_COMP3"/>
      <sheetName val="Branch_Power3"/>
      <sheetName val="TBAL9697_-group_wise__sdpl3"/>
      <sheetName val="Driveway_Beams3"/>
      <sheetName val="MH(on_site)3"/>
      <sheetName val="site_fab&amp;ernstr3"/>
      <sheetName val="Legal_Risk_Analysis3"/>
      <sheetName val="Executive Summary"/>
      <sheetName val="[Labor bills 22.11.06.xls]Sum_2"/>
      <sheetName val="11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6"/>
      <sheetName val="8"/>
      <sheetName val="P&amp;LSum"/>
      <sheetName val="GR.slab-reinft"/>
      <sheetName val="proposallinked"/>
      <sheetName val="Precalculation"/>
      <sheetName val="Balance Sheet"/>
      <sheetName val="pol-60"/>
      <sheetName val="Budget Lines"/>
      <sheetName val="Tender Summary"/>
      <sheetName val="SRC-B3U2"/>
      <sheetName val="Material"/>
      <sheetName val="BOQ-Part1"/>
      <sheetName val="Sheet3"/>
      <sheetName val="232V-010"/>
      <sheetName val="C-1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jobhist"/>
      <sheetName val="#REF"/>
      <sheetName val="Project Inputs"/>
      <sheetName val="Labor_abs-PW8"/>
      <sheetName val="Labor_abs-NMR8"/>
      <sheetName val="Labor_bill_-_Plastering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Hard_Finish8"/>
      <sheetName val="Labor_bill_Water_proofing8"/>
      <sheetName val="Labor_bill_MS_items8"/>
      <sheetName val="Labor_Painting8"/>
      <sheetName val="Staff_Acco_8"/>
      <sheetName val="Labor_bills_22_11_068"/>
      <sheetName val="key_dates7"/>
      <sheetName val="PROJECT_BRIEF7"/>
      <sheetName val="11B_7"/>
      <sheetName val="BQ-Ext__7"/>
      <sheetName val="Bank_Guarantee7"/>
      <sheetName val="AutoOpen_Stub_Data7"/>
      <sheetName val="final_abstract7"/>
      <sheetName val="Basic_Rates7"/>
      <sheetName val="Fin_Sum7"/>
      <sheetName val="BS_Schedules7"/>
      <sheetName val="Break_up_Sheet7"/>
      <sheetName val="Rate_analysis7"/>
      <sheetName val="Blr_hire4"/>
      <sheetName val="Boq_Block_A1"/>
      <sheetName val="Block_02,_Staircace_&amp;_lift_hea1"/>
      <sheetName val="Cashflow_projection"/>
      <sheetName val="4K_-_(6a)_Non_Manual_Breakdown"/>
      <sheetName val="Fill_this_out_first___"/>
      <sheetName val="Builtup_Area"/>
      <sheetName val="MASTER_RATE_ANALYSIS"/>
      <sheetName val="Materials_Cost(PCC)"/>
      <sheetName val="Lease_rents"/>
      <sheetName val="rcc(_sub)"/>
      <sheetName val="Direct cost shed A-2 "/>
      <sheetName val="Supply I&amp;C"/>
      <sheetName val="Category A - No Material"/>
      <sheetName val="Category B - Major Works"/>
      <sheetName val="Category C - Minor Works"/>
      <sheetName val="Old"/>
      <sheetName val="Operating Statistics"/>
      <sheetName val="Financials"/>
      <sheetName val="2.civil-RA"/>
      <sheetName val="Wordsdata"/>
      <sheetName val="SC Cost FEB 03"/>
      <sheetName val="Mat.Cost"/>
      <sheetName val="Detail In Door Stad"/>
      <sheetName val="QS Name"/>
      <sheetName val="Portfolio Summary"/>
      <sheetName val="steam outlet"/>
      <sheetName val="External"/>
      <sheetName val="SUPPLY -Sanitary Fixtures"/>
      <sheetName val="ITEMS FOR CIVIL TENDER"/>
      <sheetName val="Labels"/>
      <sheetName val="Materials Cost"/>
      <sheetName val="strain"/>
      <sheetName val="E &amp; R"/>
      <sheetName val="acevsSp (ABC)"/>
      <sheetName val=" B1"/>
      <sheetName val="INDIGINEOUS ITEMS "/>
      <sheetName val="Cost working - Building T2"/>
      <sheetName val="Inventory Sheet"/>
      <sheetName val="B2_Construction Details"/>
      <sheetName val="INFLUENCES ON GM"/>
      <sheetName val="Rising Main"/>
      <sheetName val="Steel"/>
      <sheetName val="foot-slab reinft"/>
      <sheetName val="beam-reinft-machine rm"/>
      <sheetName val="11-hsd"/>
      <sheetName val="13-septic"/>
      <sheetName val="7-ug"/>
      <sheetName val="2-utility"/>
      <sheetName val="B1"/>
      <sheetName val="Vision Glass cost"/>
      <sheetName val="Set-up cost"/>
      <sheetName val="Basic"/>
      <sheetName val="Inc.St.-Link"/>
      <sheetName val="Cost_Any."/>
      <sheetName val="A"/>
      <sheetName val="9. Package split - Cost "/>
      <sheetName val="Voucher"/>
      <sheetName val="Price Comparison"/>
      <sheetName val="Rate Ana"/>
      <sheetName val="civil-work"/>
      <sheetName val="Legend"/>
      <sheetName val="OEM "/>
      <sheetName val="Approved MTD Proj #'s"/>
      <sheetName val="Kristal Court"/>
      <sheetName val="ord-lost_98&amp;99"/>
      <sheetName val="A4a"/>
      <sheetName val="Cor Oh"/>
      <sheetName val="11 KV SUPPLY"/>
      <sheetName val="labour rates"/>
      <sheetName val="1,2공구원가계산서"/>
      <sheetName val="2공구산출내역"/>
      <sheetName val="1공구산출내역서"/>
      <sheetName val="S &amp; A"/>
      <sheetName val="Rocker"/>
      <sheetName val="石炭性状"/>
      <sheetName val="6공구(당초)"/>
      <sheetName val="Data.F8.BTR"/>
      <sheetName val="XV10017"/>
      <sheetName val="material_1"/>
      <sheetName val="Brickwork_1"/>
      <sheetName val="First_Floor_1"/>
      <sheetName val="material_"/>
      <sheetName val="Brickwork_"/>
      <sheetName val="First_Floor_"/>
      <sheetName val="Summary_Siteworks"/>
      <sheetName val="_Labor bills 22.11.06.xls_Sum_2"/>
      <sheetName val="&quot;S&quot; Curve"/>
      <sheetName val="NEWtrn"/>
      <sheetName val="Trend"/>
      <sheetName val="FAB별"/>
      <sheetName val="13__Steel_-_Ratio1"/>
      <sheetName val="cover_page1"/>
      <sheetName val="Basement_Budget1"/>
      <sheetName val="Cashflow_projection1"/>
      <sheetName val="4K_-_(6a)_Non_Manual_Breakdown1"/>
      <sheetName val="Fill_this_out_first___1"/>
      <sheetName val="Site"/>
      <sheetName val="P1 SUM"/>
      <sheetName val="4.BSDrainage(Manholes)-Optional"/>
      <sheetName val="SubS2"/>
      <sheetName val="LMP"/>
      <sheetName val="eq_data"/>
      <sheetName val="Services_InitialEst_UtilityServ"/>
      <sheetName val="Risk"/>
      <sheetName val="sheeet7"/>
      <sheetName val="rebrand"/>
      <sheetName val="Mp-team 1"/>
      <sheetName val="EEV(Prilim)"/>
      <sheetName val="Labour"/>
      <sheetName val="Plant &amp;  Machinery"/>
      <sheetName val="P&amp;L-BDMC"/>
      <sheetName val="06.02.17"/>
      <sheetName val="Tables"/>
      <sheetName val="Labour &amp; Plant"/>
      <sheetName val="R20_R30_work"/>
      <sheetName val="dlvoid"/>
      <sheetName val="TRIAL BALANCE"/>
      <sheetName val="typ. column"/>
      <sheetName val="trans. column"/>
      <sheetName val="B2. Column"/>
      <sheetName val="Stub Column"/>
      <sheetName val="COST"/>
      <sheetName val="Bracket"/>
      <sheetName val="P"/>
      <sheetName val="SPT vs PHI"/>
      <sheetName val="M-Book for Conc"/>
      <sheetName val="M-Book for FW"/>
      <sheetName val="MERGED CODES &amp; NAMES"/>
      <sheetName val="TYPES"/>
      <sheetName val="MPC"/>
      <sheetName val="organi synthesis lab"/>
      <sheetName val="BALAN1"/>
      <sheetName val="SCHEDULE OF RATES"/>
      <sheetName val="Tool Metrics (1st Dot Proc)"/>
      <sheetName val="Combined Results "/>
      <sheetName val="Xenon(R2)"/>
      <sheetName val="Input &amp; Calculations"/>
      <sheetName val="Values"/>
      <sheetName val="CABLE"/>
      <sheetName val="number"/>
      <sheetName val="1-Pop Proj"/>
      <sheetName val="Bechtel Norms"/>
      <sheetName val="COST DATA 1"/>
      <sheetName val="COST DATA 2"/>
      <sheetName val="Rates Basic"/>
      <sheetName val="Valves"/>
      <sheetName val="MS Rates"/>
      <sheetName val="DSLP"/>
      <sheetName val="COSTPLAN"/>
      <sheetName val="BO-Ref"/>
      <sheetName val="PriceSummary"/>
      <sheetName val="Inter_unit_set_off"/>
      <sheetName val="Ra__stair"/>
      <sheetName val="Lines_(1_-_1)"/>
      <sheetName val="TOEC"/>
      <sheetName val="EPS"/>
      <sheetName val="LET_BAFO"/>
      <sheetName val="Nature AR"/>
      <sheetName val="Pivot Dépense Nature"/>
      <sheetName val="Risk Categories (examples)"/>
      <sheetName val="실행철강하도"/>
      <sheetName val="96.12"/>
      <sheetName val="EAW Final Accounts - 99"/>
      <sheetName val="beam-reinft"/>
      <sheetName val="BP"/>
      <sheetName val="Civil_Works5"/>
      <sheetName val="LOOSE_FURNITURE5"/>
      <sheetName val="Occ,_Other_Rev,_Exp,_Dispo3"/>
      <sheetName val="Occ,_Other_Rev,_Exp,_Dispo1"/>
      <sheetName val="LOOSE_FURNITURE4"/>
      <sheetName val="Occ,_Other_Rev,_Exp,_Dispo2"/>
      <sheetName val="Civil_Works7"/>
      <sheetName val="LOOSE_FURNITURE7"/>
      <sheetName val="BASIS_-DEC_086"/>
      <sheetName val="INPUT_SHEET6"/>
      <sheetName val="Occ,_Other_Rev,_Exp,_Dispo5"/>
      <sheetName val="Detailed_Summary_(5)6"/>
      <sheetName val="Sheet3_(2)6"/>
      <sheetName val="schedule_nos6"/>
      <sheetName val="beam-reinft-IIInd_floor6"/>
      <sheetName val="PROJECT_BRIEF(EX_NEW)5"/>
      <sheetName val="HV_SWITCHGEAR5"/>
      <sheetName val="CABLE_DATA5"/>
      <sheetName val="Mat_-Rates5"/>
      <sheetName val="Structure_Bills_Qty5"/>
      <sheetName val="BS,_PL,_SCH_965"/>
      <sheetName val="Channel_Contribution_Analysis5"/>
      <sheetName val="%_prog_figs_-u5_and_total5"/>
      <sheetName val="BOQ_Distribution5"/>
      <sheetName val="Cash_Flow_Working5"/>
      <sheetName val="Rate_An5"/>
      <sheetName val="_S-DIV02-CONCRETE5"/>
      <sheetName val="M&amp;A_D5"/>
      <sheetName val="M&amp;A_E5"/>
      <sheetName val="M&amp;A_G5"/>
      <sheetName val="Civil_Boq5"/>
      <sheetName val="Cash_Flow5"/>
      <sheetName val="BOQ_fire_proofing5"/>
      <sheetName val="Data_sheet5"/>
      <sheetName val="DETAILED__BOQ5"/>
      <sheetName val="labour_coeff5"/>
      <sheetName val="S1BOQ_P_8~P_215"/>
      <sheetName val="A(Rev_3)5"/>
      <sheetName val="Beams_5"/>
      <sheetName val="Blr_hire5"/>
      <sheetName val="7_Other_Costs5"/>
      <sheetName val="IO_LIST5"/>
      <sheetName val="G_1-AV_SYSTEM5"/>
      <sheetName val="lc_115"/>
      <sheetName val="lc_215"/>
      <sheetName val="costing_sheet5"/>
      <sheetName val="Oustanding_Balances5"/>
      <sheetName val="MASTER_-_MARCH5"/>
      <sheetName val="Civil_Works6"/>
      <sheetName val="LOOSE_FURNITURE6"/>
      <sheetName val="BASIS_-DEC_085"/>
      <sheetName val="INPUT_SHEET5"/>
      <sheetName val="Occ,_Other_Rev,_Exp,_Dispo4"/>
      <sheetName val="Detailed_Summary_(5)5"/>
      <sheetName val="Sheet3_(2)5"/>
      <sheetName val="schedule_nos5"/>
      <sheetName val="beam-reinft-IIInd_floor5"/>
      <sheetName val="%_prog_figs_-u5_and_total4"/>
      <sheetName val="BOQ_Distribution4"/>
      <sheetName val="Cash_Flow_Working4"/>
      <sheetName val="Rate_An4"/>
      <sheetName val="_S-DIV02-CONCRETE4"/>
      <sheetName val="M&amp;A_D4"/>
      <sheetName val="M&amp;A_E4"/>
      <sheetName val="M&amp;A_G4"/>
      <sheetName val="Civil_Boq4"/>
      <sheetName val="Cash_Flow4"/>
      <sheetName val="BOQ_fire_proofing4"/>
      <sheetName val="Data_sheet4"/>
      <sheetName val="DETAILED__BOQ4"/>
      <sheetName val="labour_coeff4"/>
      <sheetName val="S1BOQ_P_8~P_214"/>
      <sheetName val="A(Rev_3)4"/>
      <sheetName val="Beams_4"/>
      <sheetName val="7_Other_Costs4"/>
      <sheetName val="IO_LIST4"/>
      <sheetName val="G_1-AV_SYSTEM4"/>
      <sheetName val="lc_114"/>
      <sheetName val="lc_214"/>
      <sheetName val="costing_sheet4"/>
      <sheetName val="Oustanding_Balances4"/>
      <sheetName val="MASTER_-_MARCH4"/>
      <sheetName val="Labor_abs-PW9"/>
      <sheetName val="Labor_abs-NMR9"/>
      <sheetName val="Labor_bill_-_Plastering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Hard_Finish9"/>
      <sheetName val="Labor_bill_Water_proofing9"/>
      <sheetName val="Labor_bill_MS_items9"/>
      <sheetName val="Labor_Painting9"/>
      <sheetName val="Staff_Acco_9"/>
      <sheetName val="Civil_Works8"/>
      <sheetName val="key_dates8"/>
      <sheetName val="11B_8"/>
      <sheetName val="final_abstract8"/>
      <sheetName val="LOOSE_FURNITURE8"/>
      <sheetName val="BASIS_-DEC_087"/>
      <sheetName val="INPUT_SHEET7"/>
      <sheetName val="Occ,_Other_Rev,_Exp,_Dispo6"/>
      <sheetName val="Detailed_Summary_(5)7"/>
      <sheetName val="Sheet3_(2)7"/>
      <sheetName val="schedule_nos7"/>
      <sheetName val="beam-reinft-IIInd_floor7"/>
      <sheetName val="PROJECT_BRIEF(EX_NEW)6"/>
      <sheetName val="HV_SWITCHGEAR6"/>
      <sheetName val="CABLE_DATA6"/>
      <sheetName val="Mat_-Rates6"/>
      <sheetName val="Structure_Bills_Qty6"/>
      <sheetName val="BS,_PL,_SCH_966"/>
      <sheetName val="Channel_Contribution_Analysis6"/>
      <sheetName val="%_prog_figs_-u5_and_total6"/>
      <sheetName val="BOQ_Distribution6"/>
      <sheetName val="Cash_Flow_Working6"/>
      <sheetName val="Rate_An6"/>
      <sheetName val="_S-DIV02-CONCRETE6"/>
      <sheetName val="M&amp;A_D6"/>
      <sheetName val="M&amp;A_E6"/>
      <sheetName val="M&amp;A_G6"/>
      <sheetName val="Civil_Boq6"/>
      <sheetName val="Cash_Flow6"/>
      <sheetName val="BOQ_fire_proofing6"/>
      <sheetName val="Data_sheet6"/>
      <sheetName val="DETAILED__BOQ6"/>
      <sheetName val="labour_coeff6"/>
      <sheetName val="S1BOQ_P_8~P_216"/>
      <sheetName val="A(Rev_3)6"/>
      <sheetName val="Beams_6"/>
      <sheetName val="Blr_hire6"/>
      <sheetName val="7_Other_Costs6"/>
      <sheetName val="IO_LIST6"/>
      <sheetName val="G_1-AV_SYSTEM6"/>
      <sheetName val="lc_116"/>
      <sheetName val="lc_216"/>
      <sheetName val="costing_sheet6"/>
      <sheetName val="Oustanding_Balances6"/>
      <sheetName val="MASTER_-_MARCH6"/>
      <sheetName val="Labor_abs-PW10"/>
      <sheetName val="Labor_abs-NMR10"/>
      <sheetName val="Labor_bill_-_Plastering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Hard_Finish10"/>
      <sheetName val="Labor_bill_Water_proofing10"/>
      <sheetName val="Labor_bill_MS_items10"/>
      <sheetName val="Labor_Painting10"/>
      <sheetName val="Staff_Acco_10"/>
      <sheetName val="Civil_Works9"/>
      <sheetName val="key_dates9"/>
      <sheetName val="11B_9"/>
      <sheetName val="Labor_bills_22_11_069"/>
      <sheetName val="final_abstract9"/>
      <sheetName val="Rate_analysis8"/>
      <sheetName val="LOOSE_FURNITURE9"/>
      <sheetName val="BASIS_-DEC_088"/>
      <sheetName val="AutoOpen_Stub_Data8"/>
      <sheetName val="Fin_Sum8"/>
      <sheetName val="INPUT_SHEET8"/>
      <sheetName val="Occ,_Other_Rev,_Exp,_Dispo7"/>
      <sheetName val="PROJECT_BRIEF8"/>
      <sheetName val="BQ-Ext__8"/>
      <sheetName val="Detailed_Summary_(5)8"/>
      <sheetName val="Sheet3_(2)8"/>
      <sheetName val="schedule_nos8"/>
      <sheetName val="beam-reinft-IIInd_floor8"/>
      <sheetName val="PROJECT_BRIEF(EX_NEW)7"/>
      <sheetName val="HV_SWITCHGEAR7"/>
      <sheetName val="CABLE_DATA7"/>
      <sheetName val="Mat_-Rates7"/>
      <sheetName val="Structure_Bills_Qty7"/>
      <sheetName val="BS,_PL,_SCH_967"/>
      <sheetName val="Channel_Contribution_Analysis7"/>
      <sheetName val="%_prog_figs_-u5_and_total7"/>
      <sheetName val="BOQ_Distribution7"/>
      <sheetName val="Cash_Flow_Working7"/>
      <sheetName val="Rate_An7"/>
      <sheetName val="_S-DIV02-CONCRETE7"/>
      <sheetName val="M&amp;A_D7"/>
      <sheetName val="M&amp;A_E7"/>
      <sheetName val="M&amp;A_G7"/>
      <sheetName val="Civil_Boq7"/>
      <sheetName val="Cash_Flow7"/>
      <sheetName val="BOQ_fire_proofing7"/>
      <sheetName val="Data_sheet7"/>
      <sheetName val="DETAILED__BOQ7"/>
      <sheetName val="labour_coeff7"/>
      <sheetName val="S1BOQ_P_8~P_217"/>
      <sheetName val="A(Rev_3)7"/>
      <sheetName val="Beams_7"/>
      <sheetName val="Blr_hire7"/>
      <sheetName val="7_Other_Costs7"/>
      <sheetName val="IO_LIST7"/>
      <sheetName val="G_1-AV_SYSTEM7"/>
      <sheetName val="lc_117"/>
      <sheetName val="lc_217"/>
      <sheetName val="costing_sheet7"/>
      <sheetName val="Oustanding_Balances7"/>
      <sheetName val="MASTER_-_MARCH7"/>
      <sheetName val="Labor_abs-PW11"/>
      <sheetName val="Labor_abs-NMR11"/>
      <sheetName val="Labor_bill_-_Plastering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Hard_Finish11"/>
      <sheetName val="Labor_bill_Water_proofing11"/>
      <sheetName val="Labor_bill_MS_items11"/>
      <sheetName val="Labor_Painting11"/>
      <sheetName val="Staff_Acco_11"/>
      <sheetName val="Civil_Works10"/>
      <sheetName val="key_dates10"/>
      <sheetName val="11B_10"/>
      <sheetName val="Labor_bills_22_11_0610"/>
      <sheetName val="final_abstract10"/>
      <sheetName val="Rate_analysis9"/>
      <sheetName val="LOOSE_FURNITURE10"/>
      <sheetName val="BASIS_-DEC_089"/>
      <sheetName val="AutoOpen_Stub_Data9"/>
      <sheetName val="Bank_Guarantee8"/>
      <sheetName val="Fin_Sum9"/>
      <sheetName val="INPUT_SHEET9"/>
      <sheetName val="Occ,_Other_Rev,_Exp,_Dispo8"/>
      <sheetName val="PROJECT_BRIEF9"/>
      <sheetName val="BQ-Ext__9"/>
      <sheetName val="Detailed_Summary_(5)9"/>
      <sheetName val="Sheet3_(2)9"/>
      <sheetName val="schedule_nos9"/>
      <sheetName val="beam-reinft-IIInd_floor9"/>
      <sheetName val="PROJECT_BRIEF(EX_NEW)8"/>
      <sheetName val="HV_SWITCHGEAR8"/>
      <sheetName val="CABLE_DATA8"/>
      <sheetName val="Mat_-Rates8"/>
      <sheetName val="Basic_Rates8"/>
      <sheetName val="Break_up_Sheet8"/>
      <sheetName val="Structure_Bills_Qty8"/>
      <sheetName val="BS,_PL,_SCH_968"/>
      <sheetName val="Channel_Contribution_Analysis8"/>
      <sheetName val="%_prog_figs_-u5_and_total8"/>
      <sheetName val="BOQ_Distribution8"/>
      <sheetName val="Cash_Flow_Working8"/>
      <sheetName val="Rate_An8"/>
      <sheetName val="_S-DIV02-CONCRETE8"/>
      <sheetName val="M&amp;A_D8"/>
      <sheetName val="M&amp;A_E8"/>
      <sheetName val="M&amp;A_G8"/>
      <sheetName val="Civil_Boq8"/>
      <sheetName val="Cash_Flow8"/>
      <sheetName val="BOQ_fire_proofing8"/>
      <sheetName val="Data_sheet8"/>
      <sheetName val="DETAILED__BOQ8"/>
      <sheetName val="labour_coeff8"/>
      <sheetName val="S1BOQ_P_8~P_218"/>
      <sheetName val="A(Rev_3)8"/>
      <sheetName val="Beams_8"/>
      <sheetName val="BS_Schedules8"/>
      <sheetName val="Blr_hire8"/>
      <sheetName val="7_Other_Costs8"/>
      <sheetName val="IO_LIST8"/>
      <sheetName val="G_1-AV_SYSTEM8"/>
      <sheetName val="lc_118"/>
      <sheetName val="lc_218"/>
      <sheetName val="costing_sheet8"/>
      <sheetName val="Oustanding_Balances8"/>
      <sheetName val="MASTER_-_MARCH8"/>
      <sheetName val="Labor_abs-PW12"/>
      <sheetName val="Labor_abs-NMR12"/>
      <sheetName val="Labor_bill_-_Plastering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Hard_Finish12"/>
      <sheetName val="Labor_bill_Water_proofing12"/>
      <sheetName val="Labor_bill_MS_items12"/>
      <sheetName val="Labor_Painting12"/>
      <sheetName val="Staff_Acco_12"/>
      <sheetName val="Civil_Works11"/>
      <sheetName val="key_dates11"/>
      <sheetName val="11B_11"/>
      <sheetName val="Labor_bills_22_11_0611"/>
      <sheetName val="final_abstract11"/>
      <sheetName val="Rate_analysis10"/>
      <sheetName val="LOOSE_FURNITURE11"/>
      <sheetName val="BASIS_-DEC_0810"/>
      <sheetName val="AutoOpen_Stub_Data10"/>
      <sheetName val="Bank_Guarantee9"/>
      <sheetName val="Fin_Sum10"/>
      <sheetName val="INPUT_SHEET10"/>
      <sheetName val="Occ,_Other_Rev,_Exp,_Dispo9"/>
      <sheetName val="PROJECT_BRIEF10"/>
      <sheetName val="BQ-Ext__10"/>
      <sheetName val="Detailed_Summary_(5)10"/>
      <sheetName val="Sheet3_(2)10"/>
      <sheetName val="schedule_nos10"/>
      <sheetName val="beam-reinft-IIInd_floor10"/>
      <sheetName val="PROJECT_BRIEF(EX_NEW)9"/>
      <sheetName val="HV_SWITCHGEAR9"/>
      <sheetName val="CABLE_DATA9"/>
      <sheetName val="Mat_-Rates9"/>
      <sheetName val="Basic_Rates9"/>
      <sheetName val="Break_up_Sheet9"/>
      <sheetName val="Structure_Bills_Qty9"/>
      <sheetName val="BS,_PL,_SCH_969"/>
      <sheetName val="Channel_Contribution_Analysis9"/>
      <sheetName val="%_prog_figs_-u5_and_total9"/>
      <sheetName val="BOQ_Distribution9"/>
      <sheetName val="Cash_Flow_Working9"/>
      <sheetName val="Rate_An9"/>
      <sheetName val="_S-DIV02-CONCRETE9"/>
      <sheetName val="M&amp;A_D9"/>
      <sheetName val="M&amp;A_E9"/>
      <sheetName val="M&amp;A_G9"/>
      <sheetName val="Civil_Boq9"/>
      <sheetName val="Cash_Flow9"/>
      <sheetName val="BOQ_fire_proofing9"/>
      <sheetName val="Data_sheet9"/>
      <sheetName val="DETAILED__BOQ9"/>
      <sheetName val="labour_coeff9"/>
      <sheetName val="S1BOQ_P_8~P_219"/>
      <sheetName val="A(Rev_3)9"/>
      <sheetName val="Beams_9"/>
      <sheetName val="BS_Schedules9"/>
      <sheetName val="Blr_hire9"/>
      <sheetName val="7_Other_Costs9"/>
      <sheetName val="IO_LIST9"/>
      <sheetName val="G_1-AV_SYSTEM9"/>
      <sheetName val="lc_119"/>
      <sheetName val="lc_219"/>
      <sheetName val="costing_sheet9"/>
      <sheetName val="Oustanding_Balances9"/>
      <sheetName val="MASTER_-_MARCH9"/>
      <sheetName val="Labor_abs-PW13"/>
      <sheetName val="Labor_abs-NMR13"/>
      <sheetName val="Labor_bill_-_Plastering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Hard_Finish13"/>
      <sheetName val="Labor_bill_Water_proofing13"/>
      <sheetName val="Labor_bill_MS_items13"/>
      <sheetName val="Labor_Painting13"/>
      <sheetName val="Staff_Acco_13"/>
      <sheetName val="Civil_Works12"/>
      <sheetName val="key_dates12"/>
      <sheetName val="11B_12"/>
      <sheetName val="Labor_bills_22_11_0612"/>
      <sheetName val="final_abstract12"/>
      <sheetName val="Rate_analysis11"/>
      <sheetName val="LOOSE_FURNITURE12"/>
      <sheetName val="BASIS_-DEC_0811"/>
      <sheetName val="AutoOpen_Stub_Data11"/>
      <sheetName val="Bank_Guarantee10"/>
      <sheetName val="Fin_Sum11"/>
      <sheetName val="INPUT_SHEET11"/>
      <sheetName val="Occ,_Other_Rev,_Exp,_Dispo10"/>
      <sheetName val="PROJECT_BRIEF11"/>
      <sheetName val="BQ-Ext__11"/>
      <sheetName val="Detailed_Summary_(5)11"/>
      <sheetName val="Sheet3_(2)11"/>
      <sheetName val="schedule_nos11"/>
      <sheetName val="beam-reinft-IIInd_floor11"/>
      <sheetName val="PROJECT_BRIEF(EX_NEW)10"/>
      <sheetName val="HV_SWITCHGEAR10"/>
      <sheetName val="CABLE_DATA10"/>
      <sheetName val="Mat_-Rates10"/>
      <sheetName val="Basic_Rates10"/>
      <sheetName val="Break_up_Sheet10"/>
      <sheetName val="Structure_Bills_Qty10"/>
      <sheetName val="BS,_PL,_SCH_9610"/>
      <sheetName val="Channel_Contribution_Analysis10"/>
      <sheetName val="%_prog_figs_-u5_and_total10"/>
      <sheetName val="BOQ_Distribution10"/>
      <sheetName val="Cash_Flow_Working10"/>
      <sheetName val="Rate_An10"/>
      <sheetName val="_S-DIV02-CONCRETE10"/>
      <sheetName val="M&amp;A_D10"/>
      <sheetName val="M&amp;A_E10"/>
      <sheetName val="M&amp;A_G10"/>
      <sheetName val="Civil_Boq10"/>
      <sheetName val="Cash_Flow10"/>
      <sheetName val="BOQ_fire_proofing10"/>
      <sheetName val="Data_sheet10"/>
      <sheetName val="DETAILED__BOQ10"/>
      <sheetName val="labour_coeff10"/>
      <sheetName val="S1BOQ_P_8~P_2110"/>
      <sheetName val="A(Rev_3)10"/>
      <sheetName val="Beams_10"/>
      <sheetName val="BS_Schedules10"/>
      <sheetName val="Blr_hire10"/>
      <sheetName val="7_Other_Costs10"/>
      <sheetName val="IO_LIST10"/>
      <sheetName val="G_1-AV_SYSTEM10"/>
      <sheetName val="lc_1110"/>
      <sheetName val="lc_2110"/>
      <sheetName val="costing_sheet10"/>
      <sheetName val="Oustanding_Balances10"/>
      <sheetName val="MASTER_-_MARCH10"/>
      <sheetName val="Labor_abs-PW14"/>
      <sheetName val="Labor_abs-NMR14"/>
      <sheetName val="Labor_bill_-_Plastering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Hard_Finish14"/>
      <sheetName val="Labor_bill_Water_proofing14"/>
      <sheetName val="Labor_bill_MS_items14"/>
      <sheetName val="Labor_Painting14"/>
      <sheetName val="Staff_Acco_14"/>
      <sheetName val="Civil_Works13"/>
      <sheetName val="key_dates13"/>
      <sheetName val="11B_13"/>
      <sheetName val="Labor_bills_22_11_0613"/>
      <sheetName val="final_abstract13"/>
      <sheetName val="Rate_analysis12"/>
      <sheetName val="LOOSE_FURNITURE13"/>
      <sheetName val="BASIS_-DEC_0812"/>
      <sheetName val="AutoOpen_Stub_Data12"/>
      <sheetName val="Bank_Guarantee11"/>
      <sheetName val="Fin_Sum12"/>
      <sheetName val="INPUT_SHEET12"/>
      <sheetName val="Occ,_Other_Rev,_Exp,_Dispo11"/>
      <sheetName val="PROJECT_BRIEF12"/>
      <sheetName val="BQ-Ext__12"/>
      <sheetName val="Detailed_Summary_(5)12"/>
      <sheetName val="Sheet3_(2)12"/>
      <sheetName val="schedule_nos12"/>
      <sheetName val="beam-reinft-IIInd_floor12"/>
      <sheetName val="PROJECT_BRIEF(EX_NEW)11"/>
      <sheetName val="HV_SWITCHGEAR11"/>
      <sheetName val="CABLE_DATA11"/>
      <sheetName val="Mat_-Rates11"/>
      <sheetName val="Basic_Rates11"/>
      <sheetName val="Break_up_Sheet11"/>
      <sheetName val="Structure_Bills_Qty11"/>
      <sheetName val="BS,_PL,_SCH_9611"/>
      <sheetName val="Channel_Contribution_Analysis11"/>
      <sheetName val="%_prog_figs_-u5_and_total11"/>
      <sheetName val="BOQ_Distribution11"/>
      <sheetName val="Cash_Flow_Working11"/>
      <sheetName val="Rate_An11"/>
      <sheetName val="_S-DIV02-CONCRETE11"/>
      <sheetName val="M&amp;A_D11"/>
      <sheetName val="M&amp;A_E11"/>
      <sheetName val="M&amp;A_G11"/>
      <sheetName val="Civil_Boq11"/>
      <sheetName val="Cash_Flow11"/>
      <sheetName val="BOQ_fire_proofing11"/>
      <sheetName val="Data_sheet11"/>
      <sheetName val="DETAILED__BOQ11"/>
      <sheetName val="labour_coeff11"/>
      <sheetName val="S1BOQ_P_8~P_2111"/>
      <sheetName val="A(Rev_3)11"/>
      <sheetName val="Beams_11"/>
      <sheetName val="BS_Schedules11"/>
      <sheetName val="Blr_hire11"/>
      <sheetName val="7_Other_Costs11"/>
      <sheetName val="IO_LIST11"/>
      <sheetName val="G_1-AV_SYSTEM11"/>
      <sheetName val="lc_1111"/>
      <sheetName val="lc_2111"/>
      <sheetName val="costing_sheet11"/>
      <sheetName val="Oustanding_Balances11"/>
      <sheetName val="MASTER_-_MARCH11"/>
      <sheetName val="Controls"/>
      <sheetName val="Area Ananlysis(v1)"/>
      <sheetName val="KQ_Cost_Controlling"/>
      <sheetName val="KQ_Appropriation"/>
      <sheetName val="CANDY BOQ"/>
      <sheetName val="Variables_x"/>
      <sheetName val="sch_7-19"/>
      <sheetName val="OST_DATA"/>
      <sheetName val="LOCAL RATES"/>
      <sheetName val="cost Sft"/>
      <sheetName val="Cal"/>
      <sheetName val="loadcal"/>
      <sheetName val="Labour productivity"/>
      <sheetName val="cul-invSUBMITTED"/>
      <sheetName val="01"/>
      <sheetName val="Detail"/>
      <sheetName val="Basic Resources"/>
      <sheetName val="Core Data"/>
      <sheetName val="Itemised"/>
      <sheetName val="sum-all"/>
      <sheetName val="SUB_CONTRACT"/>
      <sheetName val="B2.B_Site "/>
      <sheetName val="Dropdowns"/>
      <sheetName val="FITZ MORT 94"/>
      <sheetName val="입찰내역 발주처 양식"/>
      <sheetName val="3. Elemental Summary"/>
      <sheetName val="8. Cover"/>
      <sheetName val="집계표(OPTION)"/>
      <sheetName val="top sheet CORRE"/>
      <sheetName val="GENERAL2"/>
      <sheetName val="FY15-16"/>
      <sheetName val="ICO_budzet_97"/>
      <sheetName val="Service Function"/>
      <sheetName val="Balance Sheet "/>
      <sheetName val="sc"/>
      <sheetName val="Sales_and_Deposits"/>
      <sheetName val="EATON_SUMMARY1"/>
      <sheetName val="EATON_SUMMARY2"/>
      <sheetName val="EATON_SUMMARY3"/>
      <sheetName val="Executive_Summary"/>
      <sheetName val="EATON_SUMMARY4"/>
      <sheetName val="CL_MEP_-VOL_31"/>
      <sheetName val="Site_Expenses2"/>
      <sheetName val="Summary_Transformers1"/>
      <sheetName val="Raw_Data1"/>
      <sheetName val="Ra__stair1"/>
      <sheetName val="Day_work1"/>
      <sheetName val="Executive_Summary1"/>
      <sheetName val="P1_SUM"/>
      <sheetName val="DATI_CONS"/>
      <sheetName val="EATON_SUMMARY5"/>
      <sheetName val="SHORT_LIST3"/>
      <sheetName val="NR-PS-CL_P1-MEP-00003"/>
      <sheetName val="Design_Devmt3"/>
      <sheetName val="tender_allowances3"/>
      <sheetName val="CL_MEP_-VOL_32"/>
      <sheetName val="Unit Cost"/>
      <sheetName val="Storage Units"/>
      <sheetName val="Bill No. 3 POT MAINT(Deliv)"/>
      <sheetName val="총괄표 (2)"/>
      <sheetName val="[Labor bills 22.11.06.xls]Sum_7"/>
      <sheetName val="[Labor bills 22.11.06.xls]Sum_5"/>
      <sheetName val="[Labor bills 22.11.06.xls]Sum_3"/>
      <sheetName val="[Labor bills 22.11.06.xls]Sum_4"/>
      <sheetName val="[Labor bills 22.11.06.xls]Sum_6"/>
      <sheetName val="bs BP 04 SA"/>
      <sheetName val="REVENUES &amp; BS"/>
      <sheetName val="Ward areas"/>
      <sheetName val="DET0900"/>
      <sheetName val="Rates"/>
      <sheetName val="Master01"/>
      <sheetName val="All"/>
      <sheetName val="CONTRACTS AND RENEWALS"/>
      <sheetName val="Summary_year_Plan"/>
      <sheetName val="Sch_1-11"/>
      <sheetName val="Details for Charts"/>
      <sheetName val="RO Summary"/>
      <sheetName val="Setup Variables"/>
      <sheetName val="Road - Kerb stone"/>
      <sheetName val="ELEC_BOQ"/>
      <sheetName val="Cades - Gratuity pending"/>
      <sheetName val="Instructions-Defaults"/>
      <sheetName val="Reference Information"/>
      <sheetName val="Employee List"/>
      <sheetName val="HEAD"/>
      <sheetName val="Sales Office"/>
      <sheetName val="GBW"/>
      <sheetName val="d-safe DELUXE"/>
      <sheetName val="2nd "/>
      <sheetName val="Boq_Block_A4"/>
      <sheetName val="Field_Values5"/>
      <sheetName val="PR_Standards_Technopark5"/>
      <sheetName val="Block_02,_Staircace_&amp;_lift_hea4"/>
      <sheetName val="SP_Break_Up6"/>
      <sheetName val="Budget_CF_-_Overall6"/>
      <sheetName val="Project_Budget_Worksheet6"/>
      <sheetName val="Lookup_data6"/>
      <sheetName val="10__&amp;_11__Rate_Code_&amp;_BQ6"/>
      <sheetName val="Base_data_Security_Procedures6"/>
      <sheetName val="PRICE_COMP6"/>
      <sheetName val="13__Steel_-_Ratio4"/>
      <sheetName val="cover_page4"/>
      <sheetName val="Basement_Budget4"/>
      <sheetName val="Cashflow_projection4"/>
      <sheetName val="4K_-_(6a)_Non_Manual_Breakdown4"/>
      <sheetName val="Fill_this_out_first___4"/>
      <sheetName val="Builtup_Area3"/>
      <sheetName val="Basic_Rate6"/>
      <sheetName val="MASTER_RATE_ANALYSIS3"/>
      <sheetName val="Materials_Cost(PCC)3"/>
      <sheetName val="Lease_rents3"/>
      <sheetName val="rcc(_sub)3"/>
      <sheetName val="SHORT_LIST5"/>
      <sheetName val="NR-PS-CL_P1-MEP-00005"/>
      <sheetName val="Design_Devmt5"/>
      <sheetName val="tender_allowances5"/>
      <sheetName val="Site_Expenses4"/>
      <sheetName val="CL_MEP_-VOL_33"/>
      <sheetName val="Master_Equipment_List3"/>
      <sheetName val="Day_work3"/>
      <sheetName val="Raw_Data3"/>
      <sheetName val="Summary_Transformers3"/>
      <sheetName val="Inter_unit_set_off2"/>
      <sheetName val="P_Distribution__Detail2"/>
      <sheetName val="Sch_1-112"/>
      <sheetName val="Summary_year_Plan2"/>
      <sheetName val="pukhraj_(HUF)2"/>
      <sheetName val="Legal_Risk_Analysis6"/>
      <sheetName val="Final_Bill_of_Material3"/>
      <sheetName val="Pile_cap3"/>
      <sheetName val="BOQ_Direct_selling_cost3"/>
      <sheetName val="KQ_Cost_Controlling2"/>
      <sheetName val="KQ_Appropriation2"/>
      <sheetName val="SCHEDULE_(9)3"/>
      <sheetName val="MH(on_site)6"/>
      <sheetName val="site_fab&amp;ernstr6"/>
      <sheetName val="RCC,Ret__Wall3"/>
      <sheetName val="Branch_Power6"/>
      <sheetName val="_2"/>
      <sheetName val="TBAL9697_-group_wise__sdpl6"/>
      <sheetName val="Driveway_Beams6"/>
      <sheetName val="1_1_-_Capital3"/>
      <sheetName val="GM_&amp;_TA3"/>
      <sheetName val="Job_Data2"/>
      <sheetName val="Model_(Not_Merged)2"/>
      <sheetName val="Cost_summary2"/>
      <sheetName val="two_way-12"/>
      <sheetName val="MN_T_B_3"/>
      <sheetName val="BLOCK-A_(MEA_SHEET)3"/>
      <sheetName val="SITE_OVERHEADS3"/>
      <sheetName val="PRECAST_lightconc-II3"/>
      <sheetName val="FLOOR_beam_design2"/>
      <sheetName val="material_4"/>
      <sheetName val="Brickwork_4"/>
      <sheetName val="First_Floor_4"/>
      <sheetName val="Name_List2"/>
      <sheetName val="Leg_1-12"/>
      <sheetName val="Ra__stair2"/>
      <sheetName val="Lines_(1_-_1)2"/>
      <sheetName val="RAJU_ASSO2"/>
      <sheetName val="Detailed_Summary_(3)2"/>
      <sheetName val="CPIPE_12"/>
      <sheetName val="Break_Dw2"/>
      <sheetName val="Podium_Areas2"/>
      <sheetName val="area_statement2"/>
      <sheetName val="CFForecast_detail2"/>
      <sheetName val="Main_Sheet2"/>
      <sheetName val="Unit_cost-_Drain-Protection-1_2"/>
      <sheetName val="NLD_-_Assum2"/>
      <sheetName val="Executive_Summary2"/>
      <sheetName val="[Labor_bills_22_11_06_xls]Sum_3"/>
      <sheetName val="GR_slab-reinft2"/>
      <sheetName val="Balance_Sheet2"/>
      <sheetName val="Budget_Lines2"/>
      <sheetName val="Tender_Summary2"/>
      <sheetName val="Project_Inputs2"/>
      <sheetName val="Direct_cost_shed_A-2_2"/>
      <sheetName val="Supply_I&amp;C2"/>
      <sheetName val="Category_A_-_No_Material2"/>
      <sheetName val="Category_B_-_Major_Works2"/>
      <sheetName val="Category_C_-_Minor_Works2"/>
      <sheetName val="Operating_Statistics2"/>
      <sheetName val="2_civil-RA2"/>
      <sheetName val="SC_Cost_FEB_032"/>
      <sheetName val="Mat_Cost3"/>
      <sheetName val="Detail_In_Door_Stad2"/>
      <sheetName val="QS_Name2"/>
      <sheetName val="Portfolio_Summary2"/>
      <sheetName val="steam_outlet2"/>
      <sheetName val="SUPPLY_-Sanitary_Fixtures2"/>
      <sheetName val="ITEMS_FOR_CIVIL_TENDER2"/>
      <sheetName val="Materials_Cost2"/>
      <sheetName val="E_&amp;_R2"/>
      <sheetName val="acevsSp_(ABC)2"/>
      <sheetName val="_B12"/>
      <sheetName val="INDIGINEOUS_ITEMS_2"/>
      <sheetName val="Cost_working_-_Building_T22"/>
      <sheetName val="Inventory_Sheet2"/>
      <sheetName val="B2_Construction_Details2"/>
      <sheetName val="INFLUENCES_ON_GM2"/>
      <sheetName val="Rising_Main2"/>
      <sheetName val="foot-slab_reinft2"/>
      <sheetName val="beam-reinft-machine_rm2"/>
      <sheetName val="Vision_Glass_cost2"/>
      <sheetName val="Set-up_cost2"/>
      <sheetName val="Inc_St_-Link2"/>
      <sheetName val="Cost_Any_2"/>
      <sheetName val="9__Package_split_-_Cost_2"/>
      <sheetName val="Price_Comparison2"/>
      <sheetName val="Rate_Ana2"/>
      <sheetName val="OEM_2"/>
      <sheetName val="Approved_MTD_Proj_#'s2"/>
      <sheetName val="Kristal_Court2"/>
      <sheetName val="Cor_Oh2"/>
      <sheetName val="11_KV_SUPPLY2"/>
      <sheetName val="labour_rates2"/>
      <sheetName val="S_&amp;_A2"/>
      <sheetName val="Data_F8_BTR2"/>
      <sheetName val="_Labor_bills_22_11_06_xls_Sum_3"/>
      <sheetName val="&quot;S&quot;_Curve2"/>
      <sheetName val="P1_SUM2"/>
      <sheetName val="4_BSDrainage(Manholes)-Optiona2"/>
      <sheetName val="Mp-team_12"/>
      <sheetName val="Plant_&amp;__Machinery2"/>
      <sheetName val="06_02_172"/>
      <sheetName val="Labour_&amp;_Plant2"/>
      <sheetName val="TRIAL_BALANCE2"/>
      <sheetName val="typ__column2"/>
      <sheetName val="trans__column2"/>
      <sheetName val="B2__Column2"/>
      <sheetName val="Stub_Column2"/>
      <sheetName val="SPT_vs_PHI2"/>
      <sheetName val="M-Book_for_Conc2"/>
      <sheetName val="M-Book_for_FW2"/>
      <sheetName val="MERGED_CODES_&amp;_NAMES2"/>
      <sheetName val="organi_synthesis_lab2"/>
      <sheetName val="SCHEDULE_OF_RATES2"/>
      <sheetName val="Tool_Metrics_(1st_Dot_Proc)2"/>
      <sheetName val="Combined_Results_2"/>
      <sheetName val="Input_&amp;_Calculations2"/>
      <sheetName val="1-Pop_Proj2"/>
      <sheetName val="Bechtel_Norms2"/>
      <sheetName val="COST_DATA_12"/>
      <sheetName val="COST_DATA_22"/>
      <sheetName val="Rates_Basic2"/>
      <sheetName val="MS_Rates2"/>
      <sheetName val="Boq_Block_A3"/>
      <sheetName val="Field_Values4"/>
      <sheetName val="PR_Standards_Technopark4"/>
      <sheetName val="Block_02,_Staircace_&amp;_lift_hea3"/>
      <sheetName val="SP_Break_Up5"/>
      <sheetName val="Budget_CF_-_Overall5"/>
      <sheetName val="Project_Budget_Worksheet5"/>
      <sheetName val="Lookup_data5"/>
      <sheetName val="10__&amp;_11__Rate_Code_&amp;_BQ5"/>
      <sheetName val="Base_data_Security_Procedures5"/>
      <sheetName val="PRICE_COMP5"/>
      <sheetName val="13__Steel_-_Ratio3"/>
      <sheetName val="cover_page3"/>
      <sheetName val="Basement_Budget3"/>
      <sheetName val="Cashflow_projection3"/>
      <sheetName val="4K_-_(6a)_Non_Manual_Breakdown3"/>
      <sheetName val="Fill_this_out_first___3"/>
      <sheetName val="Builtup_Area2"/>
      <sheetName val="Basic_Rate5"/>
      <sheetName val="MASTER_RATE_ANALYSIS2"/>
      <sheetName val="Materials_Cost(PCC)2"/>
      <sheetName val="Lease_rents2"/>
      <sheetName val="rcc(_sub)2"/>
      <sheetName val="SHORT_LIST4"/>
      <sheetName val="NR-PS-CL_P1-MEP-00004"/>
      <sheetName val="Design_Devmt4"/>
      <sheetName val="tender_allowances4"/>
      <sheetName val="Site_Expenses3"/>
      <sheetName val="Master_Equipment_List2"/>
      <sheetName val="Day_work2"/>
      <sheetName val="Raw_Data2"/>
      <sheetName val="Summary_Transformers2"/>
      <sheetName val="Inter_unit_set_off1"/>
      <sheetName val="P_Distribution__Detail1"/>
      <sheetName val="Sch_1-111"/>
      <sheetName val="Summary_year_Plan1"/>
      <sheetName val="pukhraj_(HUF)1"/>
      <sheetName val="Legal_Risk_Analysis5"/>
      <sheetName val="Final_Bill_of_Material2"/>
      <sheetName val="Pile_cap2"/>
      <sheetName val="BOQ_Direct_selling_cost2"/>
      <sheetName val="KQ_Cost_Controlling1"/>
      <sheetName val="KQ_Appropriation1"/>
      <sheetName val="SCHEDULE_(9)2"/>
      <sheetName val="MH(on_site)5"/>
      <sheetName val="site_fab&amp;ernstr5"/>
      <sheetName val="RCC,Ret__Wall2"/>
      <sheetName val="Branch_Power5"/>
      <sheetName val="_1"/>
      <sheetName val="TBAL9697_-group_wise__sdpl5"/>
      <sheetName val="Driveway_Beams5"/>
      <sheetName val="1_1_-_Capital2"/>
      <sheetName val="GM_&amp;_TA2"/>
      <sheetName val="Job_Data1"/>
      <sheetName val="Model_(Not_Merged)1"/>
      <sheetName val="Cost_summary1"/>
      <sheetName val="two_way-11"/>
      <sheetName val="MN_T_B_2"/>
      <sheetName val="BLOCK-A_(MEA_SHEET)2"/>
      <sheetName val="SITE_OVERHEADS2"/>
      <sheetName val="PRECAST_lightconc-II2"/>
      <sheetName val="FLOOR_beam_design1"/>
      <sheetName val="material_3"/>
      <sheetName val="Brickwork_3"/>
      <sheetName val="First_Floor_3"/>
      <sheetName val="Name_List1"/>
      <sheetName val="Leg_1-11"/>
      <sheetName val="Lines_(1_-_1)1"/>
      <sheetName val="RAJU_ASSO1"/>
      <sheetName val="Detailed_Summary_(3)1"/>
      <sheetName val="CPIPE_11"/>
      <sheetName val="Break_Dw1"/>
      <sheetName val="Podium_Areas1"/>
      <sheetName val="area_statement1"/>
      <sheetName val="CFForecast_detail1"/>
      <sheetName val="Main_Sheet1"/>
      <sheetName val="Unit_cost-_Drain-Protection-1_1"/>
      <sheetName val="NLD_-_Assum1"/>
      <sheetName val="[Labor_bills_22_11_06_xls]Sum_1"/>
      <sheetName val="GR_slab-reinft1"/>
      <sheetName val="Balance_Sheet1"/>
      <sheetName val="Budget_Lines1"/>
      <sheetName val="Tender_Summary1"/>
      <sheetName val="Project_Inputs1"/>
      <sheetName val="Direct_cost_shed_A-2_1"/>
      <sheetName val="Supply_I&amp;C1"/>
      <sheetName val="Category_A_-_No_Material1"/>
      <sheetName val="Category_B_-_Major_Works1"/>
      <sheetName val="Category_C_-_Minor_Works1"/>
      <sheetName val="Operating_Statistics1"/>
      <sheetName val="2_civil-RA1"/>
      <sheetName val="SC_Cost_FEB_031"/>
      <sheetName val="Mat_Cost2"/>
      <sheetName val="Detail_In_Door_Stad1"/>
      <sheetName val="QS_Name1"/>
      <sheetName val="Portfolio_Summary1"/>
      <sheetName val="steam_outlet1"/>
      <sheetName val="SUPPLY_-Sanitary_Fixtures1"/>
      <sheetName val="ITEMS_FOR_CIVIL_TENDER1"/>
      <sheetName val="Materials_Cost1"/>
      <sheetName val="E_&amp;_R1"/>
      <sheetName val="acevsSp_(ABC)1"/>
      <sheetName val="_B11"/>
      <sheetName val="INDIGINEOUS_ITEMS_1"/>
      <sheetName val="Cost_working_-_Building_T21"/>
      <sheetName val="Inventory_Sheet1"/>
      <sheetName val="B2_Construction_Details1"/>
      <sheetName val="INFLUENCES_ON_GM1"/>
      <sheetName val="Rising_Main1"/>
      <sheetName val="foot-slab_reinft1"/>
      <sheetName val="beam-reinft-machine_rm1"/>
      <sheetName val="Vision_Glass_cost1"/>
      <sheetName val="Set-up_cost1"/>
      <sheetName val="Inc_St_-Link1"/>
      <sheetName val="Cost_Any_1"/>
      <sheetName val="9__Package_split_-_Cost_1"/>
      <sheetName val="Price_Comparison1"/>
      <sheetName val="Rate_Ana1"/>
      <sheetName val="OEM_1"/>
      <sheetName val="Approved_MTD_Proj_#'s1"/>
      <sheetName val="Kristal_Court1"/>
      <sheetName val="Cor_Oh1"/>
      <sheetName val="11_KV_SUPPLY1"/>
      <sheetName val="labour_rates1"/>
      <sheetName val="S_&amp;_A1"/>
      <sheetName val="Data_F8_BTR1"/>
      <sheetName val="_Labor_bills_22_11_06_xls_Sum_1"/>
      <sheetName val="&quot;S&quot;_Curve1"/>
      <sheetName val="P1_SUM1"/>
      <sheetName val="4_BSDrainage(Manholes)-Optiona1"/>
      <sheetName val="Mp-team_11"/>
      <sheetName val="Plant_&amp;__Machinery1"/>
      <sheetName val="06_02_171"/>
      <sheetName val="Labour_&amp;_Plant1"/>
      <sheetName val="TRIAL_BALANCE1"/>
      <sheetName val="typ__column1"/>
      <sheetName val="trans__column1"/>
      <sheetName val="B2__Column1"/>
      <sheetName val="Stub_Column1"/>
      <sheetName val="SPT_vs_PHI1"/>
      <sheetName val="M-Book_for_Conc1"/>
      <sheetName val="M-Book_for_FW1"/>
      <sheetName val="MERGED_CODES_&amp;_NAMES1"/>
      <sheetName val="organi_synthesis_lab1"/>
      <sheetName val="SCHEDULE_OF_RATES1"/>
      <sheetName val="Tool_Metrics_(1st_Dot_Proc)1"/>
      <sheetName val="Combined_Results_1"/>
      <sheetName val="Input_&amp;_Calculations1"/>
      <sheetName val="1-Pop_Proj1"/>
      <sheetName val="Bechtel_Norms1"/>
      <sheetName val="COST_DATA_11"/>
      <sheetName val="COST_DATA_21"/>
      <sheetName val="Rates_Basic1"/>
      <sheetName val="MS_Rates1"/>
      <sheetName val="Boq_Block_A2"/>
      <sheetName val="Field_Values3"/>
      <sheetName val="PR_Standards_Technopark3"/>
      <sheetName val="Block_02,_Staircace_&amp;_lift_hea2"/>
      <sheetName val="SP_Break_Up4"/>
      <sheetName val="Budget_CF_-_Overall4"/>
      <sheetName val="Project_Budget_Worksheet4"/>
      <sheetName val="Lookup_data4"/>
      <sheetName val="10__&amp;_11__Rate_Code_&amp;_BQ4"/>
      <sheetName val="Base_data_Security_Procedures4"/>
      <sheetName val="PRICE_COMP4"/>
      <sheetName val="13__Steel_-_Ratio2"/>
      <sheetName val="cover_page2"/>
      <sheetName val="Basement_Budget2"/>
      <sheetName val="Cashflow_projection2"/>
      <sheetName val="4K_-_(6a)_Non_Manual_Breakdown2"/>
      <sheetName val="Fill_this_out_first___2"/>
      <sheetName val="Builtup_Area1"/>
      <sheetName val="Basic_Rate4"/>
      <sheetName val="MASTER_RATE_ANALYSIS1"/>
      <sheetName val="Materials_Cost(PCC)1"/>
      <sheetName val="Lease_rents1"/>
      <sheetName val="rcc(_sub)1"/>
      <sheetName val="Master_Equipment_List1"/>
      <sheetName val="P_Distribution__Detail"/>
      <sheetName val="pukhraj_(HUF)"/>
      <sheetName val="Legal_Risk_Analysis4"/>
      <sheetName val="Final_Bill_of_Material1"/>
      <sheetName val="Pile_cap1"/>
      <sheetName val="BOQ_Direct_selling_cost1"/>
      <sheetName val="SCHEDULE_(9)1"/>
      <sheetName val="MH(on_site)4"/>
      <sheetName val="site_fab&amp;ernstr4"/>
      <sheetName val="RCC,Ret__Wall1"/>
      <sheetName val="Branch_Power4"/>
      <sheetName val="_"/>
      <sheetName val="TBAL9697_-group_wise__sdpl4"/>
      <sheetName val="Driveway_Beams4"/>
      <sheetName val="1_1_-_Capital1"/>
      <sheetName val="GM_&amp;_TA1"/>
      <sheetName val="Job_Data"/>
      <sheetName val="Model_(Not_Merged)"/>
      <sheetName val="Cost_summary"/>
      <sheetName val="two_way-1"/>
      <sheetName val="MN_T_B_1"/>
      <sheetName val="BLOCK-A_(MEA_SHEET)1"/>
      <sheetName val="SITE_OVERHEADS1"/>
      <sheetName val="PRECAST_lightconc-II1"/>
      <sheetName val="FLOOR_beam_design"/>
      <sheetName val="material_2"/>
      <sheetName val="Brickwork_2"/>
      <sheetName val="First_Floor_2"/>
      <sheetName val="Name_List"/>
      <sheetName val="Leg_1-1"/>
      <sheetName val="RAJU_ASSO"/>
      <sheetName val="Detailed_Summary_(3)"/>
      <sheetName val="CPIPE_1"/>
      <sheetName val="Break_Dw"/>
      <sheetName val="Podium_Areas"/>
      <sheetName val="area_statement"/>
      <sheetName val="CFForecast_detail"/>
      <sheetName val="Main_Sheet"/>
      <sheetName val="Unit_cost-_Drain-Protection-1_"/>
      <sheetName val="NLD_-_Assum"/>
      <sheetName val="[Labor_bills_22_11_06_xls]Sum_2"/>
      <sheetName val="GR_slab-reinft"/>
      <sheetName val="Balance_Sheet"/>
      <sheetName val="Budget_Lines"/>
      <sheetName val="Tender_Summary"/>
      <sheetName val="Project_Inputs"/>
      <sheetName val="Direct_cost_shed_A-2_"/>
      <sheetName val="Supply_I&amp;C"/>
      <sheetName val="Category_A_-_No_Material"/>
      <sheetName val="Category_B_-_Major_Works"/>
      <sheetName val="Category_C_-_Minor_Works"/>
      <sheetName val="Operating_Statistics"/>
      <sheetName val="2_civil-RA"/>
      <sheetName val="SC_Cost_FEB_03"/>
      <sheetName val="Mat_Cost1"/>
      <sheetName val="Detail_In_Door_Stad"/>
      <sheetName val="QS_Name"/>
      <sheetName val="Portfolio_Summary"/>
      <sheetName val="steam_outlet"/>
      <sheetName val="SUPPLY_-Sanitary_Fixtures"/>
      <sheetName val="ITEMS_FOR_CIVIL_TENDER"/>
      <sheetName val="Materials_Cost"/>
      <sheetName val="E_&amp;_R"/>
      <sheetName val="acevsSp_(ABC)"/>
      <sheetName val="_B1"/>
      <sheetName val="INDIGINEOUS_ITEMS_"/>
      <sheetName val="Cost_working_-_Building_T2"/>
      <sheetName val="Inventory_Sheet"/>
      <sheetName val="B2_Construction_Details"/>
      <sheetName val="INFLUENCES_ON_GM"/>
      <sheetName val="Rising_Main"/>
      <sheetName val="foot-slab_reinft"/>
      <sheetName val="beam-reinft-machine_rm"/>
      <sheetName val="Vision_Glass_cost"/>
      <sheetName val="Set-up_cost"/>
      <sheetName val="Inc_St_-Link"/>
      <sheetName val="Cost_Any_"/>
      <sheetName val="9__Package_split_-_Cost_"/>
      <sheetName val="Price_Comparison"/>
      <sheetName val="Rate_Ana"/>
      <sheetName val="OEM_"/>
      <sheetName val="Approved_MTD_Proj_#'s"/>
      <sheetName val="Kristal_Court"/>
      <sheetName val="Cor_Oh"/>
      <sheetName val="11_KV_SUPPLY"/>
      <sheetName val="labour_rates"/>
      <sheetName val="S_&amp;_A"/>
      <sheetName val="Data_F8_BTR"/>
      <sheetName val="_Labor_bills_22_11_06_xls_Sum_2"/>
      <sheetName val="&quot;S&quot;_Curve"/>
      <sheetName val="4_BSDrainage(Manholes)-Optional"/>
      <sheetName val="Mp-team_1"/>
      <sheetName val="Plant_&amp;__Machinery"/>
      <sheetName val="06_02_17"/>
      <sheetName val="Labour_&amp;_Plant"/>
      <sheetName val="TRIAL_BALANCE"/>
      <sheetName val="typ__column"/>
      <sheetName val="trans__column"/>
      <sheetName val="B2__Column"/>
      <sheetName val="Stub_Column"/>
      <sheetName val="SPT_vs_PHI"/>
      <sheetName val="M-Book_for_Conc"/>
      <sheetName val="M-Book_for_FW"/>
      <sheetName val="MERGED_CODES_&amp;_NAMES"/>
      <sheetName val="organi_synthesis_lab"/>
      <sheetName val="SCHEDULE_OF_RATES"/>
      <sheetName val="Tool_Metrics_(1st_Dot_Proc)"/>
      <sheetName val="Combined_Results_"/>
      <sheetName val="Input_&amp;_Calculations"/>
      <sheetName val="1-Pop_Proj"/>
      <sheetName val="Bechtel_Norms"/>
      <sheetName val="COST_DATA_1"/>
      <sheetName val="COST_DATA_2"/>
      <sheetName val="Rates_Basic"/>
      <sheetName val="MS_Rates"/>
      <sheetName val="std.wt."/>
      <sheetName val="PRSH"/>
      <sheetName val="RA"/>
      <sheetName val="LookupLists"/>
      <sheetName val="Elect."/>
      <sheetName val="Back_Cal_for OMC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Summary_Local"/>
      <sheetName val="11 kV SWGR"/>
      <sheetName val="Intro."/>
      <sheetName val="DLC lookups"/>
      <sheetName val="ancillary"/>
      <sheetName val="DATABASE - UPC FIXTURE CHART"/>
      <sheetName val="BS1"/>
      <sheetName val="Indirect expenses"/>
      <sheetName val="Rate Analysis "/>
      <sheetName val="M.R.List (2)"/>
      <sheetName val="REFERANCE DATA"/>
      <sheetName val="MTTR-Headend"/>
      <sheetName val="PM_Action "/>
      <sheetName val="PE Status"/>
      <sheetName val="Inventory"/>
      <sheetName val="Crtitical Issues"/>
      <sheetName val="RIP"/>
      <sheetName val="Fault Statistics"/>
      <sheetName val="Ageing_Pending_ CLeared"/>
      <sheetName val="Fault Cleared After 24Hrs"/>
      <sheetName val="D-F"/>
      <sheetName val="Codes"/>
      <sheetName val="Indices"/>
      <sheetName val="Sheet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 refreshError="1"/>
      <sheetData sheetId="1677" refreshError="1"/>
      <sheetData sheetId="1678" refreshError="1"/>
      <sheetData sheetId="1679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Precalculation"/>
      <sheetName val="Labor_abs-PW"/>
      <sheetName val="Labor_abs-NMR"/>
      <sheetName val="BS Schedules"/>
      <sheetName val="Staff Acco."/>
      <sheetName val="Break up Sheet"/>
      <sheetName val="std"/>
      <sheetName val="Slab"/>
      <sheetName val="Labor_abs-PW6"/>
      <sheetName val="Labor_abs-NMR6"/>
      <sheetName val="BS_Schedules5"/>
      <sheetName val="Staff_Acco_5"/>
      <sheetName val="Break_up_Sheet5"/>
      <sheetName val="Labor_abs-PW4"/>
      <sheetName val="Labor_abs-NMR4"/>
      <sheetName val="BS_Schedules3"/>
      <sheetName val="Staff_Acco_3"/>
      <sheetName val="Labor_abs-PW3"/>
      <sheetName val="Labor_abs-NMR3"/>
      <sheetName val="BS_Schedules2"/>
      <sheetName val="Break_up_Sheet2"/>
      <sheetName val="Staff_Acco_2"/>
      <sheetName val="Labor_abs-PW1"/>
      <sheetName val="Labor_abs-NMR1"/>
      <sheetName val="BS_Schedules"/>
      <sheetName val="Break_up_Sheet"/>
      <sheetName val="Staff_Acco_"/>
      <sheetName val="Labor_abs-PW2"/>
      <sheetName val="Labor_abs-NMR2"/>
      <sheetName val="BS_Schedules1"/>
      <sheetName val="Break_up_Sheet1"/>
      <sheetName val="Staff_Acco_1"/>
      <sheetName val="Break_up_Sheet3"/>
      <sheetName val="Labor_abs-PW5"/>
      <sheetName val="Labor_abs-NMR5"/>
      <sheetName val="BS_Schedules4"/>
      <sheetName val="Break_up_Sheet4"/>
      <sheetName val="Staff_Acco_4"/>
      <sheetName val="Rate analysis"/>
      <sheetName val="NC"/>
      <sheetName val="Labor_abs-PW7"/>
      <sheetName val="Labor_abs-NMR7"/>
      <sheetName val="BS_Schedules6"/>
      <sheetName val="Staff_Acco_6"/>
      <sheetName val="Break_up_Sheet6"/>
      <sheetName val="Cost summary"/>
      <sheetName val="labour coeff"/>
      <sheetName val="RA-markate"/>
      <sheetName val="Sheet1"/>
      <sheetName val="Boq"/>
      <sheetName val="IO LIST"/>
      <sheetName val="basic-data"/>
      <sheetName val="mem-property"/>
      <sheetName val="Boq Block A"/>
      <sheetName val="RES-PLANNING"/>
      <sheetName val="Civil Boq"/>
      <sheetName val="Intro"/>
      <sheetName val="A-General"/>
      <sheetName val="Names&amp;Cases"/>
      <sheetName val="CABLE DATA"/>
      <sheetName val="CERTIFICATE"/>
      <sheetName val="CABLE_DATA"/>
      <sheetName val="CABLE_DATA1"/>
      <sheetName val="CABLE_DATA2"/>
      <sheetName val="Loads"/>
      <sheetName val="CCTV_EST1"/>
      <sheetName val="TBAL9697 -group wise  sdpl"/>
      <sheetName val="PR Standards Technopark"/>
      <sheetName val="Labor_abs-PW8"/>
      <sheetName val="Labor_abs-NMR8"/>
      <sheetName val="BS_Schedules7"/>
      <sheetName val="Staff_Acco_7"/>
      <sheetName val="Break_up_Sheet7"/>
      <sheetName val="Rate_analysis"/>
      <sheetName val="labour_coeff"/>
      <sheetName val="IO_LIST"/>
      <sheetName val="Boq_Block_A"/>
      <sheetName val="Civil_Boq"/>
      <sheetName val="Cost_summary"/>
      <sheetName val="CABLE_DATA3"/>
      <sheetName val="TBAL9697_-group_wise__sdpl"/>
      <sheetName val="PR_Standards_Technopark"/>
      <sheetName val="rcc( sub)"/>
      <sheetName val="Labor_abs-PW11"/>
      <sheetName val="Labor_abs-NMR11"/>
      <sheetName val="BS_Schedules10"/>
      <sheetName val="Staff_Acco_10"/>
      <sheetName val="Break_up_Sheet10"/>
      <sheetName val="Rate_analysis3"/>
      <sheetName val="labour_coeff3"/>
      <sheetName val="IO_LIST3"/>
      <sheetName val="Boq_Block_A3"/>
      <sheetName val="Civil_Boq3"/>
      <sheetName val="Cost_summary3"/>
      <sheetName val="CABLE_DATA6"/>
      <sheetName val="TBAL9697_-group_wise__sdpl3"/>
      <sheetName val="PR_Standards_Technopark3"/>
      <sheetName val="Labor_abs-PW10"/>
      <sheetName val="Labor_abs-NMR10"/>
      <sheetName val="BS_Schedules9"/>
      <sheetName val="Staff_Acco_9"/>
      <sheetName val="Break_up_Sheet9"/>
      <sheetName val="Rate_analysis2"/>
      <sheetName val="labour_coeff2"/>
      <sheetName val="IO_LIST2"/>
      <sheetName val="Boq_Block_A2"/>
      <sheetName val="Civil_Boq2"/>
      <sheetName val="Cost_summary2"/>
      <sheetName val="CABLE_DATA5"/>
      <sheetName val="TBAL9697_-group_wise__sdpl2"/>
      <sheetName val="PR_Standards_Technopark2"/>
      <sheetName val="Labor_abs-PW9"/>
      <sheetName val="Labor_abs-NMR9"/>
      <sheetName val="BS_Schedules8"/>
      <sheetName val="Staff_Acco_8"/>
      <sheetName val="Break_up_Sheet8"/>
      <sheetName val="Rate_analysis1"/>
      <sheetName val="labour_coeff1"/>
      <sheetName val="IO_LIST1"/>
      <sheetName val="Boq_Block_A1"/>
      <sheetName val="Civil_Boq1"/>
      <sheetName val="Cost_summary1"/>
      <sheetName val="CABLE_DATA4"/>
      <sheetName val="TBAL9697_-group_wise__sdpl1"/>
      <sheetName val="PR_Standards_Technopark1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an maint"/>
      <sheetName val="coimbatore"/>
      <sheetName val="PRASAD"/>
      <sheetName val="paipay"/>
      <sheetName val="MIS"/>
      <sheetName val="CRtbobpljuly"/>
      <sheetName val="TBOBPLJul98"/>
      <sheetName val="CORPN OCT"/>
      <sheetName val="inout consol-nov"/>
      <sheetName val="inout consol (2)"/>
      <sheetName val="AS ON DT EXPS Mar"/>
      <sheetName val="J_fix asst"/>
      <sheetName val="J_fix asst sdpl"/>
      <sheetName val="f a_obpl"/>
      <sheetName val="J_fix asst obpl"/>
      <sheetName val="J_fix asst scc"/>
      <sheetName val="J_fix asst ripl"/>
      <sheetName val="fa-pl &amp; mach-site"/>
      <sheetName val="fa-veh"/>
      <sheetName val="fa_off eqp"/>
      <sheetName val="fa_fur&amp; fix"/>
      <sheetName val="fa_comp"/>
      <sheetName val="omantopaz"/>
      <sheetName val="I_Con WIP (2)"/>
      <sheetName val="TBAL9596 -IIIIRUN"/>
      <sheetName val="TBCRSsdpl July98"/>
      <sheetName val="TBSDPLJuly98"/>
      <sheetName val="G-1"/>
      <sheetName val="Other Proj Schdl"/>
      <sheetName val="OT CLIENTS"/>
      <sheetName val="inout consol July 98"/>
      <sheetName val="consol flow"/>
      <sheetName val="A_EQUITY-OBPL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G-1_sdpl_work"/>
      <sheetName val="G_1_obpl_Work"/>
      <sheetName val="sdpl_oth Liab"/>
      <sheetName val="obpl-oth liab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TBCRSSdplmar98"/>
      <sheetName val="TB9798OBPL07"/>
      <sheetName val="D_Loan  Prom"/>
      <sheetName val="E_Bank Loan"/>
      <sheetName val="F_Adv-Client"/>
      <sheetName val="G_work Cap "/>
      <sheetName val="H_land adv"/>
      <sheetName val="detai Wip 2"/>
      <sheetName val="detai Wip I "/>
      <sheetName val="WIP"/>
      <sheetName val="J_Con WIP"/>
      <sheetName val="K_L_Oth Co "/>
      <sheetName val="fix asst_Obpl"/>
      <sheetName val="fixass-scc-obpl"/>
      <sheetName val="TBAL9697 _group wise  sdpl"/>
      <sheetName val="[sept98.xlsUomantopaz"/>
      <sheetName val="TBS_x0004_PLJuly98"/>
      <sheetName val="[sept98.xls_x001d_B_Sheet 97"/>
      <sheetName val="_sept98.xlsUomantopaz"/>
      <sheetName val="_sept98.xls_x001d_B_Sheet 97"/>
      <sheetName val="TBS_x005f_x0004_PLJuly98"/>
      <sheetName val="_sept98.xls_x005f_x001d_B_Sheet 97"/>
      <sheetName val="Boq"/>
      <sheetName val="CODE"/>
      <sheetName val="Design"/>
      <sheetName val="PRECAST lightconc-II"/>
      <sheetName val="[sept98.xls_x005f_x001d_B_Sheet 97"/>
      <sheetName val="TBS_x005f_x005f_x005f_x0004_PLJuly98"/>
      <sheetName val="_sept98.xls_x005f_x005f_x005f_x001d_B_Sheet"/>
      <sheetName val="[sept98.xls_x005f_x005f_x005f_x001d_B_Sheet"/>
      <sheetName val="Staff Acco."/>
      <sheetName val="SITE OVERHEADS"/>
      <sheetName val="Data"/>
      <sheetName val="salestax9697-t_x0000_"/>
      <sheetName val="crs -G-1_x001a__x0000__x0000_TBAL9697 -group wise"/>
      <sheetName val="salestax9697-t?"/>
      <sheetName val="crs -G-1_x001a_??TBAL9697 -group wise"/>
      <sheetName val="Sheet1"/>
      <sheetName val="Boq Block A"/>
      <sheetName val="Project Details.."/>
      <sheetName val="[sept98.xls࡝sdpl_oth Liab"/>
      <sheetName val="RCC,Ret. Wall"/>
      <sheetName val="scurve calc (2)"/>
      <sheetName val="LIST OF MAKES"/>
      <sheetName val="PULSATOR"/>
      <sheetName val="Precalculation"/>
      <sheetName val="Sheet3"/>
      <sheetName val="_sept98.xls࡝sdpl_oth Liab"/>
      <sheetName val="salestax9697-t"/>
      <sheetName val="crs -G-1_x001a_"/>
      <sheetName val="salestax9697-t_"/>
      <sheetName val="crs -G-1_x001a___TBAL9697 -group wise"/>
      <sheetName val="TBS_x005f_x005f_x005f_x005f_x005f_x005f_x005f_x0004_PLJ"/>
      <sheetName val="_sept98.xls_x005f_x005f_x005f_x005f_x005f_x005f_x"/>
      <sheetName val="salestax9697-t_x005f_x0000_"/>
      <sheetName val="crs -G-1_x005f_x001a__x005f_x0000__x005f_x0000_TB"/>
      <sheetName val="crs -G-1_x005f_x001a___TBAL9697 -grou"/>
      <sheetName val="final abstract"/>
      <sheetName val="TOS-F"/>
      <sheetName val="key dates"/>
      <sheetName val="Actuals"/>
      <sheetName val="col-reinft1"/>
      <sheetName val="#REF!"/>
      <sheetName val="Labor abs-NMR"/>
      <sheetName val="costing"/>
      <sheetName val="Fin Sum"/>
      <sheetName val="ROH"/>
      <sheetName val="oman_maint"/>
      <sheetName val="CORPN_OCT"/>
      <sheetName val="inout_consol-nov"/>
      <sheetName val="inout_consol_(2)"/>
      <sheetName val="AS_ON_DT_EXPS_Mar"/>
      <sheetName val="J_fix_asst"/>
      <sheetName val="J_fix_asst_sdpl"/>
      <sheetName val="f_a_obpl"/>
      <sheetName val="J_fix_asst_obpl"/>
      <sheetName val="J_fix_asst_scc"/>
      <sheetName val="J_fix_asst_ripl"/>
      <sheetName val="fa-pl_&amp;_mach-site"/>
      <sheetName val="fa_off_eqp"/>
      <sheetName val="fa_fur&amp;_fix"/>
      <sheetName val="I_Con_WIP_(2)"/>
      <sheetName val="TBAL9596_-IIIIRUN"/>
      <sheetName val="TBCRSsdpl_July98"/>
      <sheetName val="Other_Proj_Schdl"/>
      <sheetName val="OT_CLIENTS"/>
      <sheetName val="inout_consol_July_98"/>
      <sheetName val="consol_flow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D_Loan__Prom"/>
      <sheetName val="E_Bank_Loan"/>
      <sheetName val="G_work_Cap_"/>
      <sheetName val="H_land_adv"/>
      <sheetName val="detai_Wip_2"/>
      <sheetName val="detai_Wip_I_"/>
      <sheetName val="J_Con_WIP"/>
      <sheetName val="K_L_Oth_Co_"/>
      <sheetName val="fix_asst_Obpl"/>
      <sheetName val="TBAL9697__group_wise__sdp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Customize Your Purchase Order"/>
      <sheetName val="factors"/>
      <sheetName val="3MLKQ"/>
      <sheetName val="_sept98.xls_x005f_x001d_B_Sheet"/>
      <sheetName val="TBS_x005f_x005f_x005f_x0004_PLJ"/>
      <sheetName val="crs -G-1_x001a__x0000__x0000_TB"/>
      <sheetName val="crs -G-1_x001a___TBAL9697 -grou"/>
      <sheetName val="_sept98.xls_x005f_x005f_x"/>
      <sheetName val="[sept98_xlsUomantopaz"/>
      <sheetName val="[sept98_xlsB_Sheet_97"/>
      <sheetName val="_sept98_xlsUomantopaz"/>
      <sheetName val="_sept98_xlsB_Sheet_97"/>
      <sheetName val="_sept98_xls_x005f_x001d_B_Sheet_97"/>
      <sheetName val="[sept98_xls_x005f_x001d_B_Sheet_97"/>
      <sheetName val="PRECAST_lightconc-II"/>
      <sheetName val="TBSPLJuly98"/>
      <sheetName val="총괄표"/>
      <sheetName val="Control"/>
      <sheetName val="p&amp;m"/>
      <sheetName val="oman_maint1"/>
      <sheetName val="CORPN_OCT1"/>
      <sheetName val="inout_consol-nov1"/>
      <sheetName val="inout_consol_(2)1"/>
      <sheetName val="AS_ON_DT_EXPS_Mar1"/>
      <sheetName val="J_fix_asst1"/>
      <sheetName val="J_fix_asst_sdpl1"/>
      <sheetName val="f_a_obpl1"/>
      <sheetName val="J_fix_asst_obpl1"/>
      <sheetName val="J_fix_asst_scc1"/>
      <sheetName val="J_fix_asst_ripl1"/>
      <sheetName val="fa-pl_&amp;_mach-site1"/>
      <sheetName val="fa_off_eqp1"/>
      <sheetName val="fa_fur&amp;_fix1"/>
      <sheetName val="I_Con_WIP_(2)1"/>
      <sheetName val="TBAL9596_-IIIIRUN1"/>
      <sheetName val="TBCRSsdpl_July981"/>
      <sheetName val="Other_Proj_Schdl1"/>
      <sheetName val="OT_CLIENTS1"/>
      <sheetName val="inout_consol_July_981"/>
      <sheetName val="consol_flow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D_Loan__Prom1"/>
      <sheetName val="E_Bank_Loan1"/>
      <sheetName val="G_work_Cap_1"/>
      <sheetName val="H_land_adv1"/>
      <sheetName val="detai_Wip_21"/>
      <sheetName val="detai_Wip_I_1"/>
      <sheetName val="J_Con_WIP1"/>
      <sheetName val="K_L_Oth_Co_1"/>
      <sheetName val="fix_asst_Obpl1"/>
      <sheetName val="TBAL9697__group_wise__sdpl1"/>
      <sheetName val="[sept98_xlsUomantopaz1"/>
      <sheetName val="_sept98_xlsUomantopaz1"/>
      <sheetName val="_sept98_xls_x005f_x001d_B_Sheet_971"/>
      <sheetName val="PRECAST_lightconc-II1"/>
      <sheetName val="[sept98_xls_x005f_x001d_B_Sheet_971"/>
      <sheetName val="_sept98_xls_x005f_x005f_x005f_x001d_B_Sheet"/>
      <sheetName val="[sept98_xls_x005f_x005f_x005f_x001d_B_Sheet"/>
      <sheetName val="Staff_Acco_"/>
      <sheetName val="SITE_OVERHEADS"/>
      <sheetName val="crs_-G-1TBAL9697_-group_wise"/>
      <sheetName val="crs_-G-1??TBAL9697_-group_wise"/>
      <sheetName val="Boq_Block_A"/>
      <sheetName val="Project_Details__"/>
      <sheetName val="[sept98_xls࡝sdpl_oth_Liab"/>
      <sheetName val="RCC,Ret__Wall"/>
      <sheetName val="scurve_calc_(2)"/>
      <sheetName val="LIST_OF_MAKES"/>
      <sheetName val="_sept98_xls࡝sdpl_oth_Liab"/>
      <sheetName val="crs_-G-1__TBAL9697_-group_wise"/>
      <sheetName val="_sept98_xls_x005f_x005f_x005f_x005f_x005f_x005f_x"/>
      <sheetName val="crs_-G-1_x005f_x001a__x005f_x0000__x005f_x0000_TB"/>
      <sheetName val="crs_-G-1_x005f_x001a___TBAL9697_-grou"/>
      <sheetName val="final_abstract"/>
      <sheetName val="key_dates"/>
      <sheetName val="Labor_abs-NMR"/>
      <sheetName val="Fin_Sum"/>
      <sheetName val="Customize_Your_Purchase_Order"/>
      <sheetName val="_sept98_xls_x005f_x001d_B_Sheet"/>
      <sheetName val="crs_-G-1TB"/>
      <sheetName val="crs_-G-1__TBAL9697_-grou"/>
      <sheetName val="_sept98_xls_x005f_x005f_x"/>
      <sheetName val="INPUT SHEET"/>
      <sheetName val="DETAILED  BOQ"/>
      <sheetName val="acevsSp (ABC)"/>
      <sheetName val="MASTER_RATE ANALYSIS"/>
      <sheetName val="BEAM INPUT"/>
      <sheetName val="STD"/>
      <sheetName val="LTG-STG"/>
      <sheetName val="Plinth beam"/>
      <sheetName val="_sept98_xls_x001d_B_Sheet_97"/>
      <sheetName val="Direct Cost"/>
      <sheetName val="oman_maint17"/>
      <sheetName val="CORPN_OCT16"/>
      <sheetName val="inout_consol-nov16"/>
      <sheetName val="inout_consol_(2)16"/>
      <sheetName val="AS_ON_DT_EXPS_Mar16"/>
      <sheetName val="J_fix_asst16"/>
      <sheetName val="J_fix_asst_sdpl16"/>
      <sheetName val="f_a_obpl16"/>
      <sheetName val="J_fix_asst_obpl16"/>
      <sheetName val="J_fix_asst_scc16"/>
      <sheetName val="J_fix_asst_ripl16"/>
      <sheetName val="fa-pl_&amp;_mach-site16"/>
      <sheetName val="fa_off_eqp16"/>
      <sheetName val="fa_fur&amp;_fix16"/>
      <sheetName val="I_Con_WIP_(2)16"/>
      <sheetName val="TBAL9596_-IIIIRUN16"/>
      <sheetName val="TBCRSsdpl_July9816"/>
      <sheetName val="Other_Proj_Schdl16"/>
      <sheetName val="OT_CLIENTS16"/>
      <sheetName val="inout_consol_July_9816"/>
      <sheetName val="consol_flow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D_Loan__Prom16"/>
      <sheetName val="E_Bank_Loan16"/>
      <sheetName val="G_work_Cap_16"/>
      <sheetName val="H_land_adv16"/>
      <sheetName val="detai_Wip_216"/>
      <sheetName val="detai_Wip_I_16"/>
      <sheetName val="J_Con_WIP16"/>
      <sheetName val="K_L_Oth_Co_16"/>
      <sheetName val="fix_asst_Obpl16"/>
      <sheetName val="TBAL9697__group_wise__sdpl16"/>
      <sheetName val="_sept98_xlsUomantopaz13"/>
      <sheetName val="[sept98_xlsUomantopaz13"/>
      <sheetName val="_sept98_xls_x005f_x001d_B_Sheet_9713"/>
      <sheetName val="[sept98_xls_x005f_x001d_B_Sheet_9713"/>
      <sheetName val="PRECAST_lightconc-II13"/>
      <sheetName val="oman_maint9"/>
      <sheetName val="CORPN_OCT9"/>
      <sheetName val="inout_consol-nov9"/>
      <sheetName val="inout_consol_(2)9"/>
      <sheetName val="AS_ON_DT_EXPS_Mar9"/>
      <sheetName val="J_fix_asst9"/>
      <sheetName val="J_fix_asst_sdpl9"/>
      <sheetName val="f_a_obpl9"/>
      <sheetName val="J_fix_asst_obpl9"/>
      <sheetName val="J_fix_asst_scc9"/>
      <sheetName val="J_fix_asst_ripl9"/>
      <sheetName val="fa-pl_&amp;_mach-site9"/>
      <sheetName val="fa_off_eqp9"/>
      <sheetName val="fa_fur&amp;_fix9"/>
      <sheetName val="I_Con_WIP_(2)9"/>
      <sheetName val="TBAL9596_-IIIIRUN9"/>
      <sheetName val="TBCRSsdpl_July989"/>
      <sheetName val="Other_Proj_Schdl9"/>
      <sheetName val="OT_CLIENTS9"/>
      <sheetName val="inout_consol_July_989"/>
      <sheetName val="consol_flow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D_Loan__Prom9"/>
      <sheetName val="E_Bank_Loan9"/>
      <sheetName val="G_work_Cap_9"/>
      <sheetName val="H_land_adv9"/>
      <sheetName val="detai_Wip_29"/>
      <sheetName val="detai_Wip_I_9"/>
      <sheetName val="J_Con_WIP9"/>
      <sheetName val="K_L_Oth_Co_9"/>
      <sheetName val="fix_asst_Obpl9"/>
      <sheetName val="TBAL9697__group_wise__sdpl9"/>
      <sheetName val="_sept98_xlsUomantopaz7"/>
      <sheetName val="[sept98_xlsUomantopaz7"/>
      <sheetName val="_sept98_xls_x005f_x001d_B_Sheet_977"/>
      <sheetName val="Labels"/>
      <sheetName val="Cost_any"/>
      <sheetName val="IO LIST"/>
      <sheetName val="#REF"/>
      <sheetName val="[sept98_xls_x005f_x001d_B_Sheet_977"/>
      <sheetName val="PRECAST_lightconc-II7"/>
      <sheetName val="oman_maint2"/>
      <sheetName val="CORPN_OCT2"/>
      <sheetName val="Detail In Door Stad"/>
      <sheetName val="_sept98.xls_x001d_B_Sheet"/>
      <sheetName val="ABB"/>
      <sheetName val="GE"/>
      <sheetName val="_sept98.xls_x005f_x005f_x005f_x005f_x"/>
      <sheetName val="inout_consol-nov2"/>
      <sheetName val="inout_consol_(2)2"/>
      <sheetName val="AS_ON_DT_EXPS_Mar2"/>
      <sheetName val="J_fix_asst2"/>
      <sheetName val="J_fix_asst_sdpl2"/>
      <sheetName val="f_a_obpl2"/>
      <sheetName val="J_fix_asst_obpl2"/>
      <sheetName val="J_fix_asst_scc2"/>
      <sheetName val="J_fix_asst_ripl2"/>
      <sheetName val="fa-pl_&amp;_mach-site2"/>
      <sheetName val="fa_off_eqp2"/>
      <sheetName val="fa_fur&amp;_fix2"/>
      <sheetName val="I_Con_WIP_(2)2"/>
      <sheetName val="TBAL9596_-IIIIRUN2"/>
      <sheetName val="TBCRSsdpl_July982"/>
      <sheetName val="Other_Proj_Schdl2"/>
      <sheetName val="OT_CLIENTS2"/>
      <sheetName val="inout_consol_July_982"/>
      <sheetName val="consol_flow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D_Loan__Prom2"/>
      <sheetName val="E_Bank_Loan2"/>
      <sheetName val="G_work_Cap_2"/>
      <sheetName val="H_land_adv2"/>
      <sheetName val="detai_Wip_22"/>
      <sheetName val="detai_Wip_I_2"/>
      <sheetName val="Labor abs-PW"/>
      <sheetName val="Rate analysis"/>
      <sheetName val="Debits as on 12.04.08"/>
      <sheetName val="Basic Rates"/>
      <sheetName val="5"/>
      <sheetName val="1"/>
      <sheetName val="Detail"/>
      <sheetName val="Works - Quote Sheet"/>
      <sheetName val="Cashflow projection"/>
      <sheetName val="DetEst"/>
      <sheetName val="Labour"/>
      <sheetName val="CCTV_EST1"/>
      <sheetName val="220 11  BS "/>
      <sheetName val="GR.slab-reinft"/>
      <sheetName val="Assumption Inputs"/>
      <sheetName val="Build-up"/>
      <sheetName val="analysis"/>
      <sheetName val="J_Con_WIP2"/>
      <sheetName val="K_L_Oth_Co_2"/>
      <sheetName val="fix_asst_Obpl2"/>
      <sheetName val="TBAL9697__group_wise__sdpl2"/>
      <sheetName val="oman_maint3"/>
      <sheetName val="CORPN_OCT3"/>
      <sheetName val="inout_consol-nov3"/>
      <sheetName val="inout_consol_(2)3"/>
      <sheetName val="Summary_Bank"/>
      <sheetName val="AS_ON_DT_EXPS_Mar3"/>
      <sheetName val="J_fix_asst3"/>
      <sheetName val="J_fix_asst_sdpl3"/>
      <sheetName val="f_a_obpl3"/>
      <sheetName val="J_fix_asst_obpl3"/>
      <sheetName val="J_fix_asst_scc3"/>
      <sheetName val="J_fix_asst_ripl3"/>
      <sheetName val="fa-pl_&amp;_mach-site3"/>
      <sheetName val="fa_off_eqp3"/>
      <sheetName val="fa_fur&amp;_fix3"/>
      <sheetName val="I_Con_WIP_(2)3"/>
      <sheetName val="TBAL9596_-IIIIRUN3"/>
      <sheetName val="TBCRSsdpl_July983"/>
      <sheetName val="Other_Proj_Schdl3"/>
      <sheetName val="OT_CLIENTS3"/>
      <sheetName val="inout_consol_July_983"/>
      <sheetName val="consol_flow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D_Loan__Prom3"/>
      <sheetName val="E_Bank_Loan3"/>
      <sheetName val="G_work_Cap_3"/>
      <sheetName val="oman_maint24"/>
      <sheetName val="CORPN_OCT22"/>
      <sheetName val="inout_consol-nov22"/>
      <sheetName val="inout_consol_(2)22"/>
      <sheetName val="AS_ON_DT_EXPS_Mar22"/>
      <sheetName val="J_fix_asst22"/>
      <sheetName val="J_fix_asst_sdpl22"/>
      <sheetName val="f_a_obpl22"/>
      <sheetName val="J_fix_asst_obpl22"/>
      <sheetName val="J_fix_asst_scc22"/>
      <sheetName val="J_fix_asst_ripl22"/>
      <sheetName val="fa-pl_&amp;_mach-site22"/>
      <sheetName val="fa_off_eqp22"/>
      <sheetName val="fa_fur&amp;_fix22"/>
      <sheetName val="I_Con_WIP_(2)22"/>
      <sheetName val="TBAL9596_-IIIIRUN22"/>
      <sheetName val="TBCRSsdpl_July9822"/>
      <sheetName val="Other_Proj_Schdl22"/>
      <sheetName val="OT_CLIENTS22"/>
      <sheetName val="inout_consol_July_9822"/>
      <sheetName val="consol_flow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D_Loan__Prom22"/>
      <sheetName val="E_Bank_Loan22"/>
      <sheetName val="G_work_Cap_22"/>
      <sheetName val="H_land_adv22"/>
      <sheetName val="detai_Wip_222"/>
      <sheetName val="detai_Wip_I_22"/>
      <sheetName val="J_Con_WIP22"/>
      <sheetName val="K_L_Oth_Co_22"/>
      <sheetName val="fix_asst_Obpl22"/>
      <sheetName val="TBAL9697__group_wise__sdpl22"/>
      <sheetName val="_sept98_xlsUomantopaz18"/>
      <sheetName val="[sept98_xlsUomantopaz18"/>
      <sheetName val="_sept98_xls_x005f_x001d_B_Sheet_9718"/>
      <sheetName val="[sept98_xls_x005f_x001d_B_Sheet_9718"/>
      <sheetName val="PRECAST_lightconc-II18"/>
      <sheetName val="oman_maint22"/>
      <sheetName val="CORPN_OCT20"/>
      <sheetName val="inout_consol-nov20"/>
      <sheetName val="inout_consol_(2)20"/>
      <sheetName val="AS_ON_DT_EXPS_Mar20"/>
      <sheetName val="J_fix_asst20"/>
      <sheetName val="J_fix_asst_sdpl20"/>
      <sheetName val="f_a_obpl20"/>
      <sheetName val="J_fix_asst_obpl20"/>
      <sheetName val="J_fix_asst_scc20"/>
      <sheetName val="J_fix_asst_ripl20"/>
      <sheetName val="fa-pl_&amp;_mach-site20"/>
      <sheetName val="fa_off_eqp20"/>
      <sheetName val="fa_fur&amp;_fix20"/>
      <sheetName val="I_Con_WIP_(2)20"/>
      <sheetName val="TBAL9596_-IIIIRUN20"/>
      <sheetName val="TBCRSsdpl_July9820"/>
      <sheetName val="Other_Proj_Schdl20"/>
      <sheetName val="OT_CLIENTS20"/>
      <sheetName val="inout_consol_July_9820"/>
      <sheetName val="consol_flow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D_Loan__Prom20"/>
      <sheetName val="E_Bank_Loan20"/>
      <sheetName val="G_work_Cap_20"/>
      <sheetName val="H_land_adv20"/>
      <sheetName val="detai_Wip_220"/>
      <sheetName val="detai_Wip_I_20"/>
      <sheetName val="J_Con_WIP20"/>
      <sheetName val="K_L_Oth_Co_20"/>
      <sheetName val="fix_asst_Obpl20"/>
      <sheetName val="TBAL9697__group_wise__sdpl20"/>
      <sheetName val="_sept98_xlsUomantopaz16"/>
      <sheetName val="[sept98_xlsUomantopaz16"/>
      <sheetName val="_sept98_xls_x005f_x001d_B_Sheet_9716"/>
      <sheetName val="[sept98_xls_x005f_x001d_B_Sheet_9716"/>
      <sheetName val="PRECAST_lightconc-II16"/>
      <sheetName val="SPILL OVER"/>
      <sheetName val="GF Columns"/>
      <sheetName val="Rollup"/>
      <sheetName val="H_land_adv3"/>
      <sheetName val="detai_Wip_23"/>
      <sheetName val="detai_Wip_I_3"/>
      <sheetName val="J_Con_WIP3"/>
      <sheetName val="K_L_Oth_Co_3"/>
      <sheetName val="fix_asst_Obpl3"/>
      <sheetName val="TBAL9697__group_wise__sdpl3"/>
      <sheetName val="_sept98_xlsUomantopaz2"/>
      <sheetName val="[sept98_xlsUomantopaz2"/>
      <sheetName val="_sept98_xls_x005f_x001d_B_Sheet_972"/>
      <sheetName val="[sept98_xls_x005f_x001d_B_Sheet_972"/>
      <sheetName val="PRECAST_lightconc-II2"/>
      <sheetName val="KQ Cost Controlling"/>
      <sheetName val="KQ Appropriation"/>
      <sheetName val="oman_maint4"/>
      <sheetName val="CORPN_OCT4"/>
      <sheetName val="inout_consol-nov4"/>
      <sheetName val="inout_consol_(2)4"/>
      <sheetName val="AS_ON_DT_EXPS_Mar4"/>
      <sheetName val="J_fix_asst4"/>
      <sheetName val="J_fix_asst_sdpl4"/>
      <sheetName val="f_a_obpl4"/>
      <sheetName val="J_fix_asst_obpl4"/>
      <sheetName val="J_fix_asst_scc4"/>
      <sheetName val="J_fix_asst_ripl4"/>
      <sheetName val="fa-pl_&amp;_mach-site4"/>
      <sheetName val="fa_off_eqp4"/>
      <sheetName val="fa_fur&amp;_fix4"/>
      <sheetName val="I_Con_WIP_(2)4"/>
      <sheetName val="TBAL9596_-IIIIRUN4"/>
      <sheetName val="TBCRSsdpl_July984"/>
      <sheetName val="Other_Proj_Schdl4"/>
      <sheetName val="OT_CLIENTS4"/>
      <sheetName val="inout_consol_July_984"/>
      <sheetName val="consol_flow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BALAN1"/>
      <sheetName val="Reinforcement"/>
      <sheetName val="Pilling_24"/>
      <sheetName val="BFS"/>
      <sheetName val="Quotation"/>
      <sheetName val="TBS_x005f_x005f_x005f_x005f_x005f_x005f_x005f_x005f_x00"/>
      <sheetName val="경비공통"/>
      <sheetName val=""/>
      <sheetName val="_x0000_⒤"/>
      <sheetName val="_x0000_⒄"/>
      <sheetName val="_x0000_ⓤ"/>
      <sheetName val="_x0000_┤"/>
      <sheetName val="_x0000_╄"/>
      <sheetName val="_x0000_┄"/>
      <sheetName val="crs -G-1_x005f_x001a_"/>
      <sheetName val="Cash Flow Input Data_ISC"/>
      <sheetName val="Interface_SC"/>
      <sheetName val="Calc_ISC"/>
      <sheetName val="Calc_SC"/>
      <sheetName val="Interface_ISC"/>
      <sheetName val="GD"/>
      <sheetName val="CABLE DATA"/>
      <sheetName val="Config"/>
      <sheetName val="Break Dw"/>
      <sheetName val="Tender Summary"/>
      <sheetName val="SUMMARY"/>
      <sheetName val="RW1"/>
      <sheetName val="RW3"/>
      <sheetName val="RW4"/>
      <sheetName val="RW5"/>
      <sheetName val="RW7"/>
      <sheetName val="RW2"/>
      <sheetName val="RW6"/>
      <sheetName val="RA BILL (47-)"/>
      <sheetName val="oman_maint11"/>
      <sheetName val="CORPN_OCT11"/>
      <sheetName val="inout_consol-nov11"/>
      <sheetName val="inout_consol_(2)11"/>
      <sheetName val="AS_ON_DT_EXPS_Mar11"/>
      <sheetName val="J_fix_asst11"/>
      <sheetName val="J_fix_asst_sdpl11"/>
      <sheetName val="f_a_obpl11"/>
      <sheetName val="J_fix_asst_obpl11"/>
      <sheetName val="J_fix_asst_scc11"/>
      <sheetName val="J_fix_asst_ripl11"/>
      <sheetName val="fa-pl_&amp;_mach-site11"/>
      <sheetName val="fa_off_eqp11"/>
      <sheetName val="fa_fur&amp;_fix11"/>
      <sheetName val="I_Con_WIP_(2)11"/>
      <sheetName val="TBAL9596_-IIIIRUN11"/>
      <sheetName val="TBCRSsdpl_July9811"/>
      <sheetName val="Other_Proj_Schdl11"/>
      <sheetName val="OT_CLIENTS11"/>
      <sheetName val="inout_consol_July_9811"/>
      <sheetName val="consol_flow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0"/>
      <sheetName val="creditors_tb_obpl10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D_Loan__Prom10"/>
      <sheetName val="E_Bank_Loan10"/>
      <sheetName val="G_work_Cap_10"/>
      <sheetName val="H_land_adv10"/>
      <sheetName val="detai_Wip_210"/>
      <sheetName val="detai_Wip_I_10"/>
      <sheetName val="J_Con_WIP10"/>
      <sheetName val="K_L_Oth_Co_10"/>
      <sheetName val="fix_asst_Obpl10"/>
      <sheetName val="TBAL9697__group_wise__sdpl10"/>
      <sheetName val="[sept98_xlsUomantopaz9"/>
      <sheetName val="_sept98_xlsUomantopaz9"/>
      <sheetName val="_sept98_xlsB_Sheet_971"/>
      <sheetName val="_sept98_xls_x005f_x001d_B_Sheet_979"/>
      <sheetName val="PRECAST_lightconc-II9"/>
      <sheetName val="[sept98_xls_x005f_x001d_B_Sheet_979"/>
      <sheetName val="_sept98_xls_x005f_x005f_x005f_x001d_B_Shee6"/>
      <sheetName val="[sept98_xls_x005f_x005f_x005f_x001d_B_Shee6"/>
      <sheetName val="Staff_Acco_6"/>
      <sheetName val="SITE_OVERHEADS6"/>
      <sheetName val="Boq_Block_A6"/>
      <sheetName val="Project_Details__6"/>
      <sheetName val="[sept98_xls࡝sdpl_oth_Liab6"/>
      <sheetName val="RCC,Ret__Wall6"/>
      <sheetName val="scurve_calc_(2)6"/>
      <sheetName val="LIST_OF_MAKES6"/>
      <sheetName val="_sept98_xls࡝sdpl_oth_Liab6"/>
      <sheetName val="_sept98_xls_x005f_x005f_x005f_x005f_x005f_x005f_6"/>
      <sheetName val="crs_-G-1_x005f_x001a__x005f_x0000__x005f_x0000_T6"/>
      <sheetName val="crs_-G-1_x005f_x001a___TBAL9697_-gro6"/>
      <sheetName val="final_abstract6"/>
      <sheetName val="key_dates6"/>
      <sheetName val="Labor_abs-NMR6"/>
      <sheetName val="Fin_Sum6"/>
      <sheetName val="Customize_Your_Purchase_Order6"/>
      <sheetName val="_sept98_xls_x005f_x001d_B_Sheet6"/>
      <sheetName val="_sept98_xls_x005f_x005f_x6"/>
      <sheetName val="INPUT_SHEET5"/>
      <sheetName val="DETAILED__BOQ5"/>
      <sheetName val="acevsSp_(ABC)5"/>
      <sheetName val="MASTER_RATE_ANALYSIS5"/>
      <sheetName val="BEAM_INPUT5"/>
      <sheetName val="Plinth_beam5"/>
      <sheetName val="Direct_Cost5"/>
      <sheetName val="IO_LIST5"/>
      <sheetName val="oman_maint8"/>
      <sheetName val="CORPN_OCT8"/>
      <sheetName val="inout_consol-nov8"/>
      <sheetName val="inout_consol_(2)8"/>
      <sheetName val="AS_ON_DT_EXPS_Mar8"/>
      <sheetName val="J_fix_asst8"/>
      <sheetName val="J_fix_asst_sdpl8"/>
      <sheetName val="f_a_obpl8"/>
      <sheetName val="J_fix_asst_obpl8"/>
      <sheetName val="J_fix_asst_scc8"/>
      <sheetName val="J_fix_asst_ripl8"/>
      <sheetName val="fa-pl_&amp;_mach-site8"/>
      <sheetName val="fa_off_eqp8"/>
      <sheetName val="fa_fur&amp;_fix8"/>
      <sheetName val="I_Con_WIP_(2)8"/>
      <sheetName val="TBAL9596_-IIIIRUN8"/>
      <sheetName val="TBCRSsdpl_July988"/>
      <sheetName val="Other_Proj_Schdl8"/>
      <sheetName val="OT_CLIENTS8"/>
      <sheetName val="inout_consol_July_988"/>
      <sheetName val="consol_flow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7"/>
      <sheetName val="creditors_tb_obpl7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D_Loan__Prom7"/>
      <sheetName val="E_Bank_Loan7"/>
      <sheetName val="G_work_Cap_7"/>
      <sheetName val="H_land_adv7"/>
      <sheetName val="detai_Wip_27"/>
      <sheetName val="detai_Wip_I_7"/>
      <sheetName val="J_Con_WIP7"/>
      <sheetName val="K_L_Oth_Co_7"/>
      <sheetName val="fix_asst_Obpl7"/>
      <sheetName val="TBAL9697__group_wise__sdpl7"/>
      <sheetName val="[sept98_xlsUomantopaz6"/>
      <sheetName val="_sept98_xlsUomantopaz6"/>
      <sheetName val="_sept98_xls_x005f_x001d_B_Sheet_976"/>
      <sheetName val="PRECAST_lightconc-II6"/>
      <sheetName val="[sept98_xls_x005f_x001d_B_Sheet_976"/>
      <sheetName val="_sept98_xls_x005f_x005f_x005f_x001d_B_Shee4"/>
      <sheetName val="[sept98_xls_x005f_x005f_x005f_x001d_B_Shee4"/>
      <sheetName val="Staff_Acco_4"/>
      <sheetName val="SITE_OVERHEADS4"/>
      <sheetName val="Boq_Block_A4"/>
      <sheetName val="Project_Details__4"/>
      <sheetName val="[sept98_xls࡝sdpl_oth_Liab4"/>
      <sheetName val="RCC,Ret__Wall4"/>
      <sheetName val="scurve_calc_(2)4"/>
      <sheetName val="LIST_OF_MAKES4"/>
      <sheetName val="_sept98_xls࡝sdpl_oth_Liab4"/>
      <sheetName val="_sept98_xls_x005f_x005f_x005f_x005f_x005f_x005f_4"/>
      <sheetName val="crs_-G-1_x005f_x001a__x005f_x0000__x005f_x0000_T4"/>
      <sheetName val="crs_-G-1_x005f_x001a___TBAL9697_-gro4"/>
      <sheetName val="final_abstract4"/>
      <sheetName val="key_dates4"/>
      <sheetName val="Labor_abs-NMR4"/>
      <sheetName val="Fin_Sum4"/>
      <sheetName val="Customize_Your_Purchase_Order4"/>
      <sheetName val="_sept98_xls_x005f_x001d_B_Sheet4"/>
      <sheetName val="_sept98_xls_x005f_x005f_x4"/>
      <sheetName val="INPUT_SHEET3"/>
      <sheetName val="DETAILED__BOQ3"/>
      <sheetName val="acevsSp_(ABC)3"/>
      <sheetName val="MASTER_RATE_ANALYSIS3"/>
      <sheetName val="BEAM_INPUT3"/>
      <sheetName val="Plinth_beam3"/>
      <sheetName val="Direct_Cost3"/>
      <sheetName val="IO_LIST3"/>
      <sheetName val="oman_maint7"/>
      <sheetName val="CORPN_OCT7"/>
      <sheetName val="inout_consol-nov7"/>
      <sheetName val="inout_consol_(2)7"/>
      <sheetName val="AS_ON_DT_EXPS_Mar7"/>
      <sheetName val="J_fix_asst7"/>
      <sheetName val="J_fix_asst_sdpl7"/>
      <sheetName val="f_a_obpl7"/>
      <sheetName val="J_fix_asst_obpl7"/>
      <sheetName val="J_fix_asst_scc7"/>
      <sheetName val="J_fix_asst_ripl7"/>
      <sheetName val="fa-pl_&amp;_mach-site7"/>
      <sheetName val="fa_off_eqp7"/>
      <sheetName val="fa_fur&amp;_fix7"/>
      <sheetName val="I_Con_WIP_(2)7"/>
      <sheetName val="TBAL9596_-IIIIRUN7"/>
      <sheetName val="TBCRSsdpl_July987"/>
      <sheetName val="Other_Proj_Schdl7"/>
      <sheetName val="OT_CLIENTS7"/>
      <sheetName val="inout_consol_July_987"/>
      <sheetName val="consol_flow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6"/>
      <sheetName val="creditors_tb_obpl6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D_Loan__Prom6"/>
      <sheetName val="E_Bank_Loan6"/>
      <sheetName val="G_work_Cap_6"/>
      <sheetName val="H_land_adv6"/>
      <sheetName val="detai_Wip_26"/>
      <sheetName val="detai_Wip_I_6"/>
      <sheetName val="J_Con_WIP6"/>
      <sheetName val="K_L_Oth_Co_6"/>
      <sheetName val="fix_asst_Obpl6"/>
      <sheetName val="TBAL9697__group_wise__sdpl6"/>
      <sheetName val="[sept98_xlsUomantopaz5"/>
      <sheetName val="_sept98_xlsUomantopaz5"/>
      <sheetName val="_sept98_xls_x005f_x001d_B_Sheet_975"/>
      <sheetName val="PRECAST_lightconc-II5"/>
      <sheetName val="[sept98_xls_x005f_x001d_B_Sheet_975"/>
      <sheetName val="_sept98_xls_x005f_x005f_x005f_x001d_B_Shee3"/>
      <sheetName val="[sept98_xls_x005f_x005f_x005f_x001d_B_Shee3"/>
      <sheetName val="Staff_Acco_3"/>
      <sheetName val="SITE_OVERHEADS3"/>
      <sheetName val="Boq_Block_A3"/>
      <sheetName val="Project_Details__3"/>
      <sheetName val="[sept98_xls࡝sdpl_oth_Liab3"/>
      <sheetName val="RCC,Ret__Wall3"/>
      <sheetName val="scurve_calc_(2)3"/>
      <sheetName val="LIST_OF_MAKES3"/>
      <sheetName val="_sept98_xls࡝sdpl_oth_Liab3"/>
      <sheetName val="_sept98_xls_x005f_x005f_x005f_x005f_x005f_x005f_3"/>
      <sheetName val="crs_-G-1_x005f_x001a__x005f_x0000__x005f_x0000_T3"/>
      <sheetName val="crs_-G-1_x005f_x001a___TBAL9697_-gro3"/>
      <sheetName val="final_abstract3"/>
      <sheetName val="key_dates3"/>
      <sheetName val="Labor_abs-NMR3"/>
      <sheetName val="Fin_Sum3"/>
      <sheetName val="Customize_Your_Purchase_Order3"/>
      <sheetName val="_sept98_xls_x005f_x001d_B_Sheet3"/>
      <sheetName val="_sept98_xls_x005f_x005f_x3"/>
      <sheetName val="INPUT_SHEET2"/>
      <sheetName val="DETAILED__BOQ2"/>
      <sheetName val="acevsSp_(ABC)2"/>
      <sheetName val="MASTER_RATE_ANALYSIS2"/>
      <sheetName val="BEAM_INPUT2"/>
      <sheetName val="Plinth_beam2"/>
      <sheetName val="Direct_Cost2"/>
      <sheetName val="IO_LIST2"/>
      <sheetName val="oman_maint5"/>
      <sheetName val="CORPN_OCT5"/>
      <sheetName val="inout_consol-nov5"/>
      <sheetName val="inout_consol_(2)5"/>
      <sheetName val="AS_ON_DT_EXPS_Mar5"/>
      <sheetName val="J_fix_asst5"/>
      <sheetName val="J_fix_asst_sdpl5"/>
      <sheetName val="f_a_obpl5"/>
      <sheetName val="J_fix_asst_obpl5"/>
      <sheetName val="J_fix_asst_scc5"/>
      <sheetName val="J_fix_asst_ripl5"/>
      <sheetName val="fa-pl_&amp;_mach-site5"/>
      <sheetName val="fa_off_eqp5"/>
      <sheetName val="fa_fur&amp;_fix5"/>
      <sheetName val="I_Con_WIP_(2)5"/>
      <sheetName val="TBAL9596_-IIIIRUN5"/>
      <sheetName val="TBCRSsdpl_July985"/>
      <sheetName val="Other_Proj_Schdl5"/>
      <sheetName val="OT_CLIENTS5"/>
      <sheetName val="inout_consol_July_985"/>
      <sheetName val="consol_flow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D_Loan__Prom4"/>
      <sheetName val="E_Bank_Loan4"/>
      <sheetName val="G_work_Cap_4"/>
      <sheetName val="H_land_adv4"/>
      <sheetName val="detai_Wip_24"/>
      <sheetName val="detai_Wip_I_4"/>
      <sheetName val="J_Con_WIP4"/>
      <sheetName val="K_L_Oth_Co_4"/>
      <sheetName val="fix_asst_Obpl4"/>
      <sheetName val="TBAL9697__group_wise__sdpl4"/>
      <sheetName val="[sept98_xlsUomantopaz3"/>
      <sheetName val="_sept98_xlsUomantopaz3"/>
      <sheetName val="_sept98_xls_x005f_x001d_B_Sheet_973"/>
      <sheetName val="PRECAST_lightconc-II3"/>
      <sheetName val="[sept98_xls_x005f_x001d_B_Sheet_973"/>
      <sheetName val="_sept98_xls_x005f_x005f_x005f_x001d_B_Shee1"/>
      <sheetName val="[sept98_xls_x005f_x005f_x005f_x001d_B_Shee1"/>
      <sheetName val="Staff_Acco_1"/>
      <sheetName val="SITE_OVERHEADS1"/>
      <sheetName val="Boq_Block_A1"/>
      <sheetName val="Project_Details__1"/>
      <sheetName val="[sept98_xls࡝sdpl_oth_Liab1"/>
      <sheetName val="RCC,Ret__Wall1"/>
      <sheetName val="scurve_calc_(2)1"/>
      <sheetName val="LIST_OF_MAKES1"/>
      <sheetName val="_sept98_xls࡝sdpl_oth_Liab1"/>
      <sheetName val="_sept98_xls_x005f_x005f_x005f_x005f_x005f_x005f_1"/>
      <sheetName val="crs_-G-1_x005f_x001a__x005f_x0000__x005f_x0000_T1"/>
      <sheetName val="crs_-G-1_x005f_x001a___TBAL9697_-gro1"/>
      <sheetName val="final_abstract1"/>
      <sheetName val="key_dates1"/>
      <sheetName val="Labor_abs-NMR1"/>
      <sheetName val="Fin_Sum1"/>
      <sheetName val="Customize_Your_Purchase_Order1"/>
      <sheetName val="_sept98_xls_x005f_x001d_B_Sheet1"/>
      <sheetName val="_sept98_xls_x005f_x005f_x1"/>
      <sheetName val="INPUT_SHEET"/>
      <sheetName val="DETAILED__BOQ"/>
      <sheetName val="acevsSp_(ABC)"/>
      <sheetName val="MASTER_RATE_ANALYSIS"/>
      <sheetName val="BEAM_INPUT"/>
      <sheetName val="Plinth_beam"/>
      <sheetName val="Direct_Cost"/>
      <sheetName val="IO_LIST"/>
      <sheetName val="Detail_In_Door_Stad"/>
      <sheetName val="_sept98_xlsB_Sheet"/>
      <sheetName val="_sept98_xls_x005f_x005f_x005f_x005f_x"/>
      <sheetName val="Labor_abs-PW"/>
      <sheetName val="KQ_Cost_Controlling"/>
      <sheetName val="KQ_Appropriation"/>
      <sheetName val="Basic_Rates"/>
      <sheetName val="Works_-_Quote_Sheet"/>
      <sheetName val="Cashflow_projection"/>
      <sheetName val="Rate_Analysis"/>
      <sheetName val="crs_-G-1_x005f_x001a_"/>
      <sheetName val="Cash_Flow_Input_Data_ISC"/>
      <sheetName val="CABLE_DATA"/>
      <sheetName val="Break_Dw"/>
      <sheetName val="Debits_as_on_12_04_08"/>
      <sheetName val="220_11__BS_"/>
      <sheetName val="GR_slab-reinft"/>
      <sheetName val="Assumption_Inputs"/>
      <sheetName val="SPILL_OVER"/>
      <sheetName val="GF_Columns"/>
      <sheetName val="oman_maint6"/>
      <sheetName val="CORPN_OCT6"/>
      <sheetName val="inout_consol-nov6"/>
      <sheetName val="inout_consol_(2)6"/>
      <sheetName val="AS_ON_DT_EXPS_Mar6"/>
      <sheetName val="J_fix_asst6"/>
      <sheetName val="J_fix_asst_sdpl6"/>
      <sheetName val="f_a_obpl6"/>
      <sheetName val="J_fix_asst_obpl6"/>
      <sheetName val="J_fix_asst_scc6"/>
      <sheetName val="J_fix_asst_ripl6"/>
      <sheetName val="fa-pl_&amp;_mach-site6"/>
      <sheetName val="fa_off_eqp6"/>
      <sheetName val="fa_fur&amp;_fix6"/>
      <sheetName val="I_Con_WIP_(2)6"/>
      <sheetName val="TBAL9596_-IIIIRUN6"/>
      <sheetName val="TBCRSsdpl_July986"/>
      <sheetName val="Other_Proj_Schdl6"/>
      <sheetName val="OT_CLIENTS6"/>
      <sheetName val="inout_consol_July_986"/>
      <sheetName val="consol_flow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5"/>
      <sheetName val="creditors_tb_obpl5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D_Loan__Prom5"/>
      <sheetName val="E_Bank_Loan5"/>
      <sheetName val="G_work_Cap_5"/>
      <sheetName val="H_land_adv5"/>
      <sheetName val="detai_Wip_25"/>
      <sheetName val="detai_Wip_I_5"/>
      <sheetName val="J_Con_WIP5"/>
      <sheetName val="K_L_Oth_Co_5"/>
      <sheetName val="fix_asst_Obpl5"/>
      <sheetName val="TBAL9697__group_wise__sdpl5"/>
      <sheetName val="[sept98_xlsUomantopaz4"/>
      <sheetName val="_sept98_xlsUomantopaz4"/>
      <sheetName val="_sept98_xls_x005f_x001d_B_Sheet_974"/>
      <sheetName val="PRECAST_lightconc-II4"/>
      <sheetName val="[sept98_xls_x005f_x001d_B_Sheet_974"/>
      <sheetName val="_sept98_xls_x005f_x005f_x005f_x001d_B_Shee2"/>
      <sheetName val="[sept98_xls_x005f_x005f_x005f_x001d_B_Shee2"/>
      <sheetName val="Staff_Acco_2"/>
      <sheetName val="SITE_OVERHEADS2"/>
      <sheetName val="Boq_Block_A2"/>
      <sheetName val="Project_Details__2"/>
      <sheetName val="[sept98_xls࡝sdpl_oth_Liab2"/>
      <sheetName val="RCC,Ret__Wall2"/>
      <sheetName val="scurve_calc_(2)2"/>
      <sheetName val="LIST_OF_MAKES2"/>
      <sheetName val="_sept98_xls࡝sdpl_oth_Liab2"/>
      <sheetName val="_sept98_xls_x005f_x005f_x005f_x005f_x005f_x005f_2"/>
      <sheetName val="crs_-G-1_x005f_x001a__x005f_x0000__x005f_x0000_T2"/>
      <sheetName val="crs_-G-1_x005f_x001a___TBAL9697_-gro2"/>
      <sheetName val="final_abstract2"/>
      <sheetName val="key_dates2"/>
      <sheetName val="Labor_abs-NMR2"/>
      <sheetName val="Fin_Sum2"/>
      <sheetName val="Customize_Your_Purchase_Order2"/>
      <sheetName val="_sept98_xls_x005f_x001d_B_Sheet2"/>
      <sheetName val="_sept98_xls_x005f_x005f_x2"/>
      <sheetName val="INPUT_SHEET1"/>
      <sheetName val="DETAILED__BOQ1"/>
      <sheetName val="acevsSp_(ABC)1"/>
      <sheetName val="MASTER_RATE_ANALYSIS1"/>
      <sheetName val="BEAM_INPUT1"/>
      <sheetName val="Plinth_beam1"/>
      <sheetName val="Direct_Cost1"/>
      <sheetName val="IO_LIST1"/>
      <sheetName val="Detail_In_Door_Stad1"/>
      <sheetName val="_sept98_xls_x005f_x005f_x005f_x005f_x1"/>
      <sheetName val="Labor_abs-PW1"/>
      <sheetName val="KQ_Cost_Controlling1"/>
      <sheetName val="KQ_Appropriation1"/>
      <sheetName val="Basic_Rates1"/>
      <sheetName val="Works_-_Quote_Sheet1"/>
      <sheetName val="Cashflow_projection1"/>
      <sheetName val="Rate_Analysis1"/>
      <sheetName val="crs_-G-1_x005f_x001a_1"/>
      <sheetName val="Cash_Flow_Input_Data_ISC1"/>
      <sheetName val="CABLE_DATA1"/>
      <sheetName val="Break_Dw1"/>
      <sheetName val="Debits_as_on_12_04_081"/>
      <sheetName val="220_11__BS_1"/>
      <sheetName val="GR_slab-reinft1"/>
      <sheetName val="Assumption_Inputs1"/>
      <sheetName val="SPILL_OVER1"/>
      <sheetName val="GF_Columns1"/>
      <sheetName val="Detail_In_Door_Stad2"/>
      <sheetName val="_sept98_xls_x005f_x005f_x005f_x005f_x2"/>
      <sheetName val="Labor_abs-PW2"/>
      <sheetName val="KQ_Cost_Controlling2"/>
      <sheetName val="KQ_Appropriation2"/>
      <sheetName val="Basic_Rates2"/>
      <sheetName val="Works_-_Quote_Sheet2"/>
      <sheetName val="Cashflow_projection2"/>
      <sheetName val="Rate_Analysis2"/>
      <sheetName val="crs_-G-1_x005f_x001a_2"/>
      <sheetName val="Cash_Flow_Input_Data_ISC2"/>
      <sheetName val="CABLE_DATA2"/>
      <sheetName val="Break_Dw2"/>
      <sheetName val="Debits_as_on_12_04_082"/>
      <sheetName val="220_11__BS_2"/>
      <sheetName val="GR_slab-reinft2"/>
      <sheetName val="Assumption_Inputs2"/>
      <sheetName val="SPILL_OVER2"/>
      <sheetName val="GF_Columns2"/>
      <sheetName val="oman_maint10"/>
      <sheetName val="CORPN_OCT10"/>
      <sheetName val="inout_consol-nov10"/>
      <sheetName val="inout_consol_(2)10"/>
      <sheetName val="AS_ON_DT_EXPS_Mar10"/>
      <sheetName val="J_fix_asst10"/>
      <sheetName val="J_fix_asst_sdpl10"/>
      <sheetName val="f_a_obpl10"/>
      <sheetName val="J_fix_asst_obpl10"/>
      <sheetName val="J_fix_asst_scc10"/>
      <sheetName val="J_fix_asst_ripl10"/>
      <sheetName val="fa-pl_&amp;_mach-site10"/>
      <sheetName val="fa_off_eqp10"/>
      <sheetName val="fa_fur&amp;_fix10"/>
      <sheetName val="I_Con_WIP_(2)10"/>
      <sheetName val="TBAL9596_-IIIIRUN10"/>
      <sheetName val="TBCRSsdpl_July9810"/>
      <sheetName val="Other_Proj_Schdl10"/>
      <sheetName val="OT_CLIENTS10"/>
      <sheetName val="inout_consol_July_9810"/>
      <sheetName val="consol_flow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8"/>
      <sheetName val="creditors_tb_obpl8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D_Loan__Prom8"/>
      <sheetName val="E_Bank_Loan8"/>
      <sheetName val="G_work_Cap_8"/>
      <sheetName val="H_land_adv8"/>
      <sheetName val="detai_Wip_28"/>
      <sheetName val="detai_Wip_I_8"/>
      <sheetName val="J_Con_WIP8"/>
      <sheetName val="K_L_Oth_Co_8"/>
      <sheetName val="fix_asst_Obpl8"/>
      <sheetName val="TBAL9697__group_wise__sdpl8"/>
      <sheetName val="[sept98_xlsUomantopaz8"/>
      <sheetName val="_sept98_xlsUomantopaz8"/>
      <sheetName val="_sept98_xls_x005f_x001d_B_Sheet_978"/>
      <sheetName val="PRECAST_lightconc-II8"/>
      <sheetName val="[sept98_xls_x005f_x001d_B_Sheet_978"/>
      <sheetName val="_sept98_xls_x005f_x005f_x005f_x001d_B_Shee5"/>
      <sheetName val="[sept98_xls_x005f_x005f_x005f_x001d_B_Shee5"/>
      <sheetName val="Staff_Acco_5"/>
      <sheetName val="SITE_OVERHEADS5"/>
      <sheetName val="Boq_Block_A5"/>
      <sheetName val="Project_Details__5"/>
      <sheetName val="[sept98_xls࡝sdpl_oth_Liab5"/>
      <sheetName val="RCC,Ret__Wall5"/>
      <sheetName val="scurve_calc_(2)5"/>
      <sheetName val="LIST_OF_MAKES5"/>
      <sheetName val="_sept98_xls࡝sdpl_oth_Liab5"/>
      <sheetName val="_sept98_xls_x005f_x005f_x005f_x005f_x005f_x005f_5"/>
      <sheetName val="crs_-G-1_x005f_x001a__x005f_x0000__x005f_x0000_T5"/>
      <sheetName val="crs_-G-1_x005f_x001a___TBAL9697_-gro5"/>
      <sheetName val="final_abstract5"/>
      <sheetName val="key_dates5"/>
      <sheetName val="Labor_abs-NMR5"/>
      <sheetName val="Fin_Sum5"/>
      <sheetName val="Customize_Your_Purchase_Order5"/>
      <sheetName val="_sept98_xls_x005f_x001d_B_Sheet5"/>
      <sheetName val="_sept98_xls_x005f_x005f_x5"/>
      <sheetName val="INPUT_SHEET4"/>
      <sheetName val="DETAILED__BOQ4"/>
      <sheetName val="acevsSp_(ABC)4"/>
      <sheetName val="MASTER_RATE_ANALYSIS4"/>
      <sheetName val="BEAM_INPUT4"/>
      <sheetName val="Plinth_beam4"/>
      <sheetName val="Direct_Cost4"/>
      <sheetName val="IO_LIST4"/>
      <sheetName val="GM &amp; TA"/>
      <sheetName val="12A"/>
      <sheetName val="12B"/>
      <sheetName val="7A"/>
      <sheetName val="7B"/>
      <sheetName val="[sept98.xls_x005f_x005f_x005f_x005f_x005f_x005f_x"/>
      <sheetName val="COMP-MDL"/>
      <sheetName val="Customize Your Invoice"/>
      <sheetName val="Slab"/>
      <sheetName val="oman_maint12"/>
      <sheetName val="CORPN_OCT12"/>
      <sheetName val="inout_consol-nov12"/>
      <sheetName val="inout_consol_(2)12"/>
      <sheetName val="AS_ON_DT_EXPS_Mar12"/>
      <sheetName val="J_fix_asst12"/>
      <sheetName val="J_fix_asst_sdpl12"/>
      <sheetName val="f_a_obpl12"/>
      <sheetName val="J_fix_asst_obpl12"/>
      <sheetName val="J_fix_asst_scc12"/>
      <sheetName val="J_fix_asst_ripl12"/>
      <sheetName val="fa-pl_&amp;_mach-site12"/>
      <sheetName val="fa_off_eqp12"/>
      <sheetName val="fa_fur&amp;_fix12"/>
      <sheetName val="I_Con_WIP_(2)12"/>
      <sheetName val="TBAL9596_-IIIIRUN12"/>
      <sheetName val="TBCRSsdpl_July9812"/>
      <sheetName val="Other_Proj_Schdl12"/>
      <sheetName val="OT_CLIENTS12"/>
      <sheetName val="inout_consol_July_9812"/>
      <sheetName val="consol_flow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1"/>
      <sheetName val="creditors_tb_obpl11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D_Loan__Prom11"/>
      <sheetName val="E_Bank_Loan11"/>
      <sheetName val="G_work_Cap_11"/>
      <sheetName val="H_land_adv11"/>
      <sheetName val="detai_Wip_211"/>
      <sheetName val="detai_Wip_I_11"/>
      <sheetName val="J_Con_WIP11"/>
      <sheetName val="K_L_Oth_Co_11"/>
      <sheetName val="fix_asst_Obpl11"/>
      <sheetName val="TBAL9697__group_wise__sdpl11"/>
      <sheetName val="[sept98_xlsUomantopaz10"/>
      <sheetName val="_sept98_xlsUomantopaz10"/>
      <sheetName val="_sept98_xls_x005f_x001d_B_Sheet_9710"/>
      <sheetName val="PRECAST_lightconc-II10"/>
      <sheetName val="[sept98_xls_x005f_x001d_B_Sheet_9710"/>
      <sheetName val="_sept98_xls_x005f_x005f_x005f_x001d_B_Shee7"/>
      <sheetName val="[sept98_xls_x005f_x005f_x005f_x001d_B_Shee7"/>
      <sheetName val="Staff_Acco_7"/>
      <sheetName val="SITE_OVERHEADS7"/>
      <sheetName val="Boq_Block_A7"/>
      <sheetName val="Project_Details__7"/>
      <sheetName val="[sept98_xls࡝sdpl_oth_Liab7"/>
      <sheetName val="RCC,Ret__Wall7"/>
      <sheetName val="scurve_calc_(2)7"/>
      <sheetName val="LIST_OF_MAKES7"/>
      <sheetName val="_sept98_xls࡝sdpl_oth_Liab7"/>
      <sheetName val="_sept98_xls_x005f_x005f_x005f_x005f_x005f_x005f_7"/>
      <sheetName val="crs_-G-1_x005f_x001a__x005f_x0000__x005f_x0000_T7"/>
      <sheetName val="crs_-G-1_x005f_x001a___TBAL9697_-gro7"/>
      <sheetName val="final_abstract7"/>
      <sheetName val="key_dates7"/>
      <sheetName val="Labor_abs-NMR7"/>
      <sheetName val="Fin_Sum7"/>
      <sheetName val="Customize_Your_Purchase_Order7"/>
      <sheetName val="_sept98_xls_x005f_x001d_B_Sheet7"/>
      <sheetName val="_sept98_xls_x005f_x005f_x7"/>
      <sheetName val="INPUT_SHEET6"/>
      <sheetName val="DETAILED__BOQ6"/>
      <sheetName val="acevsSp_(ABC)6"/>
      <sheetName val="MASTER_RATE_ANALYSIS6"/>
      <sheetName val="BEAM_INPUT6"/>
      <sheetName val="Plinth_beam6"/>
      <sheetName val="Direct_Cost6"/>
      <sheetName val="IO_LIST6"/>
      <sheetName val="Detail_In_Door_Stad3"/>
      <sheetName val="_sept98_xls_x005f_x005f_x005f_x005f_x3"/>
      <sheetName val="Labor_abs-PW3"/>
      <sheetName val="KQ_Cost_Controlling3"/>
      <sheetName val="KQ_Appropriation3"/>
      <sheetName val="Basic_Rates3"/>
      <sheetName val="Works_-_Quote_Sheet3"/>
      <sheetName val="Cashflow_projection3"/>
      <sheetName val="Rate_Analysis3"/>
      <sheetName val="crs_-G-1_x005f_x001a_3"/>
      <sheetName val="Cash_Flow_Input_Data_ISC3"/>
      <sheetName val="CABLE_DATA3"/>
      <sheetName val="Break_Dw3"/>
      <sheetName val="Debits_as_on_12_04_083"/>
      <sheetName val="220_11__BS_3"/>
      <sheetName val="GR_slab-reinft3"/>
      <sheetName val="Assumption_Inputs3"/>
      <sheetName val="SPILL_OVER3"/>
      <sheetName val="GF_Columns3"/>
      <sheetName val="Tender_Summary"/>
      <sheetName val="RA_BILL_(47-)"/>
      <sheetName val="GM_&amp;_TA"/>
      <sheetName val="oman_maint13"/>
      <sheetName val="CORPN_OCT13"/>
      <sheetName val="inout_consol-nov13"/>
      <sheetName val="inout_consol_(2)13"/>
      <sheetName val="AS_ON_DT_EXPS_Mar13"/>
      <sheetName val="J_fix_asst13"/>
      <sheetName val="J_fix_asst_sdpl13"/>
      <sheetName val="f_a_obpl13"/>
      <sheetName val="J_fix_asst_obpl13"/>
      <sheetName val="J_fix_asst_scc13"/>
      <sheetName val="J_fix_asst_ripl13"/>
      <sheetName val="fa-pl_&amp;_mach-site13"/>
      <sheetName val="fa_off_eqp13"/>
      <sheetName val="fa_fur&amp;_fix13"/>
      <sheetName val="I_Con_WIP_(2)13"/>
      <sheetName val="TBAL9596_-IIIIRUN13"/>
      <sheetName val="TBCRSsdpl_July9813"/>
      <sheetName val="Other_Proj_Schdl13"/>
      <sheetName val="OT_CLIENTS13"/>
      <sheetName val="inout_consol_July_9813"/>
      <sheetName val="consol_flow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D_Loan__Prom13"/>
      <sheetName val="E_Bank_Loan13"/>
      <sheetName val="G_work_Cap_13"/>
      <sheetName val="H_land_adv13"/>
      <sheetName val="detai_Wip_213"/>
      <sheetName val="detai_Wip_I_13"/>
      <sheetName val="J_Con_WIP13"/>
      <sheetName val="K_L_Oth_Co_13"/>
      <sheetName val="fix_asst_Obpl13"/>
      <sheetName val="TBAL9697__group_wise__sdpl13"/>
      <sheetName val="D_fix_asst_scdl_12"/>
      <sheetName val="creditors_tb_obpl12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D_Loan__Prom12"/>
      <sheetName val="E_Bank_Loan12"/>
      <sheetName val="G_work_Cap_12"/>
      <sheetName val="H_land_adv12"/>
      <sheetName val="detai_Wip_212"/>
      <sheetName val="detai_Wip_I_12"/>
      <sheetName val="J_Con_WIP12"/>
      <sheetName val="K_L_Oth_Co_12"/>
      <sheetName val="fix_asst_Obpl12"/>
      <sheetName val="TBAL9697__group_wise__sdpl12"/>
      <sheetName val="oman_maint14"/>
      <sheetName val="CORPN_OCT14"/>
      <sheetName val="inout_consol-nov14"/>
      <sheetName val="inout_consol_(2)14"/>
      <sheetName val="AS_ON_DT_EXPS_Mar14"/>
      <sheetName val="J_fix_asst14"/>
      <sheetName val="J_fix_asst_sdpl14"/>
      <sheetName val="f_a_obpl14"/>
      <sheetName val="J_fix_asst_obpl14"/>
      <sheetName val="J_fix_asst_scc14"/>
      <sheetName val="J_fix_asst_ripl14"/>
      <sheetName val="fa-pl_&amp;_mach-site14"/>
      <sheetName val="fa_off_eqp14"/>
      <sheetName val="fa_fur&amp;_fix14"/>
      <sheetName val="I_Con_WIP_(2)14"/>
      <sheetName val="TBAL9596_-IIIIRUN14"/>
      <sheetName val="TBCRSsdpl_July9814"/>
      <sheetName val="Other_Proj_Schdl14"/>
      <sheetName val="OT_CLIENTS14"/>
      <sheetName val="inout_consol_July_9814"/>
      <sheetName val="consol_flow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D_Loan__Prom14"/>
      <sheetName val="E_Bank_Loan14"/>
      <sheetName val="G_work_Cap_14"/>
      <sheetName val="H_land_adv14"/>
      <sheetName val="detai_Wip_214"/>
      <sheetName val="detai_Wip_I_14"/>
      <sheetName val="J_Con_WIP14"/>
      <sheetName val="K_L_Oth_Co_14"/>
      <sheetName val="fix_asst_Obpl14"/>
      <sheetName val="TBAL9697__group_wise__sdpl14"/>
      <sheetName val="_sept98_xlsUomantopaz11"/>
      <sheetName val="[sept98_xlsUomantopaz11"/>
      <sheetName val="_sept98_xls_x005f_x001d_B_Sheet_9711"/>
      <sheetName val="[sept98_xls_x005f_x001d_B_Sheet_9711"/>
      <sheetName val="PRECAST_lightconc-II11"/>
      <sheetName val="oman_maint15"/>
      <sheetName val="CORPN_OCT15"/>
      <sheetName val="inout_consol-nov15"/>
      <sheetName val="inout_consol_(2)15"/>
      <sheetName val="AS_ON_DT_EXPS_Mar15"/>
      <sheetName val="J_fix_asst15"/>
      <sheetName val="J_fix_asst_sdpl15"/>
      <sheetName val="f_a_obpl15"/>
      <sheetName val="J_fix_asst_obpl15"/>
      <sheetName val="J_fix_asst_scc15"/>
      <sheetName val="J_fix_asst_ripl15"/>
      <sheetName val="fa-pl_&amp;_mach-site15"/>
      <sheetName val="fa_off_eqp15"/>
      <sheetName val="fa_fur&amp;_fix15"/>
      <sheetName val="I_Con_WIP_(2)15"/>
      <sheetName val="TBAL9596_-IIIIRUN15"/>
      <sheetName val="TBCRSsdpl_July9815"/>
      <sheetName val="Other_Proj_Schdl15"/>
      <sheetName val="OT_CLIENTS15"/>
      <sheetName val="inout_consol_July_9815"/>
      <sheetName val="consol_flow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D_Loan__Prom15"/>
      <sheetName val="E_Bank_Loan15"/>
      <sheetName val="G_work_Cap_15"/>
      <sheetName val="H_land_adv15"/>
      <sheetName val="detai_Wip_215"/>
      <sheetName val="detai_Wip_I_15"/>
      <sheetName val="J_Con_WIP15"/>
      <sheetName val="K_L_Oth_Co_15"/>
      <sheetName val="fix_asst_Obpl15"/>
      <sheetName val="TBAL9697__group_wise__sdpl15"/>
      <sheetName val="_sept98_xlsUomantopaz12"/>
      <sheetName val="[sept98_xlsUomantopaz12"/>
      <sheetName val="_sept98_xls_x005f_x001d_B_Sheet_9712"/>
      <sheetName val="[sept98_xls_x005f_x001d_B_Sheet_9712"/>
      <sheetName val="PRECAST_lightconc-II12"/>
      <sheetName val="oman_maint16"/>
      <sheetName val="oman_maint18"/>
      <sheetName val="CORPN_OCT17"/>
      <sheetName val="inout_consol-nov17"/>
      <sheetName val="inout_consol_(2)17"/>
      <sheetName val="AS_ON_DT_EXPS_Mar17"/>
      <sheetName val="J_fix_asst17"/>
      <sheetName val="J_fix_asst_sdpl17"/>
      <sheetName val="f_a_obpl17"/>
      <sheetName val="J_fix_asst_obpl17"/>
      <sheetName val="J_fix_asst_scc17"/>
      <sheetName val="J_fix_asst_ripl17"/>
      <sheetName val="fa-pl_&amp;_mach-site17"/>
      <sheetName val="fa_off_eqp17"/>
      <sheetName val="fa_fur&amp;_fix17"/>
      <sheetName val="I_Con_WIP_(2)17"/>
      <sheetName val="TBAL9596_-IIIIRUN17"/>
      <sheetName val="TBCRSsdpl_July9817"/>
      <sheetName val="Other_Proj_Schdl17"/>
      <sheetName val="OT_CLIENTS17"/>
      <sheetName val="inout_consol_July_9817"/>
      <sheetName val="consol_flow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D_Loan__Prom17"/>
      <sheetName val="E_Bank_Loan17"/>
      <sheetName val="G_work_Cap_17"/>
      <sheetName val="H_land_adv17"/>
      <sheetName val="detai_Wip_217"/>
      <sheetName val="detai_Wip_I_17"/>
      <sheetName val="J_Con_WIP17"/>
      <sheetName val="K_L_Oth_Co_17"/>
      <sheetName val="fix_asst_Obpl17"/>
      <sheetName val="TBAL9697__group_wise__sdpl17"/>
      <sheetName val="_sept98_xlsUomantopaz14"/>
      <sheetName val="[sept98_xlsUomantopaz14"/>
      <sheetName val="_sept98_xls_x005f_x001d_B_Sheet_9714"/>
      <sheetName val="[sept98_xls_x005f_x001d_B_Sheet_9714"/>
      <sheetName val="PRECAST_lightconc-II14"/>
      <sheetName val="oman_maint19"/>
      <sheetName val="CORPN_OCT18"/>
      <sheetName val="inout_consol-nov18"/>
      <sheetName val="inout_consol_(2)18"/>
      <sheetName val="AS_ON_DT_EXPS_Mar18"/>
      <sheetName val="J_fix_asst18"/>
      <sheetName val="J_fix_asst_sdpl18"/>
      <sheetName val="f_a_obpl18"/>
      <sheetName val="J_fix_asst_obpl18"/>
      <sheetName val="J_fix_asst_scc18"/>
      <sheetName val="J_fix_asst_ripl18"/>
      <sheetName val="fa-pl_&amp;_mach-site18"/>
      <sheetName val="fa_off_eqp18"/>
      <sheetName val="fa_fur&amp;_fix18"/>
      <sheetName val="I_Con_WIP_(2)18"/>
      <sheetName val="TBAL9596_-IIIIRUN18"/>
      <sheetName val="TBCRSsdpl_July9818"/>
      <sheetName val="Other_Proj_Schdl18"/>
      <sheetName val="OT_CLIENTS18"/>
      <sheetName val="inout_consol_July_9818"/>
      <sheetName val="consol_flow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D_Loan__Prom18"/>
      <sheetName val="E_Bank_Loan18"/>
      <sheetName val="G_work_Cap_18"/>
      <sheetName val="H_land_adv18"/>
      <sheetName val="detai_Wip_218"/>
      <sheetName val="detai_Wip_I_18"/>
      <sheetName val="J_Con_WIP18"/>
      <sheetName val="K_L_Oth_Co_18"/>
      <sheetName val="fix_asst_Obpl18"/>
      <sheetName val="TBAL9697__group_wise__sdpl18"/>
      <sheetName val="PCC"/>
      <sheetName val=" Labour bills -Excav,Conc &amp; Rft"/>
      <sheetName val="sheet6"/>
      <sheetName val="BS1"/>
      <sheetName val="Area Statement"/>
      <sheetName val="Risk Analysis"/>
      <sheetName val="A-General"/>
      <sheetName val="Names&amp;Cases"/>
      <sheetName val="Ref"/>
      <sheetName val="sept98"/>
      <sheetName val="Sheet2"/>
      <sheetName val="PPM Dates 10-16-07"/>
      <sheetName val="Sheet1 (2)"/>
      <sheetName val="basic-data"/>
      <sheetName val="mem-property"/>
      <sheetName val="TBS_x005f_x0004_PLJ"/>
      <sheetName val="TBS_x0004_PLJ"/>
      <sheetName val="_sept98.xls_x"/>
      <sheetName val="crs -G-1_x001a___TB"/>
      <sheetName val="Dropdowns"/>
      <sheetName val="[sept98.xls_x005f_x001d_B_Sheet"/>
      <sheetName val="PHE BOQ"/>
      <sheetName val="Enquire"/>
      <sheetName val="gen"/>
      <sheetName val="TBAL9697 -group wise sdpl"/>
      <sheetName val="Break up Sheet"/>
      <sheetName val="Legal Risk Analysis"/>
      <sheetName val="WORK TABLE"/>
      <sheetName val="Database"/>
      <sheetName val="schedule nos"/>
      <sheetName val="sheeet7"/>
      <sheetName val="SPT vs PHI"/>
      <sheetName val="oman_maint20"/>
      <sheetName val="CORPN_OCT19"/>
      <sheetName val="inout_consol-nov19"/>
      <sheetName val="inout_consol_(2)19"/>
      <sheetName val="AS_ON_DT_EXPS_Mar19"/>
      <sheetName val="J_fix_asst19"/>
      <sheetName val="J_fix_asst_sdpl19"/>
      <sheetName val="f_a_obpl19"/>
      <sheetName val="J_fix_asst_obpl19"/>
      <sheetName val="J_fix_asst_scc19"/>
      <sheetName val="J_fix_asst_ripl19"/>
      <sheetName val="fa-pl_&amp;_mach-site19"/>
      <sheetName val="fa_off_eqp19"/>
      <sheetName val="fa_fur&amp;_fix19"/>
      <sheetName val="I_Con_WIP_(2)19"/>
      <sheetName val="TBAL9596_-IIIIRUN19"/>
      <sheetName val="TBCRSsdpl_July9819"/>
      <sheetName val="Other_Proj_Schdl19"/>
      <sheetName val="OT_CLIENTS19"/>
      <sheetName val="inout_consol_July_9819"/>
      <sheetName val="consol_flow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D_Loan__Prom19"/>
      <sheetName val="E_Bank_Loan19"/>
      <sheetName val="G_work_Cap_19"/>
      <sheetName val="H_land_adv19"/>
      <sheetName val="detai_Wip_219"/>
      <sheetName val="detai_Wip_I_19"/>
      <sheetName val="J_Con_WIP19"/>
      <sheetName val="K_L_Oth_Co_19"/>
      <sheetName val="fix_asst_Obpl19"/>
      <sheetName val="TBAL9697__group_wise__sdpl19"/>
      <sheetName val="[sept98_xlsUomantopaz15"/>
      <sheetName val="_sept98_xlsUomantopaz15"/>
      <sheetName val="_sept98_xls_x005f_x001d_B_Sheet_9715"/>
      <sheetName val="[sept98_xls_x005f_x001d_B_Sheet_9715"/>
      <sheetName val="PRECAST_lightconc-II15"/>
      <sheetName val="Area_Statement"/>
      <sheetName val="Risk_Analysis"/>
      <sheetName val="TBAL9697_-group_wise_sdpl"/>
      <sheetName val="Break_up_Sheet"/>
      <sheetName val="Legal_Risk_Analysis"/>
      <sheetName val="PPM_Dates_10-16-07"/>
      <sheetName val="Sheet1_(2)"/>
      <sheetName val="TBSPLJ"/>
      <sheetName val="_sept98_xls_x"/>
      <sheetName val="crs_-G-1__TB"/>
      <sheetName val="[sept98_xls_x005f_x001d_B_Sheet"/>
      <sheetName val="PHE_BOQ"/>
      <sheetName val="oman_maint21"/>
      <sheetName val="CORPN_OCT21"/>
      <sheetName val="inout_consol-nov21"/>
      <sheetName val="inout_consol_(2)21"/>
      <sheetName val="AS_ON_DT_EXPS_Mar21"/>
      <sheetName val="J_fix_asst21"/>
      <sheetName val="J_fix_asst_sdpl21"/>
      <sheetName val="f_a_obpl21"/>
      <sheetName val="J_fix_asst_obpl21"/>
      <sheetName val="J_fix_asst_scc21"/>
      <sheetName val="J_fix_asst_ripl21"/>
      <sheetName val="fa-pl_&amp;_mach-site21"/>
      <sheetName val="fa_off_eqp21"/>
      <sheetName val="fa_fur&amp;_fix21"/>
      <sheetName val="I_Con_WIP_(2)21"/>
      <sheetName val="TBAL9596_-IIIIRUN21"/>
      <sheetName val="TBCRSsdpl_July9821"/>
      <sheetName val="Other_Proj_Schdl21"/>
      <sheetName val="OT_CLIENTS21"/>
      <sheetName val="inout_consol_July_9821"/>
      <sheetName val="consol_flow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D_Loan__Prom21"/>
      <sheetName val="E_Bank_Loan21"/>
      <sheetName val="G_work_Cap_21"/>
      <sheetName val="H_land_adv21"/>
      <sheetName val="detai_Wip_221"/>
      <sheetName val="detai_Wip_I_21"/>
      <sheetName val="J_Con_WIP21"/>
      <sheetName val="K_L_Oth_Co_21"/>
      <sheetName val="fix_asst_Obpl21"/>
      <sheetName val="TBAL9697__group_wise__sdpl21"/>
      <sheetName val="[sept98_xlsUomantopaz17"/>
      <sheetName val="_sept98_xlsUomantopaz17"/>
      <sheetName val="_sept98_xls_x005f_x001d_B_Sheet_9717"/>
      <sheetName val="[sept98_xls_x005f_x001d_B_Sheet_9717"/>
      <sheetName val="PRECAST_lightconc-II17"/>
      <sheetName val="Tender_Summary1"/>
      <sheetName val="Area_Statement1"/>
      <sheetName val="Risk_Analysis1"/>
      <sheetName val="TBAL9697_-group_wise_sdpl1"/>
      <sheetName val="Break_up_Sheet1"/>
      <sheetName val="RA_BILL_(47-)1"/>
      <sheetName val="Legal_Risk_Analysis1"/>
      <sheetName val="PPM_Dates_10-16-071"/>
      <sheetName val="Sheet1_(2)1"/>
      <sheetName val="_sept98_xls_x1"/>
      <sheetName val="[sept98_xls_x005f_x001d_B_Sheet1"/>
      <sheetName val="PHE_BOQ1"/>
      <sheetName val="oman_maint23"/>
      <sheetName val="CORPN_OCT23"/>
      <sheetName val="inout_consol-nov23"/>
      <sheetName val="inout_consol_(2)23"/>
      <sheetName val="AS_ON_DT_EXPS_Mar23"/>
      <sheetName val="J_fix_asst23"/>
      <sheetName val="J_fix_asst_sdpl23"/>
      <sheetName val="f_a_obpl23"/>
      <sheetName val="J_fix_asst_obpl23"/>
      <sheetName val="J_fix_asst_scc23"/>
      <sheetName val="J_fix_asst_ripl23"/>
      <sheetName val="fa-pl_&amp;_mach-site23"/>
      <sheetName val="fa_off_eqp23"/>
      <sheetName val="fa_fur&amp;_fix23"/>
      <sheetName val="I_Con_WIP_(2)23"/>
      <sheetName val="TBAL9596_-IIIIRUN23"/>
      <sheetName val="TBCRSsdpl_July9823"/>
      <sheetName val="Other_Proj_Schdl23"/>
      <sheetName val="OT_CLIENTS23"/>
      <sheetName val="inout_consol_July_9823"/>
      <sheetName val="consol_flow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D_Loan__Prom23"/>
      <sheetName val="E_Bank_Loan23"/>
      <sheetName val="G_work_Cap_23"/>
      <sheetName val="H_land_adv23"/>
      <sheetName val="detai_Wip_223"/>
      <sheetName val="detai_Wip_I_23"/>
      <sheetName val="J_Con_WIP23"/>
      <sheetName val="K_L_Oth_Co_23"/>
      <sheetName val="fix_asst_Obpl23"/>
      <sheetName val="TBAL9697__group_wise__sdpl23"/>
      <sheetName val="[sept98_xlsUomantopaz19"/>
      <sheetName val="_sept98_xlsUomantopaz19"/>
      <sheetName val="_sept98_xls_x005f_x001d_B_Sheet_9719"/>
      <sheetName val="[sept98_xls_x005f_x001d_B_Sheet_9719"/>
      <sheetName val="PRECAST_lightconc-II19"/>
      <sheetName val="Tender_Summary2"/>
      <sheetName val="Area_Statement2"/>
      <sheetName val="Risk_Analysis2"/>
      <sheetName val="TBAL9697_-group_wise_sdpl2"/>
      <sheetName val="Break_up_Sheet2"/>
      <sheetName val="RA_BILL_(47-)2"/>
      <sheetName val="Legal_Risk_Analysis2"/>
      <sheetName val="PPM_Dates_10-16-072"/>
      <sheetName val="Sheet1_(2)2"/>
      <sheetName val="_sept98_xls_x2"/>
      <sheetName val="[sept98_xls_x005f_x001d_B_Sheet2"/>
      <sheetName val="PHE_BOQ2"/>
      <sheetName val="Mat_Cost"/>
      <sheetName val="Next Weeks Plan"/>
      <sheetName val="GLOBAL_REFERRENCE_SHEET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rs -G-1_x001a_??TB"/>
      <sheetName val="upa"/>
      <sheetName val="COLUMN-CR"/>
      <sheetName val="bending stress"/>
      <sheetName val="VENDQRY"/>
      <sheetName val="Cash Details"/>
      <sheetName val="boq actual"/>
      <sheetName val="crs -G-1_x005f_x001a_??TBAL9697 -grou"/>
      <sheetName val="RA-markate"/>
      <sheetName val="_sept98_xls_x001d_B_Sheet_9713"/>
      <sheetName val="_sept98_xls_x001d_B_Sheet_977"/>
      <sheetName val="_sept98_xls_x001d_B_Sheet_971"/>
      <sheetName val="_sept98_xls_x001d_B_Sheet_972"/>
      <sheetName val="Driveway Beams"/>
      <sheetName val="Staff Acco_"/>
      <sheetName val="01"/>
      <sheetName val="Data sheet"/>
      <sheetName val="Per Unit"/>
      <sheetName val="TBS_x005f_x005f_x005f_x005F_x005f_x0004_PLJ"/>
      <sheetName val="Columns"/>
      <sheetName val="Gen Info"/>
      <sheetName val="schedule1"/>
      <sheetName val="AutoOpen Stub Data"/>
      <sheetName val="salestax9697-t_x005f_x005f_x005f_x0000_"/>
      <sheetName val="crs -G-1_x005f_x005f_x005f_x001a__x005f_x005f_x00"/>
      <sheetName val="crs -G-1_x005f_x005f_x005f_x001a___TBAL9697"/>
      <sheetName val="Material Rate"/>
      <sheetName val="Lowside"/>
      <sheetName val="Pay_Sep06"/>
      <sheetName val="Preambles"/>
      <sheetName val="ANNEXURE 1"/>
      <sheetName val="ANNEXURE 2"/>
      <sheetName val="ANNEXURE 3"/>
      <sheetName val="ANNEXURE 4 - C&amp;I Works "/>
      <sheetName val="ANNEXURE 4 - C&amp;I(HUB &amp; Toilet)"/>
      <sheetName val="C&amp;I- COMM QUAL"/>
      <sheetName val="ANNEXURE 4 - Site Office"/>
      <sheetName val="ANNEXURE 4.PHE &amp; RO "/>
      <sheetName val="ANNEXURE 4.ELECRICAL WORKS"/>
      <sheetName val="Ele-Cables, Trays, Race Way etc"/>
      <sheetName val="Ele - Circuit Wiring "/>
      <sheetName val="ELE - Inventory"/>
      <sheetName val="ANNEXURE 4 LIGHT FIXTURES"/>
      <sheetName val="ANNEXURE 4.UPS"/>
      <sheetName val="ANNEXURE 4 HVAC"/>
      <sheetName val="HVAC -Measurement"/>
      <sheetName val=" Duct Measurement"/>
      <sheetName val="ANNEXURE 4 PAC"/>
      <sheetName val="PAC- Measurement"/>
      <sheetName val="ANNEXURE 4 FPS"/>
      <sheetName val="FPS- Measurement"/>
      <sheetName val="ANNEXURE 4 ELV-FAS"/>
      <sheetName val="FA - Measurement"/>
      <sheetName val="ANNEXURE 4 ELV- Digital PAS"/>
      <sheetName val="PA -Measurement"/>
      <sheetName val="ANNEXURE 4 ELV-RRS"/>
      <sheetName val="RRS- Measurement"/>
      <sheetName val="ANNEXURE 4 ELV-WLD"/>
      <sheetName val="Measurement -WLD"/>
      <sheetName val="ANNEXURE 4 ELV-BMS"/>
      <sheetName val="BMS- Measurement"/>
      <sheetName val="ANNEXURE 4 ELV-VAV"/>
      <sheetName val="VAV-Measurement"/>
      <sheetName val="ANNEXURE 4 SECURITY-ACS"/>
      <sheetName val="Access-Measurement "/>
      <sheetName val="ANNEXURE 4 SECURITY-VMS"/>
      <sheetName val="ANNEXURE 4 SECURITY-CCTV"/>
      <sheetName val="Measurement -CCTV"/>
      <sheetName val="ANNEXURE 4 PRINTER &amp; LOCKER "/>
      <sheetName val="Code03"/>
      <sheetName val="PRSH"/>
      <sheetName val="TBS_x005f_x005f_x005f_x005f_x00"/>
      <sheetName val="crs -G-1_x005f_x001a__x00"/>
      <sheetName val="crs -G-1_x005f_x001a___TBAL9697"/>
      <sheetName val="crs_-G-1_x005f_x001a__x00"/>
      <sheetName val="crs_-G-1_x005f_x001a___TBAL9697"/>
      <sheetName val="salestax9697-t_x005f_x005f_x005"/>
      <sheetName val="crs -G-1_x005f_x005f_x001"/>
      <sheetName val="crs -G-1_x005f_x001a__x005f_x005f_x00"/>
      <sheetName val="[sept98.xls_x005f_x005f_x"/>
      <sheetName val="accom cash"/>
      <sheetName val="train cash"/>
      <sheetName val="NC"/>
      <sheetName val="_sept98_xls_x001d_B_Sheet"/>
      <sheetName val="CONNECT"/>
      <sheetName val="SLAB SCH"/>
      <sheetName val="Voucher"/>
      <sheetName val="Cal"/>
      <sheetName val="FINOLEX"/>
      <sheetName val="Ring Details"/>
      <sheetName val="CABLERET"/>
      <sheetName val="Detail 1A"/>
      <sheetName val="Rate"/>
      <sheetName val="PARAMETRES"/>
      <sheetName val="PROJECT BRIEF(EX.NEW)"/>
      <sheetName val="_sept98_xls_x001d_B_Sheet_9718"/>
      <sheetName val="_sept98_xls_x001d_B_Sheet_9716"/>
      <sheetName val="Construction"/>
      <sheetName val="ecc_res"/>
      <sheetName val="BOQ Distribution"/>
      <sheetName val="Basement Budget"/>
      <sheetName val="Financials"/>
      <sheetName val="_sept98_xls_x005f_x005f_x005f_x001d_B_She_2"/>
      <sheetName val="_sept98_xls_x005f_x005f_x005f_x001d_B_She_3"/>
      <sheetName val="BM"/>
      <sheetName val="ivory"/>
      <sheetName val="[sept98_xls_x005f_x005f_x005f_x005f_x005f_x005f_x"/>
      <sheetName val="crs_-G-1_x005f_x001a_??TBAL9697_-grou"/>
      <sheetName val="Meas.-Hotel Part"/>
      <sheetName val="SC Cost FEB 03"/>
      <sheetName val="SEW4"/>
      <sheetName val="oman_maint25"/>
      <sheetName val="CORPN_OCT24"/>
      <sheetName val="inout_consol-nov24"/>
      <sheetName val="inout_consol_(2)24"/>
      <sheetName val="AS_ON_DT_EXPS_Mar24"/>
      <sheetName val="J_fix_asst24"/>
      <sheetName val="J_fix_asst_sdpl24"/>
      <sheetName val="f_a_obpl24"/>
      <sheetName val="J_fix_asst_obpl24"/>
      <sheetName val="J_fix_asst_scc24"/>
      <sheetName val="J_fix_asst_ripl24"/>
      <sheetName val="fa-pl_&amp;_mach-site24"/>
      <sheetName val="fa_off_eqp24"/>
      <sheetName val="fa_fur&amp;_fix24"/>
      <sheetName val="I_Con_WIP_(2)24"/>
      <sheetName val="TBAL9596_-IIIIRUN24"/>
      <sheetName val="TBCRSsdpl_July9824"/>
      <sheetName val="Other_Proj_Schdl24"/>
      <sheetName val="OT_CLIENTS24"/>
      <sheetName val="inout_consol_July_9824"/>
      <sheetName val="consol_flow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D_Loan__Prom24"/>
      <sheetName val="E_Bank_Loan24"/>
      <sheetName val="G_work_Cap_24"/>
      <sheetName val="H_land_adv24"/>
      <sheetName val="detai_Wip_224"/>
      <sheetName val="detai_Wip_I_24"/>
      <sheetName val="J_Con_WIP24"/>
      <sheetName val="K_L_Oth_Co_24"/>
      <sheetName val="fix_asst_Obpl24"/>
      <sheetName val="TBAL9697__group_wise__sdpl24"/>
      <sheetName val="[sept98_xlsUomantopaz20"/>
      <sheetName val="_sept98_xlsUomantopaz20"/>
      <sheetName val="_sept98_xls_x005f_x001d_B_Sheet_9720"/>
      <sheetName val="[sept98_xls_x005f_x001d_B_Sheet_9720"/>
      <sheetName val="PRECAST_lightconc-II20"/>
      <sheetName val="Tender_Summary3"/>
      <sheetName val="Area_Statement3"/>
      <sheetName val="Risk_Analysis3"/>
      <sheetName val="TBAL9697_-group_wise_sdpl3"/>
      <sheetName val="Break_up_Sheet3"/>
      <sheetName val="RA_BILL_(47-)3"/>
      <sheetName val="Legal_Risk_Analysis3"/>
      <sheetName val="PPM_Dates_10-16-073"/>
      <sheetName val="Sheet1_(2)3"/>
      <sheetName val="_sept98_xls_x3"/>
      <sheetName val="[sept98_xls_x005f_x001d_B_Sheet3"/>
      <sheetName val="PHE_BOQ3"/>
      <sheetName val="11B "/>
      <sheetName val="6B"/>
      <sheetName val="13"/>
      <sheetName val="Builtup Area"/>
      <sheetName val="Customize_Your_Invoice"/>
      <sheetName val="ANNEXURE_1"/>
      <sheetName val="ANNEXURE_2"/>
      <sheetName val="ANNEXURE_3"/>
      <sheetName val="ANNEXURE_4_-_C&amp;I_Works_"/>
      <sheetName val="ANNEXURE_4_-_C&amp;I(HUB_&amp;_Toilet)"/>
      <sheetName val="C&amp;I-_COMM_QUAL"/>
      <sheetName val="ANNEXURE_4_-_Site_Office"/>
      <sheetName val="ANNEXURE_4_PHE_&amp;_RO_"/>
      <sheetName val="ANNEXURE_4_ELECRICAL_WORKS"/>
      <sheetName val="Ele-Cables,_Trays,_Race_Way_etc"/>
      <sheetName val="Ele_-_Circuit_Wiring_"/>
      <sheetName val="ELE_-_Inventory"/>
      <sheetName val="ANNEXURE_4_LIGHT_FIXTURES"/>
      <sheetName val="ANNEXURE_4_UPS"/>
      <sheetName val="ANNEXURE_4_HVAC"/>
      <sheetName val="HVAC_-Measurement"/>
      <sheetName val="_Duct_Measurement"/>
      <sheetName val="ANNEXURE_4_PAC"/>
      <sheetName val="PAC-_Measurement"/>
      <sheetName val="ANNEXURE_4_FPS"/>
      <sheetName val="FPS-_Measurement"/>
      <sheetName val="ANNEXURE_4_ELV-FAS"/>
      <sheetName val="FA_-_Measurement"/>
      <sheetName val="ANNEXURE_4_ELV-_Digital_PAS"/>
      <sheetName val="PA_-Measurement"/>
      <sheetName val="ANNEXURE_4_ELV-RRS"/>
      <sheetName val="RRS-_Measurement"/>
      <sheetName val="ANNEXURE_4_ELV-WLD"/>
      <sheetName val="Measurement_-WLD"/>
      <sheetName val="ANNEXURE_4_ELV-BMS"/>
      <sheetName val="BMS-_Measurement"/>
      <sheetName val="ANNEXURE_4_ELV-VAV"/>
      <sheetName val="ANNEXURE_4_SECURITY-ACS"/>
      <sheetName val="Access-Measurement_"/>
      <sheetName val="ANNEXURE_4_SECURITY-VMS"/>
      <sheetName val="ANNEXURE_4_SECURITY-CCTV"/>
      <sheetName val="Measurement_-CCTV"/>
      <sheetName val="ANNEXURE_4_PRINTER_&amp;_LOCKER_"/>
      <sheetName val="crs_-G-1_x005f_x005f_x005f_x001a__x005f_x005f_x00"/>
      <sheetName val="crs_-G-1_x005f_x005f_x005f_x001a___TBAL9697"/>
      <sheetName val="AutoOpen_Stub_Data"/>
      <sheetName val="Material_Rate"/>
      <sheetName val="Index"/>
      <sheetName val="Footing "/>
      <sheetName val="_sept98_xlsB_Sheet_973"/>
      <sheetName val="boq_actual"/>
      <sheetName val="Gen_Info"/>
      <sheetName val="_sept98_xlsB_Sheet_972"/>
      <sheetName val="crs_-G-1_x005f_x001a__x001"/>
      <sheetName val="crs_-G-1_x005f_x001a___TBAL96971"/>
      <sheetName val="crs_-G-1_x005f_x005f_x001"/>
      <sheetName val="Fina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rs_-G-1_x005f_x005f_x005f_x001a__x005f_x005f_x01"/>
      <sheetName val="crs_-G-1_x005f_x005f_x005f_x001a___TBAL9691"/>
      <sheetName val="AutoOpen_Stub_Data1"/>
      <sheetName val="Material_Rate1"/>
      <sheetName val="boq_actual1"/>
      <sheetName val="[sept98_xls_x005f_x005f_x005f_x005f_x005f_x005f_1"/>
      <sheetName val="crs_-G-1_x005f_x001a_??TBAL9697_-gro1"/>
      <sheetName val="ANNEXURE_11"/>
      <sheetName val="ANNEXURE_21"/>
      <sheetName val="ANNEXURE_31"/>
      <sheetName val="ANNEXURE_4_-_C&amp;I_Works_1"/>
      <sheetName val="ANNEXURE_4_-_C&amp;I(HUB_&amp;_Toilet)1"/>
      <sheetName val="C&amp;I-_COMM_QUAL1"/>
      <sheetName val="ANNEXURE_4_-_Site_Office1"/>
      <sheetName val="ANNEXURE_4_PHE_&amp;_RO_1"/>
      <sheetName val="ANNEXURE_4_ELECRICAL_WORKS1"/>
      <sheetName val="Ele-Cables,_Trays,_Race_Way_et1"/>
      <sheetName val="Ele_-_Circuit_Wiring_1"/>
      <sheetName val="ELE_-_Inventory1"/>
      <sheetName val="ANNEXURE_4_LIGHT_FIXTURES1"/>
      <sheetName val="ANNEXURE_4_UPS1"/>
      <sheetName val="ANNEXURE_4_HVAC1"/>
      <sheetName val="HVAC_-Measurement1"/>
      <sheetName val="_Duct_Measurement1"/>
      <sheetName val="ANNEXURE_4_PAC1"/>
      <sheetName val="PAC-_Measurement1"/>
      <sheetName val="ANNEXURE_4_FPS1"/>
      <sheetName val="FPS-_Measurement1"/>
      <sheetName val="ANNEXURE_4_ELV-FAS1"/>
      <sheetName val="FA_-_Measurement1"/>
      <sheetName val="ANNEXURE_4_ELV-_Digital_PAS1"/>
      <sheetName val="PA_-Measurement1"/>
      <sheetName val="ANNEXURE_4_ELV-RRS1"/>
      <sheetName val="RRS-_Measurement1"/>
      <sheetName val="ANNEXURE_4_ELV-WLD1"/>
      <sheetName val="Measurement_-WLD1"/>
      <sheetName val="ANNEXURE_4_ELV-BMS1"/>
      <sheetName val="BMS-_Measurement1"/>
      <sheetName val="ANNEXURE_4_ELV-VAV1"/>
      <sheetName val="ANNEXURE_4_SECURITY-ACS1"/>
      <sheetName val="Access-Measurement_1"/>
      <sheetName val="ANNEXURE_4_SECURITY-VMS1"/>
      <sheetName val="ANNEXURE_4_SECURITY-CCTV1"/>
      <sheetName val="Measurement_-CCTV1"/>
      <sheetName val="ANNEXURE_4_PRINTER_&amp;_LOCKER_1"/>
      <sheetName val="Gen_Info1"/>
      <sheetName val="crs_-G-1_x005f_x001a__x002"/>
      <sheetName val="crs_-G-1_x005f_x001a___TBAL96972"/>
      <sheetName val="crs_-G-1_x005f_x005f_x0011"/>
      <sheetName val="Design sheet"/>
      <sheetName val="FORM7"/>
      <sheetName val="Formulas"/>
      <sheetName val="labour coeff"/>
      <sheetName val="Fee Rate Summary"/>
      <sheetName val="A"/>
      <sheetName val="VI Floor Beam "/>
      <sheetName val="crs_-G-1_x001a__x0000__x0000_TB"/>
      <sheetName val="crs_-G-1_x001a___TBAL9697_-grou"/>
      <sheetName val="11A"/>
      <sheetName val="14"/>
      <sheetName val="Boq (Main Building)"/>
      <sheetName val="refer"/>
      <sheetName val="TBS_x005f_x005f_x00"/>
      <sheetName val="crs_-G-1_x001a_"/>
      <sheetName val="[sept98_xls_x001d_B_Sheet_97"/>
      <sheetName val="[sept98_xls_x001d_B_Sheet_971"/>
      <sheetName val="[sept98_xls_x001d_B_Sheet_972"/>
      <sheetName val="Column all floor R1"/>
      <sheetName val="Loan Amortization Schedule"/>
      <sheetName val="6A"/>
      <sheetName val="SCHEDULE OF RATES"/>
      <sheetName val="_sept98_xls_x005f_x001d_B_Shee1"/>
      <sheetName val="[sept98_xls_x005f_x001d_B_Shee1"/>
      <sheetName val="_sept98_xls_x005f_x005f_1"/>
      <sheetName val="HPL"/>
      <sheetName val="Annex"/>
      <sheetName val="_sept98_xlsB_Sheet1"/>
      <sheetName val="crs_-G-1TB1"/>
      <sheetName val="crs_-G-1__TBAL9697_-grou1"/>
      <sheetName val="crs_-G-1_x005f_x005f_x005f_x001a__x005f_x005f_x03"/>
      <sheetName val="crs_-G-1_x005f_x005f_x005f_x001a___TBAL9693"/>
      <sheetName val="AutoOpen_Stub_Data3"/>
      <sheetName val="Material_Rate3"/>
      <sheetName val="boq_actual3"/>
      <sheetName val="[sept98_xls_x005f_x005f_x005f_x005f_x005f_x005f_3"/>
      <sheetName val="crs_-G-1_x005f_x001a_??TBAL9697_-gro3"/>
      <sheetName val="ANNEXURE_13"/>
      <sheetName val="ANNEXURE_23"/>
      <sheetName val="ANNEXURE_33"/>
      <sheetName val="ANNEXURE_4_-_C&amp;I_Works_3"/>
      <sheetName val="ANNEXURE_4_-_C&amp;I(HUB_&amp;_Toilet)3"/>
      <sheetName val="C&amp;I-_COMM_QUAL3"/>
      <sheetName val="ANNEXURE_4_-_Site_Office3"/>
      <sheetName val="ANNEXURE_4_PHE_&amp;_RO_3"/>
      <sheetName val="ANNEXURE_4_ELECRICAL_WORKS3"/>
      <sheetName val="Ele-Cables,_Trays,_Race_Way_et3"/>
      <sheetName val="Ele_-_Circuit_Wiring_3"/>
      <sheetName val="ELE_-_Inventory3"/>
      <sheetName val="ANNEXURE_4_LIGHT_FIXTURES3"/>
      <sheetName val="ANNEXURE_4_UPS3"/>
      <sheetName val="ANNEXURE_4_HVAC3"/>
      <sheetName val="HVAC_-Measurement3"/>
      <sheetName val="_Duct_Measurement3"/>
      <sheetName val="ANNEXURE_4_PAC3"/>
      <sheetName val="PAC-_Measurement3"/>
      <sheetName val="ANNEXURE_4_FPS3"/>
      <sheetName val="FPS-_Measurement3"/>
      <sheetName val="ANNEXURE_4_ELV-FAS3"/>
      <sheetName val="FA_-_Measurement3"/>
      <sheetName val="ANNEXURE_4_ELV-_Digital_PAS3"/>
      <sheetName val="PA_-Measurement3"/>
      <sheetName val="ANNEXURE_4_ELV-RRS3"/>
      <sheetName val="RRS-_Measurement3"/>
      <sheetName val="ANNEXURE_4_ELV-WLD3"/>
      <sheetName val="Measurement_-WLD3"/>
      <sheetName val="ANNEXURE_4_ELV-BMS3"/>
      <sheetName val="BMS-_Measurement3"/>
      <sheetName val="ANNEXURE_4_ELV-VAV3"/>
      <sheetName val="ANNEXURE_4_SECURITY-ACS3"/>
      <sheetName val="Access-Measurement_3"/>
      <sheetName val="ANNEXURE_4_SECURITY-VMS3"/>
      <sheetName val="ANNEXURE_4_SECURITY-CCTV3"/>
      <sheetName val="Measurement_-CCTV3"/>
      <sheetName val="ANNEXURE_4_PRINTER_&amp;_LOCKER_3"/>
      <sheetName val="Gen_Info3"/>
      <sheetName val="crs_-G-1_x005f_x001a__x004"/>
      <sheetName val="crs_-G-1_x005f_x001a___TBAL96974"/>
      <sheetName val="crs_-G-1_x005f_x005f_x0013"/>
      <sheetName val="crs_-G-1_x005f_x001a__x005f_x005f_x001"/>
      <sheetName val="[sept98_xls_x005f_x005f_x1"/>
      <sheetName val="accom_cash1"/>
      <sheetName val="train_cash1"/>
      <sheetName val="SLAB_SCH1"/>
      <sheetName val="Customize_Your_Invoice1"/>
      <sheetName val="Ring_Details1"/>
      <sheetName val="schedule_nos1"/>
      <sheetName val="_sept98_xlsB_Sheet_9713"/>
      <sheetName val="_sept98_xlsB_Sheet_977"/>
      <sheetName val="BOQ_Distribution1"/>
      <sheetName val="Basement_Budget1"/>
      <sheetName val="_sept98_xlsB_Sheet_9718"/>
      <sheetName val="_sept98_xlsB_Sheet_9716"/>
      <sheetName val="Design_sheet1"/>
      <sheetName val="labour_coeff1"/>
      <sheetName val="Fee_Rate_Summary1"/>
      <sheetName val="VI_Floor_Beam_1"/>
      <sheetName val="Boq_(Main_Building)1"/>
      <sheetName val="Detail_1A1"/>
      <sheetName val="PROJECT_BRIEF(EX_NEW)1"/>
      <sheetName val="11B_1"/>
      <sheetName val="Footing_1"/>
      <sheetName val="crs_-G-1_x005f_x005f_x005f_x001a__x005f_x005f_x02"/>
      <sheetName val="crs_-G-1_x005f_x005f_x005f_x001a___TBAL9692"/>
      <sheetName val="AutoOpen_Stub_Data2"/>
      <sheetName val="Material_Rate2"/>
      <sheetName val="boq_actual2"/>
      <sheetName val="[sept98_xls_x005f_x005f_x005f_x005f_x005f_x005f_2"/>
      <sheetName val="crs_-G-1_x005f_x001a_??TBAL9697_-gro2"/>
      <sheetName val="ANNEXURE_12"/>
      <sheetName val="ANNEXURE_22"/>
      <sheetName val="ANNEXURE_32"/>
      <sheetName val="ANNEXURE_4_-_C&amp;I_Works_2"/>
      <sheetName val="ANNEXURE_4_-_C&amp;I(HUB_&amp;_Toilet)2"/>
      <sheetName val="C&amp;I-_COMM_QUAL2"/>
      <sheetName val="ANNEXURE_4_-_Site_Office2"/>
      <sheetName val="ANNEXURE_4_PHE_&amp;_RO_2"/>
      <sheetName val="ANNEXURE_4_ELECRICAL_WORKS2"/>
      <sheetName val="Ele-Cables,_Trays,_Race_Way_et2"/>
      <sheetName val="Ele_-_Circuit_Wiring_2"/>
      <sheetName val="ELE_-_Inventory2"/>
      <sheetName val="ANNEXURE_4_LIGHT_FIXTURES2"/>
      <sheetName val="ANNEXURE_4_UPS2"/>
      <sheetName val="ANNEXURE_4_HVAC2"/>
      <sheetName val="HVAC_-Measurement2"/>
      <sheetName val="_Duct_Measurement2"/>
      <sheetName val="ANNEXURE_4_PAC2"/>
      <sheetName val="PAC-_Measurement2"/>
      <sheetName val="ANNEXURE_4_FPS2"/>
      <sheetName val="FPS-_Measurement2"/>
      <sheetName val="ANNEXURE_4_ELV-FAS2"/>
      <sheetName val="FA_-_Measurement2"/>
      <sheetName val="ANNEXURE_4_ELV-_Digital_PAS2"/>
      <sheetName val="PA_-Measurement2"/>
      <sheetName val="ANNEXURE_4_ELV-RRS2"/>
      <sheetName val="RRS-_Measurement2"/>
      <sheetName val="ANNEXURE_4_ELV-WLD2"/>
      <sheetName val="Measurement_-WLD2"/>
      <sheetName val="ANNEXURE_4_ELV-BMS2"/>
      <sheetName val="BMS-_Measurement2"/>
      <sheetName val="ANNEXURE_4_ELV-VAV2"/>
      <sheetName val="ANNEXURE_4_SECURITY-ACS2"/>
      <sheetName val="Access-Measurement_2"/>
      <sheetName val="ANNEXURE_4_SECURITY-VMS2"/>
      <sheetName val="ANNEXURE_4_SECURITY-CCTV2"/>
      <sheetName val="Measurement_-CCTV2"/>
      <sheetName val="ANNEXURE_4_PRINTER_&amp;_LOCKER_2"/>
      <sheetName val="Gen_Info2"/>
      <sheetName val="crs_-G-1_x005f_x001a__x003"/>
      <sheetName val="crs_-G-1_x005f_x001a___TBAL96973"/>
      <sheetName val="crs_-G-1_x005f_x005f_x0012"/>
      <sheetName val="crs_-G-1_x005f_x001a__x005f_x005f_x00"/>
      <sheetName val="[sept98_xls_x005f_x005f_x"/>
      <sheetName val="accom_cash"/>
      <sheetName val="train_cash"/>
      <sheetName val="SLAB_SCH"/>
      <sheetName val="Ring_Details"/>
      <sheetName val="schedule_nos"/>
      <sheetName val="BOQ_Distribution"/>
      <sheetName val="Basement_Budget"/>
      <sheetName val="Design_sheet"/>
      <sheetName val="labour_coeff"/>
      <sheetName val="Fee_Rate_Summary"/>
      <sheetName val="VI_Floor_Beam_"/>
      <sheetName val="Boq_(Main_Building)"/>
      <sheetName val="Detail_1A"/>
      <sheetName val="PROJECT_BRIEF(EX_NEW)"/>
      <sheetName val="11B_"/>
      <sheetName val="Footing_"/>
      <sheetName val="oman_maint26"/>
      <sheetName val="CORPN_OCT25"/>
      <sheetName val="inout_consol-nov25"/>
      <sheetName val="inout_consol_(2)25"/>
      <sheetName val="AS_ON_DT_EXPS_Mar25"/>
      <sheetName val="J_fix_asst25"/>
      <sheetName val="J_fix_asst_sdpl25"/>
      <sheetName val="f_a_obpl25"/>
      <sheetName val="J_fix_asst_obpl25"/>
      <sheetName val="J_fix_asst_scc25"/>
      <sheetName val="J_fix_asst_ripl25"/>
      <sheetName val="fa-pl_&amp;_mach-site25"/>
      <sheetName val="fa_off_eqp25"/>
      <sheetName val="fa_fur&amp;_fix25"/>
      <sheetName val="I_Con_WIP_(2)25"/>
      <sheetName val="TBAL9596_-IIIIRUN25"/>
      <sheetName val="TBCRSsdpl_July9825"/>
      <sheetName val="Other_Proj_Schdl25"/>
      <sheetName val="OT_CLIENTS25"/>
      <sheetName val="inout_consol_July_9825"/>
      <sheetName val="consol_flow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D_Loan__Prom25"/>
      <sheetName val="E_Bank_Loan25"/>
      <sheetName val="G_work_Cap_25"/>
      <sheetName val="H_land_adv25"/>
      <sheetName val="detai_Wip_225"/>
      <sheetName val="detai_Wip_I_25"/>
      <sheetName val="J_Con_WIP25"/>
      <sheetName val="K_L_Oth_Co_25"/>
      <sheetName val="fix_asst_Obpl25"/>
      <sheetName val="TBAL9697__group_wise__sdpl25"/>
      <sheetName val="[sept98_xlsUomantopaz21"/>
      <sheetName val="_sept98_xlsUomantopaz21"/>
      <sheetName val="_sept98_xls_x005f_x001d_B_Sheet_9721"/>
      <sheetName val="PRECAST_lightconc-II21"/>
      <sheetName val="[sept98_xls_x005f_x001d_B_Sheet_9721"/>
      <sheetName val="Detail_In_Door_Stad4"/>
      <sheetName val="_sept98_xls_x005f_x005f_x005f_x005f_x4"/>
      <sheetName val="KQ_Cost_Controlling4"/>
      <sheetName val="KQ_Appropriation4"/>
      <sheetName val="crs_-G-1_x005f_x001a_4"/>
      <sheetName val="RA_BILL_(47-)4"/>
      <sheetName val="Debits_as_on_12_04_084"/>
      <sheetName val="Basic_Rates4"/>
      <sheetName val="Works_-_Quote_Sheet4"/>
      <sheetName val="Cashflow_projection4"/>
      <sheetName val="220_11__BS_4"/>
      <sheetName val="GR_slab-reinft4"/>
      <sheetName val="GF_Columns4"/>
      <sheetName val="Cash_Flow_Input_Data_ISC4"/>
      <sheetName val="Tender_Summary4"/>
      <sheetName val="Rate_Analysis4"/>
      <sheetName val="Assumption_Inputs4"/>
      <sheetName val="PPM_Dates_10-16-074"/>
      <sheetName val="Sheet1_(2)4"/>
      <sheetName val="_sept98_xls_x4"/>
      <sheetName val="[sept98_xls_x005f_x001d_B_Sheet4"/>
      <sheetName val="PHE_BOQ4"/>
      <sheetName val="SPILL_OVER4"/>
      <sheetName val="Break_up_Sheet4"/>
      <sheetName val="TBAL9697_-group_wise_sdpl4"/>
      <sheetName val="Legal_Risk_Analysis4"/>
      <sheetName val="crs_-G-1_x005f_x005f_x005f_x001a__x005f_x005f_x04"/>
      <sheetName val="crs_-G-1_x005f_x005f_x005f_x001a___TBAL9694"/>
      <sheetName val="AutoOpen_Stub_Data4"/>
      <sheetName val="Material_Rate4"/>
      <sheetName val="Area_Statement4"/>
      <sheetName val="Risk_Analysis4"/>
      <sheetName val="boq_actual4"/>
      <sheetName val="[sept98_xls_x005f_x005f_x005f_x005f_x005f_x005f_4"/>
      <sheetName val="crs_-G-1_x005f_x001a_??TBAL9697_-gro4"/>
      <sheetName val="CABLE_DATA4"/>
      <sheetName val="Break_Dw4"/>
      <sheetName val="ANNEXURE_14"/>
      <sheetName val="ANNEXURE_24"/>
      <sheetName val="ANNEXURE_34"/>
      <sheetName val="ANNEXURE_4_-_C&amp;I_Works_4"/>
      <sheetName val="ANNEXURE_4_-_C&amp;I(HUB_&amp;_Toilet)4"/>
      <sheetName val="C&amp;I-_COMM_QUAL4"/>
      <sheetName val="ANNEXURE_4_-_Site_Office4"/>
      <sheetName val="ANNEXURE_4_PHE_&amp;_RO_4"/>
      <sheetName val="ANNEXURE_4_ELECRICAL_WORKS4"/>
      <sheetName val="Ele-Cables,_Trays,_Race_Way_et4"/>
      <sheetName val="Ele_-_Circuit_Wiring_4"/>
      <sheetName val="ELE_-_Inventory4"/>
      <sheetName val="ANNEXURE_4_LIGHT_FIXTURES4"/>
      <sheetName val="ANNEXURE_4_UPS4"/>
      <sheetName val="ANNEXURE_4_HVAC4"/>
      <sheetName val="HVAC_-Measurement4"/>
      <sheetName val="_Duct_Measurement4"/>
      <sheetName val="ANNEXURE_4_PAC4"/>
      <sheetName val="PAC-_Measurement4"/>
      <sheetName val="ANNEXURE_4_FPS4"/>
      <sheetName val="FPS-_Measurement4"/>
      <sheetName val="ANNEXURE_4_ELV-FAS4"/>
      <sheetName val="FA_-_Measurement4"/>
      <sheetName val="ANNEXURE_4_ELV-_Digital_PAS4"/>
      <sheetName val="PA_-Measurement4"/>
      <sheetName val="ANNEXURE_4_ELV-RRS4"/>
      <sheetName val="RRS-_Measurement4"/>
      <sheetName val="ANNEXURE_4_ELV-WLD4"/>
      <sheetName val="Measurement_-WLD4"/>
      <sheetName val="ANNEXURE_4_ELV-BMS4"/>
      <sheetName val="BMS-_Measurement4"/>
      <sheetName val="ANNEXURE_4_ELV-VAV4"/>
      <sheetName val="ANNEXURE_4_SECURITY-ACS4"/>
      <sheetName val="Access-Measurement_4"/>
      <sheetName val="ANNEXURE_4_SECURITY-VMS4"/>
      <sheetName val="ANNEXURE_4_SECURITY-CCTV4"/>
      <sheetName val="Measurement_-CCTV4"/>
      <sheetName val="ANNEXURE_4_PRINTER_&amp;_LOCKER_4"/>
      <sheetName val="Gen_Info4"/>
      <sheetName val="crs_-G-1_x005f_x001a__x005"/>
      <sheetName val="crs_-G-1_x005f_x001a___TBAL96975"/>
      <sheetName val="crs_-G-1_x005f_x005f_x0014"/>
      <sheetName val="crs_-G-1_x005f_x001a__x005f_x005f_x002"/>
      <sheetName val="[sept98_xls_x005f_x005f_x2"/>
      <sheetName val="accom_cash2"/>
      <sheetName val="train_cash2"/>
      <sheetName val="SLAB_SCH2"/>
      <sheetName val="Customize_Your_Invoice2"/>
      <sheetName val="Ring_Details2"/>
      <sheetName val="schedule_nos2"/>
      <sheetName val="BOQ_Distribution2"/>
      <sheetName val="Basement_Budget2"/>
      <sheetName val="Design_sheet2"/>
      <sheetName val="labour_coeff2"/>
      <sheetName val="Fee_Rate_Summary2"/>
      <sheetName val="VI_Floor_Beam_2"/>
      <sheetName val="Boq_(Main_Building)2"/>
      <sheetName val="Detail_1A2"/>
      <sheetName val="PROJECT_BRIEF(EX_NEW)2"/>
      <sheetName val="11B_2"/>
      <sheetName val="Footing_2"/>
      <sheetName val="Lease rents"/>
      <sheetName val="ord-lost_98&amp;99"/>
      <sheetName val="inWords"/>
      <sheetName val="Column Detail"/>
      <sheetName val="oman_maint27"/>
      <sheetName val="CORPN_OCT26"/>
      <sheetName val="inout_consol-nov26"/>
      <sheetName val="inout_consol_(2)26"/>
      <sheetName val="AS_ON_DT_EXPS_Mar26"/>
      <sheetName val="J_fix_asst26"/>
      <sheetName val="J_fix_asst_sdpl26"/>
      <sheetName val="f_a_obpl26"/>
      <sheetName val="J_fix_asst_obpl26"/>
      <sheetName val="J_fix_asst_scc26"/>
      <sheetName val="J_fix_asst_ripl26"/>
      <sheetName val="fa-pl_&amp;_mach-site26"/>
      <sheetName val="fa_off_eqp26"/>
      <sheetName val="fa_fur&amp;_fix26"/>
      <sheetName val="I_Con_WIP_(2)26"/>
      <sheetName val="TBAL9596_-IIIIRUN26"/>
      <sheetName val="TBCRSsdpl_July9826"/>
      <sheetName val="Other_Proj_Schdl26"/>
      <sheetName val="OT_CLIENTS26"/>
      <sheetName val="inout_consol_July_9826"/>
      <sheetName val="consol_flow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D_Loan__Prom26"/>
      <sheetName val="E_Bank_Loan26"/>
      <sheetName val="G_work_Cap_26"/>
      <sheetName val="H_land_adv26"/>
      <sheetName val="detai_Wip_226"/>
      <sheetName val="detai_Wip_I_26"/>
      <sheetName val="J_Con_WIP26"/>
      <sheetName val="K_L_Oth_Co_26"/>
      <sheetName val="fix_asst_Obpl26"/>
      <sheetName val="TBAL9697__group_wise__sdpl26"/>
      <sheetName val="[sept98_xlsUomantopaz22"/>
      <sheetName val="_sept98_xlsUomantopaz22"/>
      <sheetName val="_sept98_xls_x005f_x001d_B_Sheet_9722"/>
      <sheetName val="[sept98_xls_x005f_x001d_B_Sheet_9722"/>
      <sheetName val="PRECAST_lightconc-II22"/>
      <sheetName val="Detail_In_Door_Stad5"/>
      <sheetName val="_sept98_xls_x005f_x005f_x005f_x005f_x5"/>
      <sheetName val="KQ_Cost_Controlling5"/>
      <sheetName val="KQ_Appropriation5"/>
      <sheetName val="crs_-G-1_x005f_x001a_5"/>
      <sheetName val="RA_BILL_(47-)5"/>
      <sheetName val="Debits_as_on_12_04_085"/>
      <sheetName val="Basic_Rates5"/>
      <sheetName val="Works_-_Quote_Sheet5"/>
      <sheetName val="Cashflow_projection5"/>
      <sheetName val="220_11__BS_5"/>
      <sheetName val="GR_slab-reinft5"/>
      <sheetName val="GF_Columns5"/>
      <sheetName val="Cash_Flow_Input_Data_ISC5"/>
      <sheetName val="Tender_Summary5"/>
      <sheetName val="Rate_Analysis5"/>
      <sheetName val="Assumption_Inputs5"/>
      <sheetName val="PPM_Dates_10-16-075"/>
      <sheetName val="Sheet1_(2)5"/>
      <sheetName val="_sept98_xls_x5"/>
      <sheetName val="[sept98_xls_x005f_x001d_B_Sheet5"/>
      <sheetName val="PHE_BOQ5"/>
      <sheetName val="SPILL_OVER5"/>
      <sheetName val="Break_up_Sheet5"/>
      <sheetName val="TBAL9697_-group_wise_sdpl5"/>
      <sheetName val="Legal_Risk_Analysis5"/>
      <sheetName val="crs_-G-1_x005f_x005f_x005f_x001a__x005f_x005f_x05"/>
      <sheetName val="crs_-G-1_x005f_x005f_x005f_x001a___TBAL9695"/>
      <sheetName val="AutoOpen_Stub_Data5"/>
      <sheetName val="Material_Rate5"/>
      <sheetName val="boq_actual5"/>
      <sheetName val="ANNEXURE_15"/>
      <sheetName val="ANNEXURE_25"/>
      <sheetName val="ANNEXURE_35"/>
      <sheetName val="ANNEXURE_4_-_C&amp;I_Works_5"/>
      <sheetName val="ANNEXURE_4_-_C&amp;I(HUB_&amp;_Toilet)5"/>
      <sheetName val="C&amp;I-_COMM_QUAL5"/>
      <sheetName val="ANNEXURE_4_-_Site_Office5"/>
      <sheetName val="ANNEXURE_4_PHE_&amp;_RO_5"/>
      <sheetName val="ANNEXURE_4_ELECRICAL_WORKS5"/>
      <sheetName val="Ele-Cables,_Trays,_Race_Way_et5"/>
      <sheetName val="Ele_-_Circuit_Wiring_5"/>
      <sheetName val="ELE_-_Inventory5"/>
      <sheetName val="ANNEXURE_4_LIGHT_FIXTURES5"/>
      <sheetName val="ANNEXURE_4_UPS5"/>
      <sheetName val="ANNEXURE_4_HVAC5"/>
      <sheetName val="HVAC_-Measurement5"/>
      <sheetName val="_Duct_Measurement5"/>
      <sheetName val="ANNEXURE_4_PAC5"/>
      <sheetName val="PAC-_Measurement5"/>
      <sheetName val="ANNEXURE_4_FPS5"/>
      <sheetName val="FPS-_Measurement5"/>
      <sheetName val="ANNEXURE_4_ELV-FAS5"/>
      <sheetName val="FA_-_Measurement5"/>
      <sheetName val="ANNEXURE_4_ELV-_Digital_PAS5"/>
      <sheetName val="PA_-Measurement5"/>
      <sheetName val="ANNEXURE_4_ELV-RRS5"/>
      <sheetName val="RRS-_Measurement5"/>
      <sheetName val="ANNEXURE_4_ELV-WLD5"/>
      <sheetName val="Measurement_-WLD5"/>
      <sheetName val="ANNEXURE_4_ELV-BMS5"/>
      <sheetName val="BMS-_Measurement5"/>
      <sheetName val="ANNEXURE_4_ELV-VAV5"/>
      <sheetName val="ANNEXURE_4_SECURITY-ACS5"/>
      <sheetName val="Access-Measurement_5"/>
      <sheetName val="ANNEXURE_4_SECURITY-VMS5"/>
      <sheetName val="ANNEXURE_4_SECURITY-CCTV5"/>
      <sheetName val="Measurement_-CCTV5"/>
      <sheetName val="ANNEXURE_4_PRINTER_&amp;_LOCKER_5"/>
      <sheetName val="Gen_Info5"/>
      <sheetName val="[sept98_xls_x005f_x005f_x005f_x005f_x005f_x005f_5"/>
      <sheetName val="crs_-G-1_x005f_x001a_??TBAL9697_-gro5"/>
      <sheetName val="CABLE_DATA5"/>
      <sheetName val="Break_Dw5"/>
      <sheetName val="crs_-G-1_x005f_x001a__x005f_x005f_x003"/>
      <sheetName val="crs_-G-1_x005f_x001a___TBAL96976"/>
      <sheetName val="[sept98_xls_x005f_x005f_x3"/>
      <sheetName val="accom_cash3"/>
      <sheetName val="train_cash3"/>
      <sheetName val="Area_Statement5"/>
      <sheetName val="Risk_Analysis5"/>
      <sheetName val="crs_-G-1_x005f_x001a__x006"/>
      <sheetName val="crs_-G-1_x005f_x005f_x0015"/>
      <sheetName val="SLAB_SCH3"/>
      <sheetName val="Customize_Your_Invoice3"/>
      <sheetName val="Ring_Details3"/>
      <sheetName val="schedule_nos3"/>
      <sheetName val="BOQ_Distribution3"/>
      <sheetName val="Basement_Budget3"/>
      <sheetName val="Design_sheet3"/>
      <sheetName val="labour_coeff3"/>
      <sheetName val="Fee_Rate_Summary3"/>
      <sheetName val="VI_Floor_Beam_3"/>
      <sheetName val="Boq_(Main_Building)3"/>
      <sheetName val="Detail_1A3"/>
      <sheetName val="PROJECT_BRIEF(EX_NEW)3"/>
      <sheetName val="11B_3"/>
      <sheetName val="Footing_3"/>
      <sheetName val="外気負荷"/>
      <sheetName val="MTO REV.0"/>
      <sheetName val="Core Data"/>
      <sheetName val="ASHRAE Std 62.1-2013"/>
      <sheetName val="LPD VALUE"/>
      <sheetName val="IEQ 6.1 Systems Lighting"/>
      <sheetName val="[sept98_xls_x001d_B_Sheet_9713"/>
      <sheetName val="[sept98_xls_x001d_B_Sheet_977"/>
      <sheetName val="[sept98_xls_x001d_B_Sheet_9718"/>
      <sheetName val="[sept98_xls_x001d_B_Sheet_9716"/>
      <sheetName val="_sept98_xls_x001d_B_Sheet_979"/>
      <sheetName val="[sept98_xls_x001d_B_Sheet_979"/>
      <sheetName val="_sept98_xls_x005f_x001d_B_Shee6"/>
      <sheetName val="[sept98_xls_x005f_x001d_B_Shee6"/>
      <sheetName val="_sept98_xls_x005f_x005f_6"/>
      <sheetName val="crs_-G-1_x001a__x0000__x0000_T6"/>
      <sheetName val="crs_-G-1_x001a___TBAL9697_-gro6"/>
      <sheetName val="_sept98_xls_x001d_B_Sheet6"/>
      <sheetName val="_sept98_xls_x6"/>
      <sheetName val="_sept98_xls_x001d_B_Sheet_976"/>
      <sheetName val="[sept98_xls_x001d_B_Sheet_976"/>
      <sheetName val="_sept98_xls_x005f_x001d_B_Shee4"/>
      <sheetName val="[sept98_xls_x005f_x001d_B_Shee4"/>
      <sheetName val="_sept98_xls_x005f_x005f_4"/>
      <sheetName val="crs_-G-1_x001a__x0000__x0000_T4"/>
      <sheetName val="crs_-G-1_x001a___TBAL9697_-gro4"/>
      <sheetName val="_sept98_xls_x001d_B_Sheet4"/>
      <sheetName val="_sept98_xls_x001d_B_Sheet_975"/>
      <sheetName val="[sept98_xls_x001d_B_Sheet_975"/>
      <sheetName val="_sept98_xls_x005f_x001d_B_Shee3"/>
      <sheetName val="[sept98_xls_x005f_x001d_B_Shee3"/>
      <sheetName val="_sept98_xls_x005f_x005f_3"/>
      <sheetName val="crs_-G-1_x001a__x0000__x0000_T3"/>
      <sheetName val="crs_-G-1_x001a___TBAL9697_-gro3"/>
      <sheetName val="_sept98_xls_x001d_B_Sheet3"/>
      <sheetName val="_sept98_xls_x001d_B_Sheet_973"/>
      <sheetName val="[sept98_xls_x001d_B_Sheet_973"/>
      <sheetName val="crs_-G-1_x001a__x0000__x0000_T1"/>
      <sheetName val="crs_-G-1_x001a___TBAL9697_-gro1"/>
      <sheetName val="_sept98_xls_x001d_B_Sheet1"/>
      <sheetName val="_sept98_xls_x001d_B_Sheet_974"/>
      <sheetName val="[sept98_xls_x001d_B_Sheet_974"/>
      <sheetName val="_sept98_xls_x005f_x001d_B_Shee2"/>
      <sheetName val="[sept98_xls_x005f_x001d_B_Shee2"/>
      <sheetName val="_sept98_xls_x005f_x005f_2"/>
      <sheetName val="crs_-G-1_x001a__x0000__x0000_T2"/>
      <sheetName val="crs_-G-1_x001a___TBAL9697_-gro2"/>
      <sheetName val="_sept98_xls_x001d_B_Sheet2"/>
      <sheetName val="crs_-G-1_x001a_1"/>
      <sheetName val="crs_-G-1_x001a_2"/>
      <sheetName val="_sept98_xls_x001d_B_Sheet_978"/>
      <sheetName val="[sept98_xls_x001d_B_Sheet_978"/>
      <sheetName val="_sept98_xls_x005f_x001d_B_Shee5"/>
      <sheetName val="[sept98_xls_x005f_x001d_B_Shee5"/>
      <sheetName val="_sept98_xls_x005f_x005f_5"/>
      <sheetName val="crs_-G-1_x001a__x0000__x0000_T5"/>
      <sheetName val="crs_-G-1_x001a___TBAL9697_-gro5"/>
      <sheetName val="_sept98_xls_x001d_B_Sheet5"/>
      <sheetName val="_sept98_xls_x001d_B_Sheet_9710"/>
      <sheetName val="[sept98_xls_x001d_B_Sheet_9710"/>
      <sheetName val="_sept98_xls_x005f_x001d_B_Shee7"/>
      <sheetName val="[sept98_xls_x005f_x001d_B_Shee7"/>
      <sheetName val="_sept98_xls_x005f_x005f_7"/>
      <sheetName val="crs_-G-1_x001a__x0000__x0000_T7"/>
      <sheetName val="crs_-G-1_x001a___TBAL9697_-gro7"/>
      <sheetName val="_sept98_xls_x001d_B_Sheet7"/>
      <sheetName val="_sept98_xls_x7"/>
      <sheetName val="crs_-G-1_x001a_3"/>
      <sheetName val="_sept98_xls_x001d_B_Sheet_9711"/>
      <sheetName val="[sept98_xls_x001d_B_Sheet_9711"/>
      <sheetName val="_sept98_xls_x001d_B_Sheet_9712"/>
      <sheetName val="[sept98_xls_x001d_B_Sheet_9712"/>
      <sheetName val="_sept98_xls_x001d_B_Sheet_9714"/>
      <sheetName val="[sept98_xls_x001d_B_Sheet_9714"/>
      <sheetName val="[sept98.xls_x001d_B_Sheet"/>
      <sheetName val="_sept98_xls_x001d_B_Sheet_9715"/>
      <sheetName val="[sept98_xls_x001d_B_Sheet_9715"/>
      <sheetName val="[sept98_xls_x001d_B_Sheet"/>
      <sheetName val="_sept98_xls_x001d_B_Sheet_9717"/>
      <sheetName val="[sept98_xls_x001d_B_Sheet_9717"/>
      <sheetName val="[sept98_xls_x001d_B_Sheet1"/>
      <sheetName val="_sept98_xls_x001d_B_Sheet_9719"/>
      <sheetName val="[sept98_xls_x001d_B_Sheet_9719"/>
      <sheetName val="[sept98_xls_x001d_B_Sheet2"/>
      <sheetName val="crs -G-1_x001a_??TBAL9697 -grou"/>
      <sheetName val="crs -G-1_x001a__x00"/>
      <sheetName val="crs -G-1_x001a___TBAL9697"/>
      <sheetName val="crs_-G-1_x001a__x00"/>
      <sheetName val="crs_-G-1_x001a___TBAL9697"/>
      <sheetName val="salestax9697-t_x005"/>
      <sheetName val="crs -G-1_x001"/>
      <sheetName val="[sept98.xls_x"/>
      <sheetName val="_sept98_xls_x005f_x001d_B_She_2"/>
      <sheetName val="_sept98_xls_x005f_x001d_B_She_3"/>
      <sheetName val="crs -G-1_x001a_TBAL9697 -group wise"/>
      <sheetName val="crs -G-1_x001a_TB"/>
      <sheetName val="crs_-G-1_x001a_TB"/>
      <sheetName val="crs_-G-1_x001a_T6"/>
      <sheetName val="crs_-G-1_x001a_T4"/>
      <sheetName val="crs_-G-1_x001a_T3"/>
      <sheetName val="crs_-G-1_x001a_T1"/>
      <sheetName val="crs_-G-1_x001a_T2"/>
      <sheetName val="crs_-G-1_x001a_T5"/>
      <sheetName val="crs_-G-1_x001a_T7"/>
      <sheetName val="Invoice"/>
      <sheetName val="Footings"/>
      <sheetName val="Gujrat"/>
      <sheetName val="Intro"/>
      <sheetName val="Day2works"/>
      <sheetName val="Lead"/>
      <sheetName val="crs__G_1___TBAL9697__group_wi_2"/>
      <sheetName val="crs__G_1___TBAL9697__group_wi_3"/>
      <sheetName val="FIND THE PART"/>
      <sheetName val="일위대가"/>
      <sheetName val="COST"/>
      <sheetName val="細目"/>
      <sheetName val="Load Details(B1)"/>
      <sheetName val="Default Values"/>
      <sheetName val="Background"/>
      <sheetName val="oman_maint28"/>
      <sheetName val="CORPN_OCT27"/>
      <sheetName val="inout_consol-nov27"/>
      <sheetName val="inout_consol_(2)27"/>
      <sheetName val="AS_ON_DT_EXPS_Mar27"/>
      <sheetName val="J_fix_asst27"/>
      <sheetName val="J_fix_asst_sdpl27"/>
      <sheetName val="f_a_obpl27"/>
      <sheetName val="J_fix_asst_obpl27"/>
      <sheetName val="J_fix_asst_scc27"/>
      <sheetName val="J_fix_asst_ripl27"/>
      <sheetName val="fa-pl_&amp;_mach-site27"/>
      <sheetName val="fa_off_eqp27"/>
      <sheetName val="fa_fur&amp;_fix27"/>
      <sheetName val="I_Con_WIP_(2)27"/>
      <sheetName val="TBAL9596_-IIIIRUN27"/>
      <sheetName val="TBCRSsdpl_July9827"/>
      <sheetName val="Other_Proj_Schdl27"/>
      <sheetName val="OT_CLIENTS27"/>
      <sheetName val="inout_consol_July_9827"/>
      <sheetName val="consol_flow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D_Loan__Prom27"/>
      <sheetName val="E_Bank_Loan27"/>
      <sheetName val="G_work_Cap_27"/>
      <sheetName val="H_land_adv27"/>
      <sheetName val="detai_Wip_227"/>
      <sheetName val="detai_Wip_I_27"/>
      <sheetName val="J_Con_WIP27"/>
      <sheetName val="K_L_Oth_Co_27"/>
      <sheetName val="fix_asst_Obpl27"/>
      <sheetName val="TBAL9697__group_wise__sdpl27"/>
      <sheetName val="[sept98_xlsUomantopaz23"/>
      <sheetName val="_sept98_xlsUomantopaz23"/>
      <sheetName val="_sept98_xls_x005f_x001d_B_Sheet_9723"/>
      <sheetName val="[sept98_xls_x005f_x001d_B_Sheet_9723"/>
      <sheetName val="PRECAST_lightconc-II23"/>
      <sheetName val="Detail_In_Door_Stad6"/>
      <sheetName val="_sept98_xls_x005f_x005f_x005f_x005f_x6"/>
      <sheetName val="KQ_Cost_Controlling6"/>
      <sheetName val="KQ_Appropriation6"/>
      <sheetName val="crs_-G-1_x005f_x001a_6"/>
      <sheetName val="RA_BILL_(47-)6"/>
      <sheetName val="Debits_as_on_12_04_086"/>
      <sheetName val="Basic_Rates6"/>
      <sheetName val="Works_-_Quote_Sheet6"/>
      <sheetName val="Cashflow_projection6"/>
      <sheetName val="220_11__BS_6"/>
      <sheetName val="GR_slab-reinft6"/>
      <sheetName val="GF_Columns6"/>
      <sheetName val="Cash_Flow_Input_Data_ISC6"/>
      <sheetName val="Tender_Summary6"/>
      <sheetName val="Rate_Analysis6"/>
      <sheetName val="Assumption_Inputs6"/>
      <sheetName val="PPM_Dates_10-16-076"/>
      <sheetName val="Sheet1_(2)6"/>
      <sheetName val="[sept98_xls_x005f_x001d_B_Sheet6"/>
      <sheetName val="PHE_BOQ6"/>
      <sheetName val="SPILL_OVER6"/>
      <sheetName val="Break_up_Sheet6"/>
      <sheetName val="TBAL9697_-group_wise_sdpl6"/>
      <sheetName val="Legal_Risk_Analysis6"/>
      <sheetName val="crs_-G-1_x005f_x005f_x005f_x001a__x005f_x005f_x06"/>
      <sheetName val="crs_-G-1_x005f_x005f_x005f_x001a___TBAL9696"/>
      <sheetName val="AutoOpen_Stub_Data6"/>
      <sheetName val="Material_Rate6"/>
      <sheetName val="boq_actual6"/>
      <sheetName val="ANNEXURE_16"/>
      <sheetName val="ANNEXURE_26"/>
      <sheetName val="ANNEXURE_36"/>
      <sheetName val="ANNEXURE_4_-_C&amp;I_Works_6"/>
      <sheetName val="ANNEXURE_4_-_C&amp;I(HUB_&amp;_Toilet)6"/>
      <sheetName val="C&amp;I-_COMM_QUAL6"/>
      <sheetName val="ANNEXURE_4_-_Site_Office6"/>
      <sheetName val="ANNEXURE_4_PHE_&amp;_RO_6"/>
      <sheetName val="ANNEXURE_4_ELECRICAL_WORKS6"/>
      <sheetName val="Ele-Cables,_Trays,_Race_Way_et6"/>
      <sheetName val="Ele_-_Circuit_Wiring_6"/>
      <sheetName val="ELE_-_Inventory6"/>
      <sheetName val="ANNEXURE_4_LIGHT_FIXTURES6"/>
      <sheetName val="ANNEXURE_4_UPS6"/>
      <sheetName val="ANNEXURE_4_HVAC6"/>
      <sheetName val="HVAC_-Measurement6"/>
      <sheetName val="_Duct_Measurement6"/>
      <sheetName val="ANNEXURE_4_PAC6"/>
      <sheetName val="PAC-_Measurement6"/>
      <sheetName val="ANNEXURE_4_FPS6"/>
      <sheetName val="FPS-_Measurement6"/>
      <sheetName val="ANNEXURE_4_ELV-FAS6"/>
      <sheetName val="FA_-_Measurement6"/>
      <sheetName val="ANNEXURE_4_ELV-_Digital_PAS6"/>
      <sheetName val="PA_-Measurement6"/>
      <sheetName val="ANNEXURE_4_ELV-RRS6"/>
      <sheetName val="RRS-_Measurement6"/>
      <sheetName val="ANNEXURE_4_ELV-WLD6"/>
      <sheetName val="Measurement_-WLD6"/>
      <sheetName val="ANNEXURE_4_ELV-BMS6"/>
      <sheetName val="BMS-_Measurement6"/>
      <sheetName val="ANNEXURE_4_ELV-VAV6"/>
      <sheetName val="ANNEXURE_4_SECURITY-ACS6"/>
      <sheetName val="Access-Measurement_6"/>
      <sheetName val="ANNEXURE_4_SECURITY-VMS6"/>
      <sheetName val="ANNEXURE_4_SECURITY-CCTV6"/>
      <sheetName val="Measurement_-CCTV6"/>
      <sheetName val="ANNEXURE_4_PRINTER_&amp;_LOCKER_6"/>
      <sheetName val="Gen_Info6"/>
      <sheetName val="[sept98_xls_x005f_x005f_x005f_x005f_x005f_x005f_6"/>
      <sheetName val="crs_-G-1_x005f_x001a_??TBAL9697_-gro6"/>
      <sheetName val="CABLE_DATA6"/>
      <sheetName val="Break_Dw6"/>
      <sheetName val="crs_-G-1_x005f_x001a__x005f_x005f_x004"/>
      <sheetName val="crs_-G-1_x005f_x001a___TBAL96977"/>
      <sheetName val="[sept98_xls_x005f_x005f_x4"/>
      <sheetName val="accom_cash4"/>
      <sheetName val="train_cash4"/>
      <sheetName val="Area_Statement6"/>
      <sheetName val="Risk_Analysis6"/>
      <sheetName val="crs_-G-1_x005f_x001a__x007"/>
      <sheetName val="crs_-G-1_x005f_x005f_x0016"/>
      <sheetName val="SLAB_SCH4"/>
      <sheetName val="Customize_Your_Invoice4"/>
      <sheetName val="Ring_Details4"/>
      <sheetName val="schedule_nos4"/>
      <sheetName val="BOQ_Distribution4"/>
      <sheetName val="Basement_Budget4"/>
      <sheetName val="Design_sheet4"/>
      <sheetName val="labour_coeff4"/>
      <sheetName val="Fee_Rate_Summary4"/>
      <sheetName val="VI_Floor_Beam_4"/>
      <sheetName val="Boq_(Main_Building)4"/>
      <sheetName val="Detail_1A4"/>
      <sheetName val="PROJECT_BRIEF(EX_NEW)4"/>
      <sheetName val="11B_4"/>
      <sheetName val="Footing_4"/>
      <sheetName val="Lease_rents"/>
      <sheetName val="Column_all_floor_R1"/>
      <sheetName val="Column_Detail"/>
      <sheetName val="WORK_TABLE"/>
      <sheetName val="Meas_-Hotel_Part"/>
      <sheetName val="oman_maint29"/>
      <sheetName val="CORPN_OCT28"/>
      <sheetName val="inout_consol-nov28"/>
      <sheetName val="inout_consol_(2)28"/>
      <sheetName val="AS_ON_DT_EXPS_Mar28"/>
      <sheetName val="J_fix_asst28"/>
      <sheetName val="J_fix_asst_sdpl28"/>
      <sheetName val="f_a_obpl28"/>
      <sheetName val="J_fix_asst_obpl28"/>
      <sheetName val="J_fix_asst_scc28"/>
      <sheetName val="J_fix_asst_ripl28"/>
      <sheetName val="fa-pl_&amp;_mach-site28"/>
      <sheetName val="fa_off_eqp28"/>
      <sheetName val="fa_fur&amp;_fix28"/>
      <sheetName val="I_Con_WIP_(2)28"/>
      <sheetName val="TBAL9596_-IIIIRUN28"/>
      <sheetName val="TBCRSsdpl_July9828"/>
      <sheetName val="Other_Proj_Schdl28"/>
      <sheetName val="OT_CLIENTS28"/>
      <sheetName val="inout_consol_July_9828"/>
      <sheetName val="consol_flow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D_Loan__Prom28"/>
      <sheetName val="E_Bank_Loan28"/>
      <sheetName val="G_work_Cap_28"/>
      <sheetName val="H_land_adv28"/>
      <sheetName val="detai_Wip_228"/>
      <sheetName val="detai_Wip_I_28"/>
      <sheetName val="J_Con_WIP28"/>
      <sheetName val="K_L_Oth_Co_28"/>
      <sheetName val="fix_asst_Obpl28"/>
      <sheetName val="TBAL9697__group_wise__sdpl28"/>
      <sheetName val="_sept98_xlsUomantopaz24"/>
      <sheetName val="_sept98_xls_x005f_x001d_B_Sheet_9724"/>
      <sheetName val="PRECAST_lightconc-II24"/>
      <sheetName val="Staff_Acco_8"/>
      <sheetName val="SITE_OVERHEADS8"/>
      <sheetName val="RCC,Ret__Wall8"/>
      <sheetName val="LIST_OF_MAKES8"/>
      <sheetName val="Project_Details__8"/>
      <sheetName val="scurve_calc_(2)8"/>
      <sheetName val="key_dates8"/>
      <sheetName val="_sept98_xls_x005f_x005f_x005f_x001d_B_Shee8"/>
      <sheetName val="Boq_Block_A8"/>
      <sheetName val="_sept98_xls࡝sdpl_oth_Liab8"/>
      <sheetName val="Labor_abs-NMR8"/>
      <sheetName val="Customize_Your_Purchase_Order8"/>
      <sheetName val="final_abstract8"/>
      <sheetName val="_sept98_xls_x005f_x005f_x005f_x005f_x005f_x005f_8"/>
      <sheetName val="crs_-G-1_x005f_x001a__x005f_x0000__x005f_x0000_T8"/>
      <sheetName val="crs_-G-1_x005f_x001a___TBAL9697_-gro8"/>
      <sheetName val="_sept98_xls_x005f_x001d_B_Sheet8"/>
      <sheetName val="IO_LIST7"/>
      <sheetName val="Detail_In_Door_Stad7"/>
      <sheetName val="_sept98_xls_x005f_x005f_x8"/>
      <sheetName val="_sept98_xls_x005f_x005f_x005f_x005f_x7"/>
      <sheetName val="Fin_Sum8"/>
      <sheetName val="[sept98_xlsUomantopaz24"/>
      <sheetName val="[sept98_xls_x005f_x001d_B_Sheet_9724"/>
      <sheetName val="[sept98_xls_x005f_x005f_x005f_x001d_B_Shee8"/>
      <sheetName val="[sept98_xls࡝sdpl_oth_Liab8"/>
      <sheetName val="GR_slab-reinft7"/>
      <sheetName val="Assumption_Inputs7"/>
      <sheetName val="[sept98_xls_x005f_x001d_B_Sheet7"/>
      <sheetName val="Direct_Cost7"/>
      <sheetName val="INPUT_SHEET7"/>
      <sheetName val="MASTER_RATE_ANALYSIS7"/>
      <sheetName val="BEAM_INPUT7"/>
      <sheetName val="Plinth_beam7"/>
      <sheetName val="DETAILED__BOQ7"/>
      <sheetName val="acevsSp_(ABC)7"/>
      <sheetName val="KQ_Cost_Controlling7"/>
      <sheetName val="KQ_Appropriation7"/>
      <sheetName val="crs_-G-1_x005f_x001a_7"/>
      <sheetName val="RA_BILL_(47-)7"/>
      <sheetName val="Debits_as_on_12_04_087"/>
      <sheetName val="Basic_Rates7"/>
      <sheetName val="Works_-_Quote_Sheet7"/>
      <sheetName val="Cashflow_projection7"/>
      <sheetName val="220_11__BS_7"/>
      <sheetName val="GF_Columns7"/>
      <sheetName val="Cash_Flow_Input_Data_ISC7"/>
      <sheetName val="Tender_Summary7"/>
      <sheetName val="Rate_Analysis7"/>
      <sheetName val="PPM_Dates_10-16-077"/>
      <sheetName val="Sheet1_(2)7"/>
      <sheetName val="TBAL9697_-group_wise_sdpl7"/>
      <sheetName val="Break_up_Sheet7"/>
      <sheetName val="Legal_Risk_Analysis7"/>
      <sheetName val="PHE_BOQ7"/>
      <sheetName val="SPILL_OVER7"/>
      <sheetName val="ANNEXURE_17"/>
      <sheetName val="ANNEXURE_27"/>
      <sheetName val="ANNEXURE_37"/>
      <sheetName val="ANNEXURE_4_-_C&amp;I_Works_7"/>
      <sheetName val="ANNEXURE_4_-_C&amp;I(HUB_&amp;_Toilet)7"/>
      <sheetName val="C&amp;I-_COMM_QUAL7"/>
      <sheetName val="ANNEXURE_4_-_Site_Office7"/>
      <sheetName val="ANNEXURE_4_PHE_&amp;_RO_7"/>
      <sheetName val="ANNEXURE_4_ELECRICAL_WORKS7"/>
      <sheetName val="Ele-Cables,_Trays,_Race_Way_et7"/>
      <sheetName val="Ele_-_Circuit_Wiring_7"/>
      <sheetName val="ELE_-_Inventory7"/>
      <sheetName val="ANNEXURE_4_LIGHT_FIXTURES7"/>
      <sheetName val="ANNEXURE_4_UPS7"/>
      <sheetName val="ANNEXURE_4_HVAC7"/>
      <sheetName val="HVAC_-Measurement7"/>
      <sheetName val="_Duct_Measurement7"/>
      <sheetName val="ANNEXURE_4_PAC7"/>
      <sheetName val="PAC-_Measurement7"/>
      <sheetName val="ANNEXURE_4_FPS7"/>
      <sheetName val="FPS-_Measurement7"/>
      <sheetName val="ANNEXURE_4_ELV-FAS7"/>
      <sheetName val="FA_-_Measurement7"/>
      <sheetName val="ANNEXURE_4_ELV-_Digital_PAS7"/>
      <sheetName val="PA_-Measurement7"/>
      <sheetName val="ANNEXURE_4_ELV-RRS7"/>
      <sheetName val="RRS-_Measurement7"/>
      <sheetName val="ANNEXURE_4_ELV-WLD7"/>
      <sheetName val="Measurement_-WLD7"/>
      <sheetName val="ANNEXURE_4_ELV-BMS7"/>
      <sheetName val="BMS-_Measurement7"/>
      <sheetName val="ANNEXURE_4_ELV-VAV7"/>
      <sheetName val="ANNEXURE_4_SECURITY-ACS7"/>
      <sheetName val="Access-Measurement_7"/>
      <sheetName val="ANNEXURE_4_SECURITY-VMS7"/>
      <sheetName val="ANNEXURE_4_SECURITY-CCTV7"/>
      <sheetName val="Measurement_-CCTV7"/>
      <sheetName val="ANNEXURE_4_PRINTER_&amp;_LOCKER_7"/>
      <sheetName val="Gen_Info7"/>
      <sheetName val="AutoOpen_Stub_Data7"/>
      <sheetName val="boq_actual7"/>
      <sheetName val="[sept98_xls_x005f_x005f_x005f_x005f_x005f_x005f_7"/>
      <sheetName val="crs_-G-1_x005f_x001a_??TBAL9697_-gro7"/>
      <sheetName val="crs_-G-1_x005f_x005f_x005f_x001a__x005f_x005f_x07"/>
      <sheetName val="crs_-G-1_x005f_x005f_x005f_x001a___TBAL9698"/>
      <sheetName val="Material_Rate7"/>
      <sheetName val="CABLE_DATA7"/>
      <sheetName val="Break_Dw7"/>
      <sheetName val="crs_-G-1_x005f_x001a__x005f_x005f_x005"/>
      <sheetName val="crs_-G-1_x005f_x001a___TBAL96978"/>
      <sheetName val="[sept98_xls_x005f_x005f_x5"/>
      <sheetName val="accom_cash5"/>
      <sheetName val="train_cash5"/>
      <sheetName val="Area_Statement7"/>
      <sheetName val="Risk_Analysis7"/>
      <sheetName val="crs_-G-1_x005f_x001a__x008"/>
      <sheetName val="crs_-G-1_x005f_x005f_x0017"/>
      <sheetName val="SLAB_SCH5"/>
      <sheetName val="Customize_Your_Invoice5"/>
      <sheetName val="Ring_Details5"/>
      <sheetName val="schedule_nos5"/>
      <sheetName val="BOQ_Distribution5"/>
      <sheetName val="Basement_Budget5"/>
      <sheetName val="Design_sheet5"/>
      <sheetName val="labour_coeff5"/>
      <sheetName val="Fee_Rate_Summary5"/>
      <sheetName val="VI_Floor_Beam_5"/>
      <sheetName val="Boq_(Main_Building)5"/>
      <sheetName val="Detail_1A5"/>
      <sheetName val="PROJECT_BRIEF(EX_NEW)5"/>
      <sheetName val="11B_5"/>
      <sheetName val="Footing_5"/>
      <sheetName val="?⒤"/>
      <sheetName val="?⒄"/>
      <sheetName val="?ⓤ"/>
      <sheetName val="?┤"/>
      <sheetName val="?╄"/>
      <sheetName val="?┄"/>
      <sheetName val="LB020A(月)"/>
      <sheetName val="Material"/>
      <sheetName val="Plant &amp;  Machinery"/>
      <sheetName val="Criteria"/>
      <sheetName val="SBI(Siliguri)"/>
      <sheetName val="Civil Works"/>
      <sheetName val="Cover"/>
      <sheetName val="SCHEDULE"/>
      <sheetName val="_sept98_xls_x001d_B_Sheet_9720"/>
      <sheetName val="Assumptions"/>
      <sheetName val="KP1590_E"/>
      <sheetName val="RCC_Ret_ Wall"/>
      <sheetName val="pri-com"/>
      <sheetName val="M- Rate"/>
      <sheetName val="Civil Boq"/>
      <sheetName val="OH"/>
      <sheetName val="crs -G-1_x005f_x005f_x005f_x001a_"/>
      <sheetName val="salestax9697-t_x005f_x005f_x005f_x005f_x005"/>
      <sheetName val="crs -G-1_x005f_x005f_x005f_x005f_x005f_x005f_x001"/>
      <sheetName val="crs -G-1_x005f_x005f_x005f_x001a__x00"/>
      <sheetName val="M-Book for FW"/>
      <sheetName val="M-Book for Conc"/>
      <sheetName val="oman_maint32"/>
      <sheetName val="CORPN_OCT31"/>
      <sheetName val="inout_consol-nov31"/>
      <sheetName val="inout_consol_(2)31"/>
      <sheetName val="AS_ON_DT_EXPS_Mar31"/>
      <sheetName val="J_fix_asst31"/>
      <sheetName val="J_fix_asst_sdpl31"/>
      <sheetName val="f_a_obpl31"/>
      <sheetName val="J_fix_asst_obpl31"/>
      <sheetName val="J_fix_asst_scc31"/>
      <sheetName val="J_fix_asst_ripl31"/>
      <sheetName val="fa-pl_&amp;_mach-site31"/>
      <sheetName val="fa_off_eqp31"/>
      <sheetName val="fa_fur&amp;_fix31"/>
      <sheetName val="I_Con_WIP_(2)31"/>
      <sheetName val="TBAL9596_-IIIIRUN31"/>
      <sheetName val="TBCRSsdpl_July9831"/>
      <sheetName val="Other_Proj_Schdl31"/>
      <sheetName val="OT_CLIENTS31"/>
      <sheetName val="inout_consol_July_9831"/>
      <sheetName val="consol_flow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D_Loan__Prom31"/>
      <sheetName val="E_Bank_Loan31"/>
      <sheetName val="G_work_Cap_31"/>
      <sheetName val="H_land_adv31"/>
      <sheetName val="detai_Wip_231"/>
      <sheetName val="detai_Wip_I_31"/>
      <sheetName val="J_Con_WIP31"/>
      <sheetName val="K_L_Oth_Co_31"/>
      <sheetName val="fix_asst_Obpl31"/>
      <sheetName val="TBAL9697__group_wise__sdpl31"/>
      <sheetName val="_sept98_xlsUomantopaz27"/>
      <sheetName val="_sept98_xlsB_Sheet_9721"/>
      <sheetName val="[sept98_xlsUomantopaz27"/>
      <sheetName val="[sept98_xlsB_Sheet_9720"/>
      <sheetName val="_sept98_xls_x005f_x001d_B_Sheet_9727"/>
      <sheetName val="PRECAST_lightconc-II27"/>
      <sheetName val="[sept98_xls_x005f_x001d_B_Sheet_9727"/>
      <sheetName val="Staff_Acco_13"/>
      <sheetName val="SITE_OVERHEADS11"/>
      <sheetName val="RCC,Ret__Wall11"/>
      <sheetName val="Project_Details__11"/>
      <sheetName val="scurve_calc_(2)11"/>
      <sheetName val="LIST_OF_MAKES11"/>
      <sheetName val="[sept98_xls࡝sdpl_oth_Liab11"/>
      <sheetName val="Boq_Block_A11"/>
      <sheetName val="_sept98_xls_x005f_x005f_x005f_x001d_B_She11"/>
      <sheetName val="[sept98_xls_x005f_x005f_x005f_x001d_B_She11"/>
      <sheetName val="_sept98_xls࡝sdpl_oth_Liab11"/>
      <sheetName val="Customize_Your_Purchase_Order11"/>
      <sheetName val="key_dates11"/>
      <sheetName val="Labor_abs-NMR11"/>
      <sheetName val="_sept98_xls_x005f_x005f_x005f_x005f_x005f11"/>
      <sheetName val="crs_-G-1_x005f_x001a__x005f_x0000__x005f_x0000_11"/>
      <sheetName val="crs_-G-1_x005f_x001a___TBAL9697_-gr11"/>
      <sheetName val="final_abstract11"/>
      <sheetName val="Fin_Sum11"/>
      <sheetName val="Direct_Cost10"/>
      <sheetName val="Legal_Risk_Analysis10"/>
      <sheetName val="_sept98_xls_x005f_x001d_B_Sheet11"/>
      <sheetName val="IO_LIST10"/>
      <sheetName val="Detail_In_Door_Stad10"/>
      <sheetName val="_sept98_xlsB_Sheet8"/>
      <sheetName val="_sept98_xls_x005f_x005f_x11"/>
      <sheetName val="_sept98_xls_x005f_x005f_x005f_x005f_x10"/>
      <sheetName val="INPUT_SHEET10"/>
      <sheetName val="MASTER_RATE_ANALYSIS10"/>
      <sheetName val="BEAM_INPUT10"/>
      <sheetName val="Plinth_beam10"/>
      <sheetName val="DETAILED__BOQ10"/>
      <sheetName val="acevsSp_(ABC)10"/>
      <sheetName val="KQ_Cost_Controlling10"/>
      <sheetName val="KQ_Appropriation10"/>
      <sheetName val="crs_-G-1_x005f_x001a_10"/>
      <sheetName val="RA_BILL_(47-)10"/>
      <sheetName val="Debits_as_on_12_04_0810"/>
      <sheetName val="Basic_Rates10"/>
      <sheetName val="Works_-_Quote_Sheet10"/>
      <sheetName val="Cashflow_projection10"/>
      <sheetName val="Rate_Analysis8"/>
      <sheetName val="TBAL9697_-group_wise_sdpl10"/>
      <sheetName val="GR_slab-reinft10"/>
      <sheetName val="Assumption_Inputs10"/>
      <sheetName val="Tender_Summary10"/>
      <sheetName val="Break_up_Sheet10"/>
      <sheetName val="220_11__BS_10"/>
      <sheetName val="GF_Columns10"/>
      <sheetName val="SPILL_OVER10"/>
      <sheetName val="SPT_vs_PHI2"/>
      <sheetName val="_sept98_xls_x10"/>
      <sheetName val="Cash_Flow_Input_Data_ISC10"/>
      <sheetName val="PPM_Dates_10-16-0710"/>
      <sheetName val="Sheet1_(2)10"/>
      <sheetName val="boq_actual10"/>
      <sheetName val="[sept98_xls_x005f_x005f_x005f_x005f_x005f10"/>
      <sheetName val="crs_-G-1_x005f_x001a_??TBAL9697_-gr10"/>
      <sheetName val="CABLE_DATA10"/>
      <sheetName val="Break_Dw10"/>
      <sheetName val="Driveway_Beams2"/>
      <sheetName val="[sept98_xls_x005f_x001d_B_Sheet10"/>
      <sheetName val="PHE_BOQ10"/>
      <sheetName val="Customize_Your_Invoice8"/>
      <sheetName val="AutoOpen_Stub_Data10"/>
      <sheetName val="Material_Rate10"/>
      <sheetName val="ANNEXURE_110"/>
      <sheetName val="ANNEXURE_210"/>
      <sheetName val="ANNEXURE_310"/>
      <sheetName val="ANNEXURE_4_-_C&amp;I_Works_10"/>
      <sheetName val="ANNEXURE_4_-_C&amp;I(HUB_&amp;_Toilet10"/>
      <sheetName val="C&amp;I-_COMM_QUAL10"/>
      <sheetName val="ANNEXURE_4_-_Site_Office10"/>
      <sheetName val="ANNEXURE_4_PHE_&amp;_RO_10"/>
      <sheetName val="ANNEXURE_4_ELECRICAL_WORKS10"/>
      <sheetName val="Ele-Cables,_Trays,_Race_Way_e10"/>
      <sheetName val="Ele_-_Circuit_Wiring_10"/>
      <sheetName val="ELE_-_Inventory10"/>
      <sheetName val="ANNEXURE_4_LIGHT_FIXTURES10"/>
      <sheetName val="ANNEXURE_4_UPS10"/>
      <sheetName val="ANNEXURE_4_HVAC10"/>
      <sheetName val="HVAC_-Measurement10"/>
      <sheetName val="_Duct_Measurement10"/>
      <sheetName val="ANNEXURE_4_PAC10"/>
      <sheetName val="PAC-_Measurement10"/>
      <sheetName val="ANNEXURE_4_FPS10"/>
      <sheetName val="FPS-_Measurement10"/>
      <sheetName val="ANNEXURE_4_ELV-FAS10"/>
      <sheetName val="FA_-_Measurement10"/>
      <sheetName val="ANNEXURE_4_ELV-_Digital_PAS10"/>
      <sheetName val="PA_-Measurement10"/>
      <sheetName val="ANNEXURE_4_ELV-RRS10"/>
      <sheetName val="RRS-_Measurement10"/>
      <sheetName val="ANNEXURE_4_ELV-WLD10"/>
      <sheetName val="Measurement_-WLD10"/>
      <sheetName val="ANNEXURE_4_ELV-BMS10"/>
      <sheetName val="BMS-_Measurement10"/>
      <sheetName val="ANNEXURE_4_ELV-VAV10"/>
      <sheetName val="ANNEXURE_4_SECURITY-ACS10"/>
      <sheetName val="Access-Measurement_10"/>
      <sheetName val="ANNEXURE_4_SECURITY-VMS10"/>
      <sheetName val="ANNEXURE_4_SECURITY-CCTV10"/>
      <sheetName val="Measurement_-CCTV10"/>
      <sheetName val="ANNEXURE_4_PRINTER_&amp;_LOCKER_10"/>
      <sheetName val="crs_-G-1_x005f_x005f_x005f_x001a__x005f_x005f_x10"/>
      <sheetName val="crs_-G-1_x005f_x005f_x005f_x001a___TBAL9611"/>
      <sheetName val="Gen_Info10"/>
      <sheetName val="[sept98_xlsB_Sheet_971"/>
      <sheetName val="[sept98_xlsB_Sheet_972"/>
      <sheetName val="[sept98_xlsB_Sheet_977"/>
      <sheetName val="[sept98_xlsB_Sheet_9713"/>
      <sheetName val="[sept98_xlsB_Sheet_9718"/>
      <sheetName val="[sept98_xlsB_Sheet_9716"/>
      <sheetName val="Labor_abs-PW6"/>
      <sheetName val="SLAB_SCH8"/>
      <sheetName val="Area_Statement10"/>
      <sheetName val="Risk_Analysis10"/>
      <sheetName val="crs_-G-1_x005f_x001a__x0011"/>
      <sheetName val="crs_-G-1_x005f_x001a___TBAL969711"/>
      <sheetName val="crs_-G-1_x005f_x005f_x00110"/>
      <sheetName val="Staff_Acco_14"/>
      <sheetName val="Data_sheet2"/>
      <sheetName val="Per_Unit2"/>
      <sheetName val="BOQ_Distribution8"/>
      <sheetName val="crs_-G-1_x005f_x001a__x005f_x005f_x008"/>
      <sheetName val="[sept98_xls_x005f_x005f_x8"/>
      <sheetName val="accom_cash8"/>
      <sheetName val="train_cash8"/>
      <sheetName val="Basement_Budget8"/>
      <sheetName val="FIND_THE_PART2"/>
      <sheetName val="VI_Floor_Beam_8"/>
      <sheetName val="WORK_TABLE3"/>
      <sheetName val="Load_Details(B1)2"/>
      <sheetName val="labour_coeff8"/>
      <sheetName val="Ring_Details8"/>
      <sheetName val="schedule_nos8"/>
      <sheetName val="Detail_1A8"/>
      <sheetName val="Column_all_floor_R13"/>
      <sheetName val="Builtup_Area2"/>
      <sheetName val="Loan_Amortization_Schedule2"/>
      <sheetName val="11B_8"/>
      <sheetName val="SCHEDULE_OF_RATES2"/>
      <sheetName val="PROJECT_BRIEF(EX_NEW)8"/>
      <sheetName val="Boq_(Main_Building)8"/>
      <sheetName val="Default_Values2"/>
      <sheetName val="Design_sheet8"/>
      <sheetName val="Fee_Rate_Summary8"/>
      <sheetName val="Footing_8"/>
      <sheetName val="Lease_rents3"/>
      <sheetName val="Column_Detail3"/>
      <sheetName val="Meas_-Hotel_Part3"/>
      <sheetName val="MTO_REV_02"/>
      <sheetName val="crs_-G-1??TB"/>
      <sheetName val="SC_Cost_FEB_032"/>
      <sheetName val="bending_stress2"/>
      <sheetName val="ASHRAE_Std_62_1-20132"/>
      <sheetName val="LPD_VALUE2"/>
      <sheetName val="IEQ_6_1_Systems_Lighting2"/>
      <sheetName val="Core_Data2"/>
      <sheetName val="Plant_&amp;__Machinery2"/>
      <sheetName val="Civil_Works2"/>
      <sheetName val="Next_Weeks_Plan2"/>
      <sheetName val="_sept98_xlsB_Sheet_9710"/>
      <sheetName val="_sept98_xlsB_Sheet_976"/>
      <sheetName val="_sept98_xlsB_Sheet_974"/>
      <sheetName val="_sept98_xlsB_Sheet_975"/>
      <sheetName val="_sept98_xlsB_Sheet_978"/>
      <sheetName val="_sept98_xlsB_Sheet_979"/>
      <sheetName val="_sept98_xlsB_Sheet_9711"/>
      <sheetName val="_sept98_xlsB_Sheet_9712"/>
      <sheetName val="_sept98_xlsB_Sheet_9714"/>
      <sheetName val="crs_-G-1_x001"/>
      <sheetName val="crs_-G-1__TBAL96971"/>
      <sheetName val="crs_-G-1_x00"/>
      <sheetName val="crs_-G-1__TBAL9697"/>
      <sheetName val="_sept98_xlsB_Sheet_9715"/>
      <sheetName val="crs_-G-1T1"/>
      <sheetName val="crs_-G-1__TBAL9697_-gro1"/>
      <sheetName val="_sept98_xlsB_Sheet_9717"/>
      <sheetName val="_sept98_xlsB_Sheet2"/>
      <sheetName val="crs_-G-1T2"/>
      <sheetName val="crs_-G-1__TBAL9697_-gro2"/>
      <sheetName val="_sept98_xlsB_Sheet_9719"/>
      <sheetName val="_sept98_xlsB_Sheet3"/>
      <sheetName val="crs_-G-1T3"/>
      <sheetName val="crs_-G-1__TBAL9697_-gro3"/>
      <sheetName val="_sept98_xlsB_Sheet_9720"/>
      <sheetName val="_sept98_xlsB_Sheet4"/>
      <sheetName val="crs_-G-1T4"/>
      <sheetName val="crs_-G-1__TBAL9697_-gro4"/>
      <sheetName val="crs_-G-1_x0012"/>
      <sheetName val="RCC_Ret__Wall2"/>
      <sheetName val="M-_Rate2"/>
      <sheetName val="Civil_Boq2"/>
      <sheetName val="GM_&amp;_TA3"/>
      <sheetName val="_Labour_bills_-Excav,Conc_&amp;_Rf2"/>
      <sheetName val="Cash_Details2"/>
      <sheetName val="[sept98_xlsB_Sheet_979"/>
      <sheetName val="crs_-G-1T6"/>
      <sheetName val="crs_-G-1__TBAL9697_-gro6"/>
      <sheetName val="_sept98_xlsB_Sheet6"/>
      <sheetName val="[sept98_xlsB_Sheet_976"/>
      <sheetName val="[sept98_xlsB_Sheet_975"/>
      <sheetName val="[sept98_xlsB_Sheet_973"/>
      <sheetName val="[sept98_xlsB_Sheet_974"/>
      <sheetName val="[sept98_xlsB_Sheet_978"/>
      <sheetName val="crs_-G-1T5"/>
      <sheetName val="crs_-G-1__TBAL9697_-gro5"/>
      <sheetName val="_sept98_xlsB_Sheet5"/>
      <sheetName val="[sept98_xlsB_Sheet_9710"/>
      <sheetName val="crs_-G-1T7"/>
      <sheetName val="crs_-G-1__TBAL9697_-gro7"/>
      <sheetName val="_sept98_xlsB_Sheet7"/>
      <sheetName val="[sept98_xlsB_Sheet_9711"/>
      <sheetName val="[sept98_xlsB_Sheet_9712"/>
      <sheetName val="[sept98_xlsB_Sheet_9714"/>
      <sheetName val="[sept98_xlsB_Sheet3"/>
      <sheetName val="[sept98_xlsB_Sheet_9715"/>
      <sheetName val="[sept98_xlsB_Sheet"/>
      <sheetName val="[sept98_xlsB_Sheet_9717"/>
      <sheetName val="[sept98_xlsB_Sheet1"/>
      <sheetName val="[sept98_xlsB_Sheet_9719"/>
      <sheetName val="[sept98_xlsB_Sheet2"/>
      <sheetName val="crs_-G-1??TBAL9697_-grou"/>
      <sheetName val="[sept98_xls_x2"/>
      <sheetName val="oman_maint31"/>
      <sheetName val="CORPN_OCT30"/>
      <sheetName val="inout_consol-nov30"/>
      <sheetName val="inout_consol_(2)30"/>
      <sheetName val="AS_ON_DT_EXPS_Mar30"/>
      <sheetName val="J_fix_asst30"/>
      <sheetName val="J_fix_asst_sdpl30"/>
      <sheetName val="f_a_obpl30"/>
      <sheetName val="J_fix_asst_obpl30"/>
      <sheetName val="J_fix_asst_scc30"/>
      <sheetName val="J_fix_asst_ripl30"/>
      <sheetName val="fa-pl_&amp;_mach-site30"/>
      <sheetName val="fa_off_eqp30"/>
      <sheetName val="fa_fur&amp;_fix30"/>
      <sheetName val="I_Con_WIP_(2)30"/>
      <sheetName val="TBAL9596_-IIIIRUN30"/>
      <sheetName val="TBCRSsdpl_July9830"/>
      <sheetName val="Other_Proj_Schdl30"/>
      <sheetName val="OT_CLIENTS30"/>
      <sheetName val="inout_consol_July_9830"/>
      <sheetName val="consol_flow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D_Loan__Prom30"/>
      <sheetName val="E_Bank_Loan30"/>
      <sheetName val="G_work_Cap_30"/>
      <sheetName val="H_land_adv30"/>
      <sheetName val="detai_Wip_230"/>
      <sheetName val="detai_Wip_I_30"/>
      <sheetName val="J_Con_WIP30"/>
      <sheetName val="K_L_Oth_Co_30"/>
      <sheetName val="fix_asst_Obpl30"/>
      <sheetName val="TBAL9697__group_wise__sdpl30"/>
      <sheetName val="[sept98_xlsUomantopaz26"/>
      <sheetName val="_sept98_xlsUomantopaz26"/>
      <sheetName val="_sept98_xls_x005f_x001d_B_Sheet_9726"/>
      <sheetName val="PRECAST_lightconc-II26"/>
      <sheetName val="[sept98_xls_x005f_x001d_B_Sheet_9726"/>
      <sheetName val="_sept98_xls_x005f_x005f_x005f_x001d_B_She10"/>
      <sheetName val="[sept98_xls_x005f_x005f_x005f_x001d_B_She10"/>
      <sheetName val="Staff_Acco_11"/>
      <sheetName val="SITE_OVERHEADS10"/>
      <sheetName val="RCC,Ret__Wall10"/>
      <sheetName val="Project_Details__10"/>
      <sheetName val="scurve_calc_(2)10"/>
      <sheetName val="LIST_OF_MAKES10"/>
      <sheetName val="Boq_Block_A10"/>
      <sheetName val="[sept98_xls࡝sdpl_oth_Liab10"/>
      <sheetName val="_sept98_xls_x005f_x005f_x005f_x005f_x005f10"/>
      <sheetName val="crs_-G-1_x005f_x001a__x005f_x0000__x005f_x0000_10"/>
      <sheetName val="crs_-G-1_x005f_x001a___TBAL9697_-gr10"/>
      <sheetName val="final_abstract10"/>
      <sheetName val="_sept98_xls࡝sdpl_oth_Liab10"/>
      <sheetName val="key_dates10"/>
      <sheetName val="Labor_abs-NMR10"/>
      <sheetName val="Fin_Sum10"/>
      <sheetName val="Customize_Your_Purchase_Order10"/>
      <sheetName val="_sept98_xls_x005f_x001d_B_Sheet10"/>
      <sheetName val="_sept98_xls_x005f_x005f_x10"/>
      <sheetName val="INPUT_SHEET9"/>
      <sheetName val="DETAILED__BOQ9"/>
      <sheetName val="acevsSp_(ABC)9"/>
      <sheetName val="MASTER_RATE_ANALYSIS9"/>
      <sheetName val="BEAM_INPUT9"/>
      <sheetName val="Plinth_beam9"/>
      <sheetName val="Direct_Cost9"/>
      <sheetName val="IO_LIST9"/>
      <sheetName val="Detail_In_Door_Stad9"/>
      <sheetName val="_sept98_xls_x005f_x005f_x005f_x005f_x9"/>
      <sheetName val="Labor_abs-PW5"/>
      <sheetName val="Debits_as_on_12_04_089"/>
      <sheetName val="Basic_Rates9"/>
      <sheetName val="Works_-_Quote_Sheet9"/>
      <sheetName val="Cashflow_projection9"/>
      <sheetName val="220_11__BS_9"/>
      <sheetName val="GR_slab-reinft9"/>
      <sheetName val="Assumption_Inputs9"/>
      <sheetName val="SPILL_OVER9"/>
      <sheetName val="GF_Columns9"/>
      <sheetName val="KQ_Cost_Controlling9"/>
      <sheetName val="KQ_Appropriation9"/>
      <sheetName val="crs_-G-1_x005f_x001a_9"/>
      <sheetName val="Cash_Flow_Input_Data_ISC9"/>
      <sheetName val="CABLE_DATA9"/>
      <sheetName val="Break_Dw9"/>
      <sheetName val="Tender_Summary9"/>
      <sheetName val="RA_BILL_(47-)9"/>
      <sheetName val="GM_&amp;_TA2"/>
      <sheetName val="[sept98_xls_x005f_x005f_x005f_x005f_x005f_x005f_9"/>
      <sheetName val="Customize_Your_Invoice7"/>
      <sheetName val="_Labour_bills_-Excav,Conc_&amp;_Rf1"/>
      <sheetName val="Area_Statement9"/>
      <sheetName val="Risk_Analysis9"/>
      <sheetName val="PPM_Dates_10-16-079"/>
      <sheetName val="Sheet1_(2)9"/>
      <sheetName val="_sept98_xls_x9"/>
      <sheetName val="[sept98_xls_x005f_x001d_B_Sheet9"/>
      <sheetName val="PHE_BOQ9"/>
      <sheetName val="TBAL9697_-group_wise_sdpl9"/>
      <sheetName val="Break_up_Sheet9"/>
      <sheetName val="Legal_Risk_Analysis9"/>
      <sheetName val="WORK_TABLE2"/>
      <sheetName val="schedule_nos7"/>
      <sheetName val="SPT_vs_PHI1"/>
      <sheetName val="Next_Weeks_Plan1"/>
      <sheetName val="Cash_Details1"/>
      <sheetName val="bending_stress1"/>
      <sheetName val="boq_actual9"/>
      <sheetName val="crs_-G-1_x005f_x001a_??TBAL9697_-gro9"/>
      <sheetName val="Driveway_Beams1"/>
      <sheetName val="Staff_Acco_12"/>
      <sheetName val="Data_sheet1"/>
      <sheetName val="Per_Unit1"/>
      <sheetName val="Gen_Info9"/>
      <sheetName val="AutoOpen_Stub_Data9"/>
      <sheetName val="crs_-G-1_x005f_x005f_x005f_x001a__x005f_x005f_x09"/>
      <sheetName val="crs_-G-1_x005f_x005f_x005f_x001a___TBAL9610"/>
      <sheetName val="Material_Rate9"/>
      <sheetName val="ANNEXURE_19"/>
      <sheetName val="ANNEXURE_29"/>
      <sheetName val="ANNEXURE_39"/>
      <sheetName val="ANNEXURE_4_-_C&amp;I_Works_9"/>
      <sheetName val="ANNEXURE_4_-_C&amp;I(HUB_&amp;_Toilet)9"/>
      <sheetName val="C&amp;I-_COMM_QUAL9"/>
      <sheetName val="ANNEXURE_4_-_Site_Office9"/>
      <sheetName val="ANNEXURE_4_PHE_&amp;_RO_9"/>
      <sheetName val="ANNEXURE_4_ELECRICAL_WORKS9"/>
      <sheetName val="Ele-Cables,_Trays,_Race_Way_et9"/>
      <sheetName val="Ele_-_Circuit_Wiring_9"/>
      <sheetName val="ELE_-_Inventory9"/>
      <sheetName val="ANNEXURE_4_LIGHT_FIXTURES9"/>
      <sheetName val="ANNEXURE_4_UPS9"/>
      <sheetName val="ANNEXURE_4_HVAC9"/>
      <sheetName val="HVAC_-Measurement9"/>
      <sheetName val="_Duct_Measurement9"/>
      <sheetName val="ANNEXURE_4_PAC9"/>
      <sheetName val="PAC-_Measurement9"/>
      <sheetName val="ANNEXURE_4_FPS9"/>
      <sheetName val="FPS-_Measurement9"/>
      <sheetName val="ANNEXURE_4_ELV-FAS9"/>
      <sheetName val="FA_-_Measurement9"/>
      <sheetName val="ANNEXURE_4_ELV-_Digital_PAS9"/>
      <sheetName val="PA_-Measurement9"/>
      <sheetName val="ANNEXURE_4_ELV-RRS9"/>
      <sheetName val="RRS-_Measurement9"/>
      <sheetName val="ANNEXURE_4_ELV-WLD9"/>
      <sheetName val="Measurement_-WLD9"/>
      <sheetName val="ANNEXURE_4_ELV-BMS9"/>
      <sheetName val="BMS-_Measurement9"/>
      <sheetName val="ANNEXURE_4_ELV-VAV9"/>
      <sheetName val="ANNEXURE_4_SECURITY-ACS9"/>
      <sheetName val="Access-Measurement_9"/>
      <sheetName val="ANNEXURE_4_SECURITY-VMS9"/>
      <sheetName val="ANNEXURE_4_SECURITY-CCTV9"/>
      <sheetName val="Measurement_-CCTV9"/>
      <sheetName val="ANNEXURE_4_PRINTER_&amp;_LOCKER_9"/>
      <sheetName val="crs_-G-1_x005f_x001a__x0010"/>
      <sheetName val="crs_-G-1_x005f_x001a___TBAL969710"/>
      <sheetName val="crs_-G-1_x005f_x005f_x0019"/>
      <sheetName val="crs_-G-1_x005f_x001a__x005f_x005f_x007"/>
      <sheetName val="[sept98_xls_x005f_x005f_x7"/>
      <sheetName val="accom_cash7"/>
      <sheetName val="train_cash7"/>
      <sheetName val="SLAB_SCH7"/>
      <sheetName val="Ring_Details7"/>
      <sheetName val="Detail_1A7"/>
      <sheetName val="PROJECT_BRIEF(EX_NEW)7"/>
      <sheetName val="BOQ_Distribution7"/>
      <sheetName val="Basement_Budget7"/>
      <sheetName val="crs_-G-1_x0011"/>
      <sheetName val="[sept98_xls_x1"/>
      <sheetName val="FIND_THE_PART1"/>
      <sheetName val="VI_Floor_Beam_7"/>
      <sheetName val="Load_Details(B1)1"/>
      <sheetName val="labour_coeff7"/>
      <sheetName val="Column_all_floor_R12"/>
      <sheetName val="Builtup_Area1"/>
      <sheetName val="Loan_Amortization_Schedule1"/>
      <sheetName val="11B_7"/>
      <sheetName val="SCHEDULE_OF_RATES1"/>
      <sheetName val="Boq_(Main_Building)7"/>
      <sheetName val="Default_Values1"/>
      <sheetName val="Design_sheet7"/>
      <sheetName val="Fee_Rate_Summary7"/>
      <sheetName val="Footing_7"/>
      <sheetName val="Lease_rents2"/>
      <sheetName val="Column_Detail2"/>
      <sheetName val="Meas_-Hotel_Part2"/>
      <sheetName val="MTO_REV_01"/>
      <sheetName val="SC_Cost_FEB_031"/>
      <sheetName val="ASHRAE_Std_62_1-20131"/>
      <sheetName val="LPD_VALUE1"/>
      <sheetName val="IEQ_6_1_Systems_Lighting1"/>
      <sheetName val="Core_Data1"/>
      <sheetName val="Plant_&amp;__Machinery1"/>
      <sheetName val="Civil_Works1"/>
      <sheetName val="RCC_Ret__Wall1"/>
      <sheetName val="M-_Rate1"/>
      <sheetName val="Civil_Boq1"/>
      <sheetName val="crs_-G-1_x005f_x005f_x005f_x001a_1"/>
      <sheetName val="crs_-G-1_x005f_x005f_x005f_x005f_x005f_x005f_x002"/>
      <sheetName val="crs_-G-1_x005f_x005f_x005f_x001a__x001"/>
      <sheetName val="M-Book_for_FW1"/>
      <sheetName val="M-Book_for_Conc1"/>
      <sheetName val="oman_maint30"/>
      <sheetName val="CORPN_OCT29"/>
      <sheetName val="inout_consol-nov29"/>
      <sheetName val="inout_consol_(2)29"/>
      <sheetName val="AS_ON_DT_EXPS_Mar29"/>
      <sheetName val="J_fix_asst29"/>
      <sheetName val="J_fix_asst_sdpl29"/>
      <sheetName val="f_a_obpl29"/>
      <sheetName val="J_fix_asst_obpl29"/>
      <sheetName val="J_fix_asst_scc29"/>
      <sheetName val="J_fix_asst_ripl29"/>
      <sheetName val="fa-pl_&amp;_mach-site29"/>
      <sheetName val="fa_off_eqp29"/>
      <sheetName val="fa_fur&amp;_fix29"/>
      <sheetName val="I_Con_WIP_(2)29"/>
      <sheetName val="TBAL9596_-IIIIRUN29"/>
      <sheetName val="TBCRSsdpl_July9829"/>
      <sheetName val="Other_Proj_Schdl29"/>
      <sheetName val="OT_CLIENTS29"/>
      <sheetName val="inout_consol_July_9829"/>
      <sheetName val="consol_flow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D_Loan__Prom29"/>
      <sheetName val="E_Bank_Loan29"/>
      <sheetName val="G_work_Cap_29"/>
      <sheetName val="H_land_adv29"/>
      <sheetName val="detai_Wip_229"/>
      <sheetName val="detai_Wip_I_29"/>
      <sheetName val="J_Con_WIP29"/>
      <sheetName val="K_L_Oth_Co_29"/>
      <sheetName val="fix_asst_Obpl29"/>
      <sheetName val="TBAL9697__group_wise__sdpl29"/>
      <sheetName val="[sept98_xlsUomantopaz25"/>
      <sheetName val="_sept98_xlsUomantopaz25"/>
      <sheetName val="_sept98_xls_x005f_x001d_B_Sheet_9725"/>
      <sheetName val="PRECAST_lightconc-II25"/>
      <sheetName val="[sept98_xls_x005f_x001d_B_Sheet_9725"/>
      <sheetName val="_sept98_xls_x005f_x005f_x005f_x001d_B_Shee9"/>
      <sheetName val="[sept98_xls_x005f_x005f_x005f_x001d_B_Shee9"/>
      <sheetName val="Staff_Acco_9"/>
      <sheetName val="SITE_OVERHEADS9"/>
      <sheetName val="RCC,Ret__Wall9"/>
      <sheetName val="Project_Details__9"/>
      <sheetName val="scurve_calc_(2)9"/>
      <sheetName val="LIST_OF_MAKES9"/>
      <sheetName val="Boq_Block_A9"/>
      <sheetName val="[sept98_xls࡝sdpl_oth_Liab9"/>
      <sheetName val="_sept98_xls_x005f_x005f_x005f_x005f_x005f_x005f_9"/>
      <sheetName val="crs_-G-1_x005f_x001a__x005f_x0000__x005f_x0000_T9"/>
      <sheetName val="crs_-G-1_x005f_x001a___TBAL9697_-gro9"/>
      <sheetName val="final_abstract9"/>
      <sheetName val="_sept98_xls࡝sdpl_oth_Liab9"/>
      <sheetName val="key_dates9"/>
      <sheetName val="Labor_abs-NMR9"/>
      <sheetName val="Fin_Sum9"/>
      <sheetName val="Customize_Your_Purchase_Order9"/>
      <sheetName val="_sept98_xls_x005f_x001d_B_Sheet9"/>
      <sheetName val="_sept98_xls_x005f_x005f_x9"/>
      <sheetName val="INPUT_SHEET8"/>
      <sheetName val="DETAILED__BOQ8"/>
      <sheetName val="acevsSp_(ABC)8"/>
      <sheetName val="MASTER_RATE_ANALYSIS8"/>
      <sheetName val="BEAM_INPUT8"/>
      <sheetName val="Plinth_beam8"/>
      <sheetName val="Direct_Cost8"/>
      <sheetName val="IO_LIST8"/>
      <sheetName val="Detail_In_Door_Stad8"/>
      <sheetName val="_sept98_xls_x005f_x005f_x005f_x005f_x8"/>
      <sheetName val="Labor_abs-PW4"/>
      <sheetName val="Debits_as_on_12_04_088"/>
      <sheetName val="Basic_Rates8"/>
      <sheetName val="Works_-_Quote_Sheet8"/>
      <sheetName val="Cashflow_projection8"/>
      <sheetName val="220_11__BS_8"/>
      <sheetName val="GR_slab-reinft8"/>
      <sheetName val="Assumption_Inputs8"/>
      <sheetName val="SPILL_OVER8"/>
      <sheetName val="GF_Columns8"/>
      <sheetName val="KQ_Cost_Controlling8"/>
      <sheetName val="KQ_Appropriation8"/>
      <sheetName val="crs_-G-1_x005f_x001a_8"/>
      <sheetName val="Cash_Flow_Input_Data_ISC8"/>
      <sheetName val="CABLE_DATA8"/>
      <sheetName val="Break_Dw8"/>
      <sheetName val="Tender_Summary8"/>
      <sheetName val="RA_BILL_(47-)8"/>
      <sheetName val="GM_&amp;_TA1"/>
      <sheetName val="[sept98_xls_x005f_x005f_x005f_x005f_x005f_x005f_8"/>
      <sheetName val="Customize_Your_Invoice6"/>
      <sheetName val="_Labour_bills_-Excav,Conc_&amp;_Rft"/>
      <sheetName val="Area_Statement8"/>
      <sheetName val="Risk_Analysis8"/>
      <sheetName val="PPM_Dates_10-16-078"/>
      <sheetName val="Sheet1_(2)8"/>
      <sheetName val="_sept98_xls_x8"/>
      <sheetName val="[sept98_xls_x005f_x001d_B_Sheet8"/>
      <sheetName val="PHE_BOQ8"/>
      <sheetName val="TBAL9697_-group_wise_sdpl8"/>
      <sheetName val="Break_up_Sheet8"/>
      <sheetName val="Legal_Risk_Analysis8"/>
      <sheetName val="WORK_TABLE1"/>
      <sheetName val="schedule_nos6"/>
      <sheetName val="SPT_vs_PHI"/>
      <sheetName val="Next_Weeks_Plan"/>
      <sheetName val="Cash_Details"/>
      <sheetName val="bending_stress"/>
      <sheetName val="boq_actual8"/>
      <sheetName val="crs_-G-1_x005f_x001a_??TBAL9697_-gro8"/>
      <sheetName val="Driveway_Beams"/>
      <sheetName val="Staff_Acco_10"/>
      <sheetName val="Data_sheet"/>
      <sheetName val="Per_Unit"/>
      <sheetName val="Gen_Info8"/>
      <sheetName val="AutoOpen_Stub_Data8"/>
      <sheetName val="crs_-G-1_x005f_x005f_x005f_x001a__x005f_x005f_x08"/>
      <sheetName val="crs_-G-1_x005f_x005f_x005f_x001a___TBAL9699"/>
      <sheetName val="Material_Rate8"/>
      <sheetName val="ANNEXURE_18"/>
      <sheetName val="ANNEXURE_28"/>
      <sheetName val="ANNEXURE_38"/>
      <sheetName val="ANNEXURE_4_-_C&amp;I_Works_8"/>
      <sheetName val="ANNEXURE_4_-_C&amp;I(HUB_&amp;_Toilet)8"/>
      <sheetName val="C&amp;I-_COMM_QUAL8"/>
      <sheetName val="ANNEXURE_4_-_Site_Office8"/>
      <sheetName val="ANNEXURE_4_PHE_&amp;_RO_8"/>
      <sheetName val="ANNEXURE_4_ELECRICAL_WORKS8"/>
      <sheetName val="Ele-Cables,_Trays,_Race_Way_et8"/>
      <sheetName val="Ele_-_Circuit_Wiring_8"/>
      <sheetName val="ELE_-_Inventory8"/>
      <sheetName val="ANNEXURE_4_LIGHT_FIXTURES8"/>
      <sheetName val="ANNEXURE_4_UPS8"/>
      <sheetName val="ANNEXURE_4_HVAC8"/>
      <sheetName val="HVAC_-Measurement8"/>
      <sheetName val="_Duct_Measurement8"/>
      <sheetName val="ANNEXURE_4_PAC8"/>
      <sheetName val="PAC-_Measurement8"/>
      <sheetName val="ANNEXURE_4_FPS8"/>
      <sheetName val="FPS-_Measurement8"/>
      <sheetName val="ANNEXURE_4_ELV-FAS8"/>
      <sheetName val="FA_-_Measurement8"/>
      <sheetName val="ANNEXURE_4_ELV-_Digital_PAS8"/>
      <sheetName val="PA_-Measurement8"/>
      <sheetName val="ANNEXURE_4_ELV-RRS8"/>
      <sheetName val="RRS-_Measurement8"/>
      <sheetName val="ANNEXURE_4_ELV-WLD8"/>
      <sheetName val="Measurement_-WLD8"/>
      <sheetName val="ANNEXURE_4_ELV-BMS8"/>
      <sheetName val="BMS-_Measurement8"/>
      <sheetName val="ANNEXURE_4_ELV-VAV8"/>
      <sheetName val="ANNEXURE_4_SECURITY-ACS8"/>
      <sheetName val="Access-Measurement_8"/>
      <sheetName val="ANNEXURE_4_SECURITY-VMS8"/>
      <sheetName val="ANNEXURE_4_SECURITY-CCTV8"/>
      <sheetName val="Measurement_-CCTV8"/>
      <sheetName val="ANNEXURE_4_PRINTER_&amp;_LOCKER_8"/>
      <sheetName val="crs_-G-1_x005f_x001a__x009"/>
      <sheetName val="crs_-G-1_x005f_x001a___TBAL96979"/>
      <sheetName val="crs_-G-1_x005f_x005f_x0018"/>
      <sheetName val="crs_-G-1_x005f_x001a__x005f_x005f_x006"/>
      <sheetName val="[sept98_xls_x005f_x005f_x6"/>
      <sheetName val="accom_cash6"/>
      <sheetName val="train_cash6"/>
      <sheetName val="SLAB_SCH6"/>
      <sheetName val="Ring_Details6"/>
      <sheetName val="Detail_1A6"/>
      <sheetName val="PROJECT_BRIEF(EX_NEW)6"/>
      <sheetName val="BOQ_Distribution6"/>
      <sheetName val="Basement_Budget6"/>
      <sheetName val="[sept98_xls_x"/>
      <sheetName val="FIND_THE_PART"/>
      <sheetName val="VI_Floor_Beam_6"/>
      <sheetName val="Load_Details(B1)"/>
      <sheetName val="labour_coeff6"/>
      <sheetName val="Column_all_floor_R11"/>
      <sheetName val="Builtup_Area"/>
      <sheetName val="Loan_Amortization_Schedule"/>
      <sheetName val="11B_6"/>
      <sheetName val="SCHEDULE_OF_RATES"/>
      <sheetName val="Boq_(Main_Building)6"/>
      <sheetName val="Default_Values"/>
      <sheetName val="Design_sheet6"/>
      <sheetName val="Fee_Rate_Summary6"/>
      <sheetName val="Footing_6"/>
      <sheetName val="Lease_rents1"/>
      <sheetName val="Column_Detail1"/>
      <sheetName val="Meas_-Hotel_Part1"/>
      <sheetName val="MTO_REV_0"/>
      <sheetName val="SC_Cost_FEB_03"/>
      <sheetName val="ASHRAE_Std_62_1-2013"/>
      <sheetName val="LPD_VALUE"/>
      <sheetName val="IEQ_6_1_Systems_Lighting"/>
      <sheetName val="Core_Data"/>
      <sheetName val="Plant_&amp;__Machinery"/>
      <sheetName val="Civil_Works"/>
      <sheetName val="RCC_Ret__Wall"/>
      <sheetName val="M-_Rate"/>
      <sheetName val="Civil_Boq"/>
      <sheetName val="crs_-G-1_x005f_x005f_x005f_x001a_"/>
      <sheetName val="crs_-G-1_x005f_x005f_x005f_x005f_x005f_x005f_x001"/>
      <sheetName val="crs_-G-1_x005f_x005f_x005f_x001a__x00"/>
      <sheetName val="M-Book_for_FW"/>
      <sheetName val="M-Book_for_Conc"/>
      <sheetName val="A.O.R r1Str"/>
      <sheetName val="A.O.R r1"/>
      <sheetName val="A.O.R (2)"/>
      <sheetName val="Development Strategy"/>
      <sheetName val="Development_Strategy"/>
      <sheetName val="B'Sheet"/>
      <sheetName val="Asmp"/>
      <sheetName val="BTB"/>
      <sheetName val="cf"/>
      <sheetName val="orders"/>
      <sheetName val="LABOUR RATE"/>
      <sheetName val="Cash2"/>
      <sheetName val="Z"/>
      <sheetName val="Estimate"/>
      <sheetName val="LABOUR_RATE"/>
      <sheetName val="Approved MTD Proj #'s"/>
      <sheetName val="Main Summary"/>
      <sheetName val="설계내역서"/>
      <sheetName val="General"/>
      <sheetName val="total export"/>
      <sheetName val="rc01"/>
      <sheetName val="Datas"/>
      <sheetName val="갑지1"/>
      <sheetName val="Structure Bills Qty"/>
      <sheetName val="DATI_CONS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定义"/>
      <sheetName val="AN2"/>
      <sheetName val="21"/>
      <sheetName val="Total  Amount"/>
      <sheetName val="Summary Transformers"/>
      <sheetName val="AN"/>
      <sheetName val="basdat"/>
      <sheetName val="Sqn-Abs(G+6) "/>
      <sheetName val="WO-Abs (G+2) 6 DUs"/>
      <sheetName val="Air-Abs(G+6) 23 DUs"/>
      <sheetName val="M.R.List (2)"/>
      <sheetName val="SSR &amp; NSSR Market final"/>
      <sheetName val="dBase"/>
      <sheetName val="Quantity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Program"/>
      <sheetName val="Unit cost- Drain-Protection-1 "/>
      <sheetName val="Setup Variables"/>
      <sheetName val="Capital Expenditures"/>
      <sheetName val="Compensation"/>
      <sheetName val="Start"/>
      <sheetName val="administrative prices"/>
      <sheetName val="BLOCK-A (MEA.SHEET)"/>
      <sheetName val="Headings"/>
      <sheetName val="Data Input"/>
      <sheetName val="Costcal"/>
      <sheetName val="BoQ-1"/>
      <sheetName val="BoQ-2"/>
      <sheetName val="Sales &amp; Prod"/>
      <sheetName val="2.3.1 - CFR MAIN"/>
      <sheetName val="FAO dwnld"/>
      <sheetName val="Download M-10"/>
      <sheetName val="FR_M10"/>
      <sheetName val="FR_TREND"/>
      <sheetName val="1R_M10"/>
      <sheetName val="M10_2R"/>
      <sheetName val="3R_M10"/>
      <sheetName val="data m10"/>
      <sheetName val="ACTUAL - 12 MTHS DATA"/>
      <sheetName val="Download Prior Year"/>
      <sheetName val="3s"/>
      <sheetName val="PLAN - 12 MTHS DATA"/>
      <sheetName val="9F2RTRND"/>
      <sheetName val="9F3RTRND"/>
      <sheetName val="[sept98.xlsMB_Sheet_97-BEXP18"/>
      <sheetName val="Site Dev BOQ"/>
      <sheetName val="pt-cw"/>
      <sheetName val="10"/>
      <sheetName val="Material List "/>
      <sheetName val="Bed Class"/>
      <sheetName val="Cd"/>
      <sheetName val="MB FOR SUPERSTRUCTURE"/>
      <sheetName val="X rate"/>
      <sheetName val="LABOUR_RATE1"/>
      <sheetName val="SPT_vs_PHI3"/>
      <sheetName val="LABOUR_RATE3"/>
      <sheetName val="LABOUR_RATE2"/>
      <sheetName val="meas-wp"/>
      <sheetName val="재1"/>
      <sheetName val="Capital_by_Years_Valuation"/>
      <sheetName val="ReportsParameters"/>
      <sheetName val="Nopat_by_Years_Valuation"/>
      <sheetName val="1 - B1 (KBIs)"/>
      <sheetName val="Trigger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csdim"/>
      <sheetName val="cdsload"/>
      <sheetName val="chsload"/>
      <sheetName val="CLAMP"/>
      <sheetName val="cvsload"/>
      <sheetName val="pipe"/>
      <sheetName val="Measurment"/>
      <sheetName val="A.O.R."/>
      <sheetName val="project rollout plan"/>
      <sheetName val="Project Budget Worksheet"/>
      <sheetName val="Door"/>
      <sheetName val="C_link"/>
      <sheetName val="P_link"/>
      <sheetName val="coa_ramco_168"/>
      <sheetName val="Bill 1"/>
      <sheetName val="Bill 2"/>
      <sheetName val="Bill 3"/>
      <sheetName val="Bill 4"/>
      <sheetName val="Bill 5"/>
      <sheetName val="Bill 6"/>
      <sheetName val="Bill 7"/>
      <sheetName val="Variation Statement"/>
      <sheetName val="sumary"/>
      <sheetName val="2nd "/>
      <sheetName val="shuttering"/>
      <sheetName val="concrete"/>
      <sheetName val="Field Values"/>
      <sheetName val="Detail P&amp;L"/>
      <sheetName val="PRICE-COMP"/>
      <sheetName val="Assumption Sheet"/>
      <sheetName val="crs_-G-1_x001a_??TBAL9697_-grou"/>
      <sheetName val="crs_-G-1_x001a__x001"/>
      <sheetName val="crs_-G-1_x001a___TBAL96971"/>
      <sheetName val="crs_-G-1_x005f_x001a__x01"/>
      <sheetName val="crs_-G-1_x005f_x001a___TBAL9691"/>
      <sheetName val="[sept98_xls_x005f_x005f_1"/>
      <sheetName val="crs_-G-1_x001a_??TBAL9697_-gro1"/>
      <sheetName val="crs_-G-1_x001a__x002"/>
      <sheetName val="crs_-G-1_x001a___TBAL96972"/>
      <sheetName val="_sept98_xls_x001d_B_Shee1"/>
      <sheetName val="[sept98_xls_x001d_B_Shee1"/>
      <sheetName val="_sept98_xls_1"/>
      <sheetName val="[sept98_xls_x001d_B_Sheet_9720"/>
      <sheetName val="[sept98_xls_x001d_B_Sheet3"/>
      <sheetName val="crs_-G-1_x005f_x001a__x03"/>
      <sheetName val="crs_-G-1_x005f_x001a___TBAL9693"/>
      <sheetName val="[sept98_xls_x005f_x005f_3"/>
      <sheetName val="crs_-G-1_x001a_??TBAL9697_-gro3"/>
      <sheetName val="crs_-G-1_x001a__x004"/>
      <sheetName val="crs_-G-1_x001a___TBAL96974"/>
      <sheetName val="crs_-G-1_x0013"/>
      <sheetName val="crs_-G-1_x005f_x001a__x02"/>
      <sheetName val="crs_-G-1_x005f_x001a___TBAL9692"/>
      <sheetName val="[sept98_xls_x005f_x005f_2"/>
      <sheetName val="crs_-G-1_x001a_??TBAL9697_-gro2"/>
      <sheetName val="crs_-G-1_x001a__x003"/>
      <sheetName val="crs_-G-1_x001a___TBAL96973"/>
      <sheetName val="_sept98_xls_x001d_B_Sheet_9721"/>
      <sheetName val="[sept98_xls_x001d_B_Sheet_9721"/>
      <sheetName val="crs_-G-1_x001a_4"/>
      <sheetName val="[sept98_xls_x001d_B_Sheet4"/>
      <sheetName val="crs_-G-1_x005f_x001a__x04"/>
      <sheetName val="crs_-G-1_x005f_x001a___TBAL9694"/>
      <sheetName val="[sept98_xls_x005f_x005f_4"/>
      <sheetName val="crs_-G-1_x001a_??TBAL9697_-gro4"/>
      <sheetName val="crs_-G-1_x001a__x005"/>
      <sheetName val="crs_-G-1_x001a___TBAL96975"/>
      <sheetName val="crs_-G-1_x0014"/>
      <sheetName val="_sept98_xls_x001d_B_Sheet_9722"/>
      <sheetName val="[sept98_xls_x001d_B_Sheet_9722"/>
      <sheetName val="crs_-G-1_x001a_5"/>
      <sheetName val="[sept98_xls_x001d_B_Sheet5"/>
      <sheetName val="crs_-G-1_x005f_x001a__x05"/>
      <sheetName val="crs_-G-1_x005f_x001a___TBAL9695"/>
      <sheetName val="[sept98_xls_x005f_x005f_5"/>
      <sheetName val="crs_-G-1_x001a_??TBAL9697_-gro5"/>
      <sheetName val="crs_-G-1_x001a___TBAL96976"/>
      <sheetName val="[sept98_xls_x3"/>
      <sheetName val="crs_-G-1_x001a__x006"/>
      <sheetName val="crs_-G-1_x0015"/>
      <sheetName val="TBS_x00"/>
      <sheetName val="_sept98_xls_x001d_B_Sheet_9723"/>
      <sheetName val="[sept98_xls_x001d_B_Sheet_9723"/>
      <sheetName val="crs_-G-1_x001a_6"/>
      <sheetName val="[sept98_xls_x001d_B_Sheet6"/>
      <sheetName val="crs_-G-1_x005f_x001a__x06"/>
      <sheetName val="crs_-G-1_x005f_x001a___TBAL9696"/>
      <sheetName val="[sept98_xls_x005f_x005f_6"/>
      <sheetName val="crs_-G-1_x001a_??TBAL9697_-gro6"/>
      <sheetName val="crs_-G-1_x001a___TBAL96977"/>
      <sheetName val="[sept98_xls_x4"/>
      <sheetName val="crs_-G-1_x001a__x007"/>
      <sheetName val="crs_-G-1_x0016"/>
      <sheetName val="_sept98_xls_x001d_B_Sheet_9724"/>
      <sheetName val="_sept98_xls_x005f_x001d_B_Shee8"/>
      <sheetName val="_sept98_xls_x005f_x005f_8"/>
      <sheetName val="crs_-G-1_x001a__x0000__x0000_T8"/>
      <sheetName val="crs_-G-1_x001a___TBAL9697_-gro8"/>
      <sheetName val="_sept98_xls_x001d_B_Sheet8"/>
      <sheetName val="[sept98_xls_x001d_B_Sheet_9724"/>
      <sheetName val="[sept98_xls_x005f_x001d_B_Shee8"/>
      <sheetName val="[sept98_xls_x001d_B_Sheet7"/>
      <sheetName val="crs_-G-1_x001a_7"/>
      <sheetName val="[sept98_xls_x005f_x005f_7"/>
      <sheetName val="crs_-G-1_x001a_??TBAL9697_-gro7"/>
      <sheetName val="crs_-G-1_x005f_x001a__x07"/>
      <sheetName val="crs_-G-1_x005f_x001a___TBAL9698"/>
      <sheetName val="crs_-G-1_x001a___TBAL96978"/>
      <sheetName val="[sept98_xls_x5"/>
      <sheetName val="crs_-G-1_x001a__x008"/>
      <sheetName val="crs_-G-1_x0017"/>
      <sheetName val="_sept98_xls_x001d_B_Shee2"/>
      <sheetName val="_sept98_xls_x001d_B_Shee3"/>
      <sheetName val="_sept98_xls_x001d_B_Shee4"/>
      <sheetName val="Rate_Analysis9"/>
      <sheetName val="SPT_vs_PHI4"/>
      <sheetName val="LABOUR_RATE4"/>
      <sheetName val="MTO_REV_03"/>
      <sheetName val="Core_Data3"/>
      <sheetName val="Builtup_Area3"/>
      <sheetName val="Loan_Amortization_Schedule3"/>
      <sheetName val="SCHEDULE_OF_RATES3"/>
      <sheetName val="Driveway_Beams3"/>
      <sheetName val="ASHRAE_Std_62_1-20133"/>
      <sheetName val="LPD_VALUE3"/>
      <sheetName val="IEQ_6_1_Systems_Lighting3"/>
      <sheetName val="SC_Cost_FEB_033"/>
      <sheetName val="Plant_&amp;__Machinery3"/>
      <sheetName val="bending_stress3"/>
      <sheetName val="Staff_Acco_15"/>
      <sheetName val="Rate_Analysis10"/>
      <sheetName val="Staff_Acco_16"/>
      <sheetName val="SPT_vs_PHI5"/>
      <sheetName val="LABOUR_RATE5"/>
      <sheetName val="MTO_REV_04"/>
      <sheetName val="Core_Data4"/>
      <sheetName val="Column_all_floor_R14"/>
      <sheetName val="Builtup_Area4"/>
      <sheetName val="Loan_Amortization_Schedule4"/>
      <sheetName val="SCHEDULE_OF_RATES4"/>
      <sheetName val="Driveway_Beams4"/>
      <sheetName val="WORK_TABLE4"/>
      <sheetName val="ASHRAE_Std_62_1-20134"/>
      <sheetName val="LPD_VALUE4"/>
      <sheetName val="IEQ_6_1_Systems_Lighting4"/>
      <sheetName val="Meas_-Hotel_Part4"/>
      <sheetName val="SC_Cost_FEB_034"/>
      <sheetName val="Lease_rents4"/>
      <sheetName val="Column_Detail4"/>
      <sheetName val="Plant_&amp;__Machinery4"/>
      <sheetName val="bending_stress4"/>
      <sheetName val="Boundary Wall Summary"/>
      <sheetName val="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 refreshError="1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/>
      <sheetData sheetId="2223"/>
      <sheetData sheetId="2224" refreshError="1"/>
      <sheetData sheetId="2225" refreshError="1"/>
      <sheetData sheetId="2226" refreshError="1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 refreshError="1"/>
      <sheetData sheetId="2302" refreshError="1"/>
      <sheetData sheetId="2303" refreshError="1"/>
      <sheetData sheetId="2304" refreshError="1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 refreshError="1"/>
      <sheetData sheetId="2349" refreshError="1"/>
      <sheetData sheetId="2350"/>
      <sheetData sheetId="2351"/>
      <sheetData sheetId="2352"/>
      <sheetData sheetId="2353"/>
      <sheetData sheetId="2354"/>
      <sheetData sheetId="2355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/>
      <sheetData sheetId="2445"/>
      <sheetData sheetId="2446" refreshError="1"/>
      <sheetData sheetId="2447" refreshError="1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 refreshError="1"/>
      <sheetData sheetId="2751" refreshError="1"/>
      <sheetData sheetId="2752" refreshError="1"/>
      <sheetData sheetId="2753" refreshError="1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L_Oth Bo"/>
      <sheetName val="3‰AL9697 -group wise  onpl"/>
      <sheetName val=""/>
      <sheetName val="Boq"/>
      <sheetName val="Civil Boq"/>
      <sheetName val="p&amp;m"/>
      <sheetName val="Staff Acco."/>
      <sheetName val="STEEL"/>
      <sheetName val="Sheet3"/>
      <sheetName val="SITE OVERHEADS"/>
      <sheetName val="Sheet1"/>
      <sheetName val="PRECAST lightconc-II"/>
      <sheetName val="Project-Material "/>
      <sheetName val="Boq Block A"/>
      <sheetName val="PL"/>
      <sheetName val="sept-plan"/>
      <sheetName val="1. PayRec"/>
      <sheetName val="Cashflow projection"/>
      <sheetName val="SPT vs PHI"/>
      <sheetName val="factors"/>
      <sheetName val="key dates"/>
      <sheetName val="Actuals"/>
      <sheetName val="Main-Material"/>
      <sheetName val="TBL9798_x0010_DPL03"/>
      <sheetName val="CORPN O_x0000_T"/>
      <sheetName val="ino4t conso,-nov"/>
      <sheetName val="(nout co,sol (2)"/>
      <sheetName val="Blr hire"/>
      <sheetName val="DESIGN"/>
      <sheetName val="VCH-SLC"/>
      <sheetName val="Supplier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_1_obpl_x005f_x000b_Wori"/>
      <sheetName val="_x005f_x0003_dpl_oth Lia`"/>
      <sheetName val="TBAL9697 _x005f_x000d_grotp wise "/>
      <sheetName val="St.co.91.5lvl"/>
      <sheetName val="R2"/>
      <sheetName val="template"/>
      <sheetName val="Build-up"/>
      <sheetName val="PRW"/>
      <sheetName val="analysis"/>
      <sheetName val="INPUT SHEET"/>
      <sheetName val="A-General"/>
      <sheetName val="data"/>
      <sheetName val="Sun E Type"/>
      <sheetName val="G-�"/>
      <sheetName val="3�AL9697 -group wise  onpl"/>
      <sheetName val="目录"/>
      <sheetName val="FORM7"/>
      <sheetName val="PCC"/>
      <sheetName val="Headings"/>
      <sheetName val="Precalculation"/>
      <sheetName val="nanjprofit"/>
      <sheetName val="Bill No.5"/>
      <sheetName val="Labor abs-NMR"/>
      <sheetName val="Names&amp;Cases"/>
      <sheetName val="Pay_Sep06"/>
      <sheetName val="TBAL9697 _x000a_grotp wise 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Fin Sum"/>
      <sheetName val="CORPN O?T"/>
      <sheetName val="Inventory"/>
      <sheetName val="MAR98"/>
      <sheetName val="환율"/>
      <sheetName val="CCTV_EST1"/>
      <sheetName val="Input"/>
      <sheetName val="Control"/>
      <sheetName val="gen"/>
      <sheetName val="TBL9798_x005f_x0010_DPL03"/>
      <sheetName val="CORPN O_x005f_x0000_T"/>
      <sheetName val="External"/>
      <sheetName val="SUPPLY -Sanitary Fixtures"/>
      <sheetName val="ITEMS FOR CIVIL TENDER"/>
      <sheetName val="Costing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P&amp;L - AD"/>
      <sheetName val="1__PayRec"/>
      <sheetName val="Boq_Block_A"/>
      <sheetName val="Cashflow_projection"/>
      <sheetName val="G_1_obpl_x005f_x005f_x005f_x000b_Wori"/>
      <sheetName val="_x005f_x005f_x005f_x0003_dpl_oth Lia`"/>
      <sheetName val="TBAL9697 _x005f_x005f_x005f_x000d_grotp wis"/>
      <sheetName val="CASHFLOWS"/>
      <sheetName val="RCC,Ret. Wall"/>
      <sheetName val="CORPN O"/>
      <sheetName val="SILICATE"/>
      <sheetName val="LIST OF MAKES"/>
      <sheetName val="Annex"/>
      <sheetName val="DG "/>
      <sheetName val="Civil Works"/>
      <sheetName val="GBW"/>
      <sheetName val="Fill this out first..."/>
      <sheetName val="LOAD SHEET "/>
      <sheetName val="Fee Rate Summary"/>
      <sheetName val="Name List"/>
      <sheetName val="Fin. Assumpt. - Sensitivities"/>
      <sheetName val="Labour productivity"/>
      <sheetName val="Basic"/>
      <sheetName val="BS1"/>
      <sheetName val="CORPN O_T"/>
      <sheetName val="Labour"/>
      <sheetName val="Area &amp; Cate. Master"/>
      <sheetName val="BOQ (2)"/>
      <sheetName val="TBAL9697 _grotp wise "/>
      <sheetName val="Detai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細目"/>
      <sheetName val="2004"/>
      <sheetName val="Form 6"/>
      <sheetName val="acevsSp (ABC)"/>
      <sheetName val="A.O.R."/>
      <sheetName val="Pivots"/>
      <sheetName val="DLC lookups"/>
      <sheetName val="Quote Sheet"/>
      <sheetName val="d-safe DELUXE"/>
      <sheetName val="Works - Quote Sheet"/>
      <sheetName val="BLOCK-A (MEA.SHEET)"/>
      <sheetName val="IO LIST"/>
      <sheetName val="TBAL9697 _x005f_x000d_grotp wis"/>
      <sheetName val="TBAL9697  grotp wise "/>
      <sheetName val="Config"/>
      <sheetName val="Break Dw"/>
      <sheetName val="basic-data"/>
      <sheetName val="mem-property"/>
      <sheetName val="Driveway Beams"/>
      <sheetName val="11B "/>
      <sheetName val="12A"/>
      <sheetName val="12B"/>
      <sheetName val="6B"/>
      <sheetName val="7A"/>
      <sheetName val="7B"/>
      <sheetName val="1"/>
      <sheetName val="Structure Bills Qty"/>
      <sheetName val="Detail 1A"/>
      <sheetName val="Rate"/>
      <sheetName val="Sheet2"/>
      <sheetName val="Sheet 1"/>
      <sheetName val="3BPA00132-5-3 W plan HVPNL"/>
      <sheetName val="Mix Design"/>
      <sheetName val="std-rates"/>
      <sheetName val="keyword"/>
      <sheetName val="RA-markate"/>
      <sheetName val="dBase"/>
      <sheetName val="#REF"/>
      <sheetName val="TBL9798_x005f_x005f_x005f_x0010_DPL03"/>
      <sheetName val="CORPN O_x005f_x005f_x005f_x0000_T"/>
      <sheetName val="220 11  BS "/>
      <sheetName val="TBAL9697 _x005f_x000a_grotp wise "/>
      <sheetName val="입력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FITZ MORT 94"/>
      <sheetName val="총괄표"/>
      <sheetName val="ISO.Reconcilation Statment"/>
      <sheetName val="AVG pur rate"/>
      <sheetName val="Payroll_Statement"/>
      <sheetName val="MRATES"/>
      <sheetName val="Mat.-Rates"/>
      <sheetName val="crews"/>
      <sheetName val="Capex-fixed"/>
      <sheetName val="NLD - Assum"/>
      <sheetName val="Intro."/>
      <sheetName val="Cash Flow Input Data_ISC"/>
      <sheetName val="Interface_SC"/>
      <sheetName val="Calc_ISC"/>
      <sheetName val="Calc_SC"/>
      <sheetName val="Interface_ISC"/>
      <sheetName val="GD"/>
      <sheetName val="Phasing"/>
      <sheetName val="Assumption Inputs"/>
      <sheetName val="pol-60"/>
      <sheetName val="tie beam"/>
      <sheetName val="COST"/>
      <sheetName val="SICAM"/>
      <sheetName val="A1-Continuous"/>
      <sheetName val="Legal Risk Analysis"/>
      <sheetName val="WWR"/>
      <sheetName val="Section Catalogue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3�AL9697_-group_wise__onpl"/>
      <sheetName val="Staff_Acco_1"/>
      <sheetName val="SITE_OVERHEADS1"/>
      <sheetName val="PRECAST_lightconc-II1"/>
      <sheetName val="SPT_vs_PHI"/>
      <sheetName val="Project-Material_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3�AL9697_-group_wise__onpl1"/>
      <sheetName val="Staff_Acco_2"/>
      <sheetName val="SITE_OVERHEADS2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3�AL9697_-group_wise__onpl2"/>
      <sheetName val="Boq_Block_A2"/>
      <sheetName val="Project-Material_2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Basis"/>
      <sheetName val="G_1_obpl_x005f_x005f_x005f_x005f_x005f_x005f_x000"/>
      <sheetName val="_x005f_x005f_x005f_x005f_x005f_x005f_x005f_x0003_dpl_ot"/>
      <sheetName val="TBAL9697 _x005f_x005f_x005f_x005f_x005f_x005f_x00"/>
      <sheetName val="Intro"/>
      <sheetName val="外気負荷"/>
      <sheetName val="DetEst"/>
      <sheetName val="Mat_Cost"/>
      <sheetName val="DETAILED  BOQ"/>
      <sheetName val="CABLE DATA"/>
      <sheetName val="fa-pl &amp; myy_x000b__x000b__x0002_"/>
      <sheetName val="Tender Summary"/>
      <sheetName val="BALAN1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Summary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Material"/>
      <sheetName val="Set"/>
      <sheetName val="Components"/>
      <sheetName val="INDIGINEOUS ITEMS "/>
      <sheetName val="Cost summary"/>
      <sheetName val="Parameter"/>
      <sheetName val="1_Project_Profile"/>
      <sheetName val="Excess Calc"/>
      <sheetName val="10"/>
      <sheetName val="11A"/>
      <sheetName val="6A"/>
      <sheetName val="5"/>
      <sheetName val="13"/>
      <sheetName val="14"/>
      <sheetName val="annx-1(Boq)"/>
      <sheetName val="Labels"/>
      <sheetName val="PO Payroll"/>
      <sheetName val="Deduction of assets"/>
      <sheetName val="Lead"/>
      <sheetName val="Exc"/>
      <sheetName val="Analy_7-10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s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CORPN_O_T1"/>
      <sheetName val="Area_&amp;_Cate__Master1"/>
      <sheetName val="Bill_No_51"/>
      <sheetName val="TBAL9697__grotp_wise_2"/>
      <sheetName val="Detail_1A1"/>
      <sheetName val="DG_3"/>
      <sheetName val="11B_1"/>
      <sheetName val="BOQ_(2)1"/>
      <sheetName val="DLC_lookups1"/>
      <sheetName val="Structure_Bills_Qty1"/>
      <sheetName val="Fee_Rate_Summary1"/>
      <sheetName val="Name_List1"/>
      <sheetName val="CORPN_O_x005f_x005f_x005f_x0000_T1"/>
      <sheetName val="TBAL9697__x005f_x000a_grotp_wise_1"/>
      <sheetName val="220_11__BS_1"/>
      <sheetName val="ISO_Reconcilation_Statment1"/>
      <sheetName val="AVG_pur_rate1"/>
      <sheetName val="Driveway_Beams1"/>
      <sheetName val="Cat_A_Change_Control1"/>
      <sheetName val="Break_up_Sheet1"/>
      <sheetName val="Summary_of_P_&amp;_M1"/>
      <sheetName val="Break_Dw1"/>
      <sheetName val="FITZ_MORT_941"/>
      <sheetName val="Sheet_11"/>
      <sheetName val="3BPA00132-5-3_W_plan_HVPNL1"/>
      <sheetName val="Mix_Design1"/>
      <sheetName val="BLOCK-A_(MEA_SHEET)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NLD_-_Assum1"/>
      <sheetName val="Intro_1"/>
      <sheetName val="TBAL9697__x005f_x005f_x005f_x005f_x005f_x005f_x01"/>
      <sheetName val="Form_61"/>
      <sheetName val="acevsSp_(ABC)1"/>
      <sheetName val="A_O_R_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BOQ "/>
      <sheetName val="BOQ-Part1"/>
      <sheetName val="Assumptions"/>
      <sheetName val="Detail In Door Stad"/>
      <sheetName val="TBAL9697 _x000d_grotp wis"/>
      <sheetName val="Section_Catalogue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TEXT"/>
      <sheetName val="P&amp;L-BDMC"/>
      <sheetName val="dyes"/>
      <sheetName val="UTILITY"/>
      <sheetName val="final abstract"/>
      <sheetName val="RA"/>
      <sheetName val="Report"/>
      <sheetName val="Main Gate House"/>
      <sheetName val="Reinforcement"/>
      <sheetName val="TBL9798_x005f_x005f_x005f_x005f_x005f_x005f_x0010"/>
      <sheetName val="CORPN O_x005f_x005f_x005f_x005f_x005f_x005f_x0000"/>
      <sheetName val="TBAL9697 _x005f_x005f_x005f_x000a_grotp wis"/>
      <sheetName val="sumary(3)"/>
      <sheetName val="G_1_obpl_x005f_x005f_x005f_x005f_x005f_x005f_x005"/>
      <sheetName val="_x005f_x005f_x005f_x005f_x005f_x005f_x005f_x005f_x005f_x005f_"/>
      <sheetName val="Gen Info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AutoOpen Stub Data"/>
      <sheetName val="Material "/>
      <sheetName val="Extra Item"/>
      <sheetName val="Labour &amp; Plant"/>
      <sheetName val="General input"/>
      <sheetName val="6.05"/>
      <sheetName val="Abstract Sheet"/>
      <sheetName val="Boq- Civil"/>
      <sheetName val="tie_beam"/>
      <sheetName val="Meas.-Hotel Pa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COLUMN"/>
      <sheetName val="BASIC RATES"/>
      <sheetName val="lineby line consolidation"/>
      <sheetName val="Invoice"/>
      <sheetName val="Base Assumptions"/>
      <sheetName val=" COP 100%"/>
      <sheetName val="Package-2"/>
      <sheetName val="Contract Night Staff"/>
      <sheetName val="Contract Day Staff"/>
      <sheetName val="Day Shift"/>
      <sheetName val="Night Shift"/>
      <sheetName val="Debits as on 12.04.08"/>
      <sheetName val="Lintel Beam 104.70 (GF)  "/>
      <sheetName val=" "/>
      <sheetName val="P&amp;L(F)"/>
      <sheetName val="BS(F)"/>
      <sheetName val="Labor abs-PW"/>
      <sheetName val="zone-2"/>
      <sheetName val="M40"/>
      <sheetName val="TBAL9697 -group wise sdpl"/>
      <sheetName val="Global"/>
      <sheetName val="RA_markate"/>
      <sheetName val="Columns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G_1_obpl_x005f_x005f_x000"/>
      <sheetName val="_x005f_x005f_x005f_x0003_dpl_ot"/>
      <sheetName val="TBAL9697 _x005f_x005f_x00"/>
      <sheetName val="Quotation"/>
      <sheetName val="BFS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ill 3 - Site Works"/>
      <sheetName val="Area Statement"/>
      <sheetName val="Risk Analysis"/>
      <sheetName val="appendix 2.5 final accounts"/>
      <sheetName val="Deduction_of_assets"/>
      <sheetName val="Elect_"/>
      <sheetName val="Site_Dev_BOQ"/>
      <sheetName val="RES-PLANNING"/>
      <sheetName val="Rate analysis"/>
      <sheetName val="Approved MTD Proj #'s"/>
      <sheetName val="9. Package split - Cost "/>
      <sheetName val="Project Budget Worksheet"/>
      <sheetName val="TBAL9697__x005f_x000a_grotp_wis"/>
      <sheetName val="CORPN_O_x005f_x005f_x0000"/>
      <sheetName val="TBL9798_x005f_x005f_x005f"/>
      <sheetName val="CORPN O_x005f_x005f_x005f"/>
      <sheetName val="CORPN_O_T26"/>
      <sheetName val="Safety"/>
      <sheetName val="Customize Your Purchase Order"/>
      <sheetName val="fa-pl &amp; myy_x005f_x000b__x005f_x000b__x00"/>
      <sheetName val="FitOutConfCentre"/>
      <sheetName val="office"/>
      <sheetName val="Lab"/>
      <sheetName val="P &amp; M"/>
      <sheetName val="MS Items"/>
      <sheetName val="STRUCTURAL"/>
      <sheetName val="ARCHITECTURAL"/>
      <sheetName val="SITE DEVELOPMENT"/>
      <sheetName val="L+M"/>
      <sheetName val="Material Rate"/>
      <sheetName val="DDETABLE "/>
      <sheetName val="STAFFSCHED_"/>
      <sheetName val="estimate"/>
      <sheetName val="NetBQ"/>
      <sheetName val="Sheet7"/>
      <sheetName val="Building 1"/>
      <sheetName val="Lead (Final)"/>
      <sheetName val="Abstract"/>
      <sheetName val="Detail P&amp;L"/>
      <sheetName val="Assumption Sheet"/>
      <sheetName val="gVL"/>
      <sheetName val="KP1590_E"/>
      <sheetName val="sumary"/>
      <sheetName val="Xenon(R2)"/>
      <sheetName val="Categories"/>
      <sheetName val="indices "/>
      <sheetName val="month"/>
      <sheetName val="partner"/>
      <sheetName val="year"/>
      <sheetName val="F1a-Pile"/>
      <sheetName val="Material List "/>
      <sheetName val="Section_Catalogue3"/>
      <sheetName val="tie_beam3"/>
      <sheetName val="INDIGINEOUS_ITEMS_"/>
      <sheetName val="final_abstract"/>
      <sheetName val="BASIC_RATES"/>
      <sheetName val="TBAL9697__x005f_x005f_x005f_x000a_grotp_wis"/>
      <sheetName val="CORPN_O_x005f_x005f_x005f_x005f_x005f_x005f_x0000"/>
      <sheetName val="Excess_Calc"/>
      <sheetName val="Meas_-Hotel_Part"/>
      <sheetName val="Capital_by_Years_Valuation"/>
      <sheetName val="ReportsParameters"/>
      <sheetName val="Nopat_by_Years_Valuation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std"/>
      <sheetName val="TAX INCOME"/>
      <sheetName val="Depart Budget"/>
      <sheetName val="Corporate"/>
      <sheetName val="Masters"/>
      <sheetName val="CC June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4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L_Oth_Bo33"/>
      <sheetName val="3‰AL9697_-group_wise__onpl33"/>
      <sheetName val="Civil_Boq33"/>
      <sheetName val="Project-Material_32"/>
      <sheetName val="Staff_Acco_33"/>
      <sheetName val="SITE_OVERHEADS33"/>
      <sheetName val="Boq_Block_A32"/>
      <sheetName val="PRECAST_lightconc-II33"/>
      <sheetName val="1__PayRec32"/>
      <sheetName val="Cashflow_projection32"/>
      <sheetName val="SPT_vs_PHI32"/>
      <sheetName val="key_dates32"/>
      <sheetName val="Blr_hire32"/>
      <sheetName val="ino4t_conso,-nov32"/>
      <sheetName val="(nout_co,sol_(2)32"/>
      <sheetName val="_bpl,oth_lia_32"/>
      <sheetName val="G_,and_adv_nce32"/>
      <sheetName val="I,Wip-ot__2)32"/>
      <sheetName val="det!il_WIP_(2)32"/>
      <sheetName val="de4ail_G-132"/>
      <sheetName val="sobha_mennn_ac32"/>
      <sheetName val="C_&amp;ix_asst32"/>
      <sheetName val="_x005f_x0003_dpl_oth_Lia`32"/>
      <sheetName val="TBAL9697__x005f_x000d_grotp_wise_32"/>
      <sheetName val="St_co_91_5lvl32"/>
      <sheetName val="Labor_abs-NMR32"/>
      <sheetName val="3�AL9697_-group_wise__onpl32"/>
      <sheetName val="INPUT_SHEET32"/>
      <sheetName val="Sun_E_Type32"/>
      <sheetName val="Fin_Sum32"/>
      <sheetName val="CORPN_O?T32"/>
      <sheetName val="Stress_Calculation32"/>
      <sheetName val="CORPN_O_x005f_x0000_T32"/>
      <sheetName val="SUPPLY_-Sanitary_Fixtures32"/>
      <sheetName val="ITEMS_FOR_CIVIL_TENDER32"/>
      <sheetName val="TBAL9697__x000a_grotp_wise_32"/>
      <sheetName val="CORPN_O32"/>
      <sheetName val="labour_coeff30"/>
      <sheetName val="CORPN_O_T32"/>
      <sheetName val="TBAL9697__grotp_wise_69"/>
      <sheetName val="Shuttering_Analysis30"/>
      <sheetName val="General_P+M30"/>
      <sheetName val="Curing_Analysis_30"/>
      <sheetName val="Concrete_P+M_(_RMC_)30"/>
      <sheetName val="P+M_(_SMC_)30"/>
      <sheetName val="P+M_-EW30"/>
      <sheetName val="Cat_A_Change_Control30"/>
      <sheetName val="Break_up_Sheet30"/>
      <sheetName val="Summary_of_P_&amp;_M30"/>
      <sheetName val="P&amp;L_-_AD30"/>
      <sheetName val="_x005f_x005f_x005f_x0003_dpl_oth_Lia`32"/>
      <sheetName val="TBAL9697__x005f_x005f_x005f_x000d_grotp_w32"/>
      <sheetName val="Fin__Assumpt__-_Sensitivities30"/>
      <sheetName val="LOAD_SHEET_30"/>
      <sheetName val="Fill_this_out_first___30"/>
      <sheetName val="Labour_productivity30"/>
      <sheetName val="RCC,Ret__Wall30"/>
      <sheetName val="Area_&amp;_Cate__Master30"/>
      <sheetName val="DG_32"/>
      <sheetName val="Bill_No_530"/>
      <sheetName val="Sheet_130"/>
      <sheetName val="3BPA00132-5-3_W_plan_HVPNL30"/>
      <sheetName val="Mix_Design30"/>
      <sheetName val="Fee_Rate_Summary30"/>
      <sheetName val="Name_List30"/>
      <sheetName val="BOQ_(2)30"/>
      <sheetName val="DLC_lookups30"/>
      <sheetName val="Quote_Sheet30"/>
      <sheetName val="d-safe_DELUXE30"/>
      <sheetName val="Works_-_Quote_Sheet30"/>
      <sheetName val="IO_LIST30"/>
      <sheetName val="TBAL9697__x005f_x000d_grotp_wis30"/>
      <sheetName val="TBAL9697__grotp_wise_70"/>
      <sheetName val="FITZ_MORT_9430"/>
      <sheetName val="Structure_Bills_Qty30"/>
      <sheetName val="11B_30"/>
      <sheetName val="TBAL9697__x005f_x000a_grotp_wise_30"/>
      <sheetName val="Driveway_Beams30"/>
      <sheetName val="ISO_Reconcilation_Statment30"/>
      <sheetName val="AVG_pur_rate30"/>
      <sheetName val="Detail_1A30"/>
      <sheetName val="Break_Dw30"/>
      <sheetName val="CORPN_O_x005f_x005f_x005f_x0000_T30"/>
      <sheetName val="220_11__BS_30"/>
      <sheetName val="NLD_-_Assum30"/>
      <sheetName val="Cash_Flow_Input_Data_ISC30"/>
      <sheetName val="BLOCK-A_(MEA_SHEET)30"/>
      <sheetName val="Form_630"/>
      <sheetName val="acevsSp_(ABC)30"/>
      <sheetName val="A_O_R_30"/>
      <sheetName val="LIST_OF_MAKES30"/>
      <sheetName val="Intro_30"/>
      <sheetName val="TBAL9697__x005f_x005f_x005f_x005f_x005f_x005f_x30"/>
      <sheetName val="Assumption_Inputs13"/>
      <sheetName val="Civil_Works3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2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L_Oth_Bo31"/>
      <sheetName val="3‰AL9697_-group_wise__onpl31"/>
      <sheetName val="Civil_Boq31"/>
      <sheetName val="Project-Material_30"/>
      <sheetName val="Staff_Acco_31"/>
      <sheetName val="SITE_OVERHEADS31"/>
      <sheetName val="Boq_Block_A30"/>
      <sheetName val="PRECAST_lightconc-II31"/>
      <sheetName val="1__PayRec30"/>
      <sheetName val="Cashflow_projection30"/>
      <sheetName val="SPT_vs_PHI30"/>
      <sheetName val="Blr_hire30"/>
      <sheetName val="key_dates30"/>
      <sheetName val="ino4t_conso,-nov30"/>
      <sheetName val="(nout_co,sol_(2)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Labor_abs-NMR30"/>
      <sheetName val="3�AL9697_-group_wise__onpl30"/>
      <sheetName val="INPUT_SHEET30"/>
      <sheetName val="Sun_E_Type30"/>
      <sheetName val="Fin_Sum30"/>
      <sheetName val="CORPN_O?T30"/>
      <sheetName val="Stress_Calculation30"/>
      <sheetName val="CORPN_O_x005f_x0000_T30"/>
      <sheetName val="SUPPLY_-Sanitary_Fixtures30"/>
      <sheetName val="ITEMS_FOR_CIVIL_TENDER30"/>
      <sheetName val="TBAL9697__x000a_grotp_wise_30"/>
      <sheetName val="CORPN_O30"/>
      <sheetName val="labour_coeff28"/>
      <sheetName val="CORPN_O_T30"/>
      <sheetName val="TBAL9697__grotp_wise_64"/>
      <sheetName val="Shuttering_Analysis28"/>
      <sheetName val="General_P+M28"/>
      <sheetName val="Curing_Analysis_28"/>
      <sheetName val="Concrete_P+M_(_RMC_)28"/>
      <sheetName val="P+M_(_SMC_)28"/>
      <sheetName val="P+M_-EW28"/>
      <sheetName val="Cat_A_Change_Control28"/>
      <sheetName val="Break_up_Sheet28"/>
      <sheetName val="Summary_of_P_&amp;_M28"/>
      <sheetName val="DG_30"/>
      <sheetName val="P&amp;L_-_AD28"/>
      <sheetName val="_x005f_x005f_x005f_x0003_dpl_oth_Lia`30"/>
      <sheetName val="TBAL9697__x005f_x005f_x005f_x000d_grotp_w30"/>
      <sheetName val="Fin__Assumpt__-_Sensitivities28"/>
      <sheetName val="LOAD_SHEET_28"/>
      <sheetName val="Fill_this_out_first___28"/>
      <sheetName val="Labour_productivity28"/>
      <sheetName val="RCC,Ret__Wall28"/>
      <sheetName val="Area_&amp;_Cate__Master28"/>
      <sheetName val="Bill_No_528"/>
      <sheetName val="Sheet_128"/>
      <sheetName val="3BPA00132-5-3_W_plan_HVPNL28"/>
      <sheetName val="Mix_Design28"/>
      <sheetName val="Fee_Rate_Summary28"/>
      <sheetName val="Name_List28"/>
      <sheetName val="BOQ_(2)28"/>
      <sheetName val="DLC_lookups28"/>
      <sheetName val="Quote_Sheet28"/>
      <sheetName val="d-safe_DELUXE28"/>
      <sheetName val="Works_-_Quote_Sheet28"/>
      <sheetName val="IO_LIST28"/>
      <sheetName val="TBAL9697__x005f_x000d_grotp_wis28"/>
      <sheetName val="TBAL9697__grotp_wise_65"/>
      <sheetName val="FITZ_MORT_9428"/>
      <sheetName val="Structure_Bills_Qty28"/>
      <sheetName val="11B_28"/>
      <sheetName val="TBAL9697__x005f_x000a_grotp_wise_28"/>
      <sheetName val="Driveway_Beams28"/>
      <sheetName val="ISO_Reconcilation_Statment28"/>
      <sheetName val="AVG_pur_rate28"/>
      <sheetName val="Detail_1A28"/>
      <sheetName val="Break_Dw28"/>
      <sheetName val="CORPN_O_x005f_x005f_x005f_x0000_T28"/>
      <sheetName val="220_11__BS_28"/>
      <sheetName val="NLD_-_Assum28"/>
      <sheetName val="Cash_Flow_Input_Data_ISC28"/>
      <sheetName val="BLOCK-A_(MEA_SHEET)28"/>
      <sheetName val="Form_628"/>
      <sheetName val="acevsSp_(ABC)28"/>
      <sheetName val="A_O_R_28"/>
      <sheetName val="LIST_OF_MAKES28"/>
      <sheetName val="Intro_28"/>
      <sheetName val="TBAL9697__x005f_x005f_x005f_x005f_x005f_x005f_x28"/>
      <sheetName val="Assumption_Inputs11"/>
      <sheetName val="Civil_Works28"/>
      <sheetName val="Section_Catalogue6"/>
      <sheetName val="Mat_-Rates28"/>
      <sheetName val="DETAILED__BOQ28"/>
      <sheetName val="CABLE_DATA28"/>
      <sheetName val="Tender_Summary11"/>
      <sheetName val="Legal_Risk_Analysis28"/>
      <sheetName val="tie_beam6"/>
      <sheetName val="General_input3"/>
      <sheetName val="6_053"/>
      <sheetName val="Abstract_Sheet3"/>
      <sheetName val="Boq-_Civil3"/>
      <sheetName val="TBAL9697__grotp_wise_66"/>
      <sheetName val="TBAL9697__grotp_wise_116"/>
      <sheetName val="Excess_Calc3"/>
      <sheetName val="Site_Dev_BOQ4"/>
      <sheetName val="PO_Payroll3"/>
      <sheetName val="Deduction_of_assets4"/>
      <sheetName val="CORPN_O_x005f_x005f_x005f_x005f_x005f_x005f_x0003"/>
      <sheetName val="TBAL9697__x005f_x005f_x005f_x000a_grotp_wi3"/>
      <sheetName val="BOQ_3"/>
      <sheetName val="INDIGINEOUS_ITEMS_3"/>
      <sheetName val="COP_Final3"/>
      <sheetName val="Elect_4"/>
      <sheetName val="Detail_In_Door_Stad3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L_Oth_Bo30"/>
      <sheetName val="3‰AL9697_-group_wise__onpl30"/>
      <sheetName val="Civil_Boq30"/>
      <sheetName val="Project-Material_29"/>
      <sheetName val="Staff_Acco_30"/>
      <sheetName val="SITE_OVERHEADS30"/>
      <sheetName val="Boq_Block_A29"/>
      <sheetName val="PRECAST_lightconc-II30"/>
      <sheetName val="1__PayRec29"/>
      <sheetName val="Cashflow_projection29"/>
      <sheetName val="SPT_vs_PHI29"/>
      <sheetName val="Blr_hire29"/>
      <sheetName val="key_dates29"/>
      <sheetName val="ino4t_conso,-nov29"/>
      <sheetName val="(nout_co,sol_(2)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Labor_abs-NMR29"/>
      <sheetName val="3�AL9697_-group_wise__onpl29"/>
      <sheetName val="INPUT_SHEET29"/>
      <sheetName val="Sun_E_Type29"/>
      <sheetName val="Fin_Sum29"/>
      <sheetName val="CORPN_O?T29"/>
      <sheetName val="Stress_Calculation29"/>
      <sheetName val="CORPN_O_x005f_x0000_T29"/>
      <sheetName val="SUPPLY_-Sanitary_Fixtures29"/>
      <sheetName val="ITEMS_FOR_CIVIL_TENDER29"/>
      <sheetName val="TBAL9697__x000a_grotp_wise_29"/>
      <sheetName val="CORPN_O29"/>
      <sheetName val="labour_coeff27"/>
      <sheetName val="CORPN_O_T29"/>
      <sheetName val="TBAL9697__grotp_wise_58"/>
      <sheetName val="Shuttering_Analysis27"/>
      <sheetName val="General_P+M27"/>
      <sheetName val="Curing_Analysis_27"/>
      <sheetName val="Concrete_P+M_(_RMC_)27"/>
      <sheetName val="P+M_(_SMC_)27"/>
      <sheetName val="P+M_-EW27"/>
      <sheetName val="Cat_A_Change_Control27"/>
      <sheetName val="Break_up_Sheet27"/>
      <sheetName val="Summary_of_P_&amp;_M27"/>
      <sheetName val="DG_29"/>
      <sheetName val="P&amp;L_-_AD27"/>
      <sheetName val="_x005f_x005f_x005f_x0003_dpl_oth_Lia`29"/>
      <sheetName val="TBAL9697__x005f_x005f_x005f_x000d_grotp_w29"/>
      <sheetName val="Fin__Assumpt__-_Sensitivities27"/>
      <sheetName val="LOAD_SHEET_27"/>
      <sheetName val="Fill_this_out_first___27"/>
      <sheetName val="Labour_productivity27"/>
      <sheetName val="RCC,Ret__Wall27"/>
      <sheetName val="Area_&amp;_Cate__Master27"/>
      <sheetName val="Bill_No_527"/>
      <sheetName val="Sheet_127"/>
      <sheetName val="3BPA00132-5-3_W_plan_HVPNL27"/>
      <sheetName val="Mix_Design27"/>
      <sheetName val="Fee_Rate_Summary27"/>
      <sheetName val="Name_List27"/>
      <sheetName val="BOQ_(2)27"/>
      <sheetName val="DLC_lookups27"/>
      <sheetName val="Quote_Sheet27"/>
      <sheetName val="d-safe_DELUXE27"/>
      <sheetName val="Works_-_Quote_Sheet27"/>
      <sheetName val="IO_LIST27"/>
      <sheetName val="TBAL9697__x005f_x000d_grotp_wis27"/>
      <sheetName val="TBAL9697__grotp_wise_59"/>
      <sheetName val="FITZ_MORT_9427"/>
      <sheetName val="Structure_Bills_Qty27"/>
      <sheetName val="11B_27"/>
      <sheetName val="TBAL9697__x005f_x000a_grotp_wise_27"/>
      <sheetName val="Driveway_Beams27"/>
      <sheetName val="ISO_Reconcilation_Statment27"/>
      <sheetName val="AVG_pur_rate27"/>
      <sheetName val="Detail_1A27"/>
      <sheetName val="Break_Dw27"/>
      <sheetName val="CORPN_O_x005f_x005f_x005f_x0000_T27"/>
      <sheetName val="220_11__BS_27"/>
      <sheetName val="NLD_-_Assum27"/>
      <sheetName val="Cash_Flow_Input_Data_ISC27"/>
      <sheetName val="BLOCK-A_(MEA_SHEET)27"/>
      <sheetName val="Form_627"/>
      <sheetName val="acevsSp_(ABC)27"/>
      <sheetName val="A_O_R_27"/>
      <sheetName val="LIST_OF_MAKES27"/>
      <sheetName val="Intro_27"/>
      <sheetName val="TBAL9697__x005f_x005f_x005f_x005f_x005f_x005f_x27"/>
      <sheetName val="Assumption_Inputs10"/>
      <sheetName val="Civil_Works27"/>
      <sheetName val="CORPN_O_T27"/>
      <sheetName val="Sheet_125"/>
      <sheetName val="3BPA00132-5-3_W_plan_HVPNL25"/>
      <sheetName val="Mix_Design25"/>
      <sheetName val="FITZ_MORT_9425"/>
      <sheetName val="ISO_Reconcilation_Statment25"/>
      <sheetName val="AVG_pur_rate25"/>
      <sheetName val="NLD_-_Assum25"/>
      <sheetName val="Cash_Flow_Input_Data_ISC25"/>
      <sheetName val="BLOCK-A_(MEA_SHEET)25"/>
      <sheetName val="Form_625"/>
      <sheetName val="acevsSp_(ABC)25"/>
      <sheetName val="A_O_R_25"/>
      <sheetName val="LIST_OF_MAKES25"/>
      <sheetName val="Intro_25"/>
      <sheetName val="TBAL9697__x005f_x005f_x005f_x005f_x005f_x005f_x25"/>
      <sheetName val="Assumption_Inputs8"/>
      <sheetName val="Civil_Works25"/>
      <sheetName val="Mat_-Rates25"/>
      <sheetName val="DETAILED__BOQ25"/>
      <sheetName val="CABLE_DATA25"/>
      <sheetName val="Tender_Summary8"/>
      <sheetName val="Legal_Risk_Analysis25"/>
      <sheetName val="General_input"/>
      <sheetName val="6_05"/>
      <sheetName val="Abstract_Sheet"/>
      <sheetName val="Boq-_Civil"/>
      <sheetName val="TBAL9697__grotp_wise_52"/>
      <sheetName val="TBAL9697__grotp_wise_110"/>
      <sheetName val="Site_Dev_BOQ1"/>
      <sheetName val="PO_Payroll"/>
      <sheetName val="Deduction_of_assets1"/>
      <sheetName val="BOQ_"/>
      <sheetName val="COP_Final"/>
      <sheetName val="Elect_1"/>
      <sheetName val="Detail_In_Door_Stad"/>
      <sheetName val="TBAL9697__x000a_grotp_wis"/>
      <sheetName val="SPILL_OVER"/>
      <sheetName val="Data_sheet"/>
      <sheetName val="Per_Unit"/>
      <sheetName val="Pacakges_split"/>
      <sheetName val="Main_Gate_House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Gen_Info"/>
      <sheetName val="P_&amp;_M"/>
      <sheetName val="MS_Items"/>
      <sheetName val="AutoOpen_Stub_Data"/>
      <sheetName val="Material_"/>
      <sheetName val="Extra_Item"/>
      <sheetName val="Labour_&amp;_Plant"/>
      <sheetName val="Debits_as_on_12_04_08"/>
      <sheetName val="TBAL9697__x005f_x005f_x001"/>
      <sheetName val="CORPN_O_x005f_x005f_x00001"/>
      <sheetName val="TBAL9697__x005f_x000a_grotp_wis1"/>
      <sheetName val="fa-pl_&amp;_myy_x00"/>
      <sheetName val="Labor_abs-PW"/>
      <sheetName val="Customize_Your_Purchase_Order"/>
      <sheetName val="fa-pl_&amp;_myy_x005f_x000b__x005f_x000b__x00"/>
      <sheetName val="Base_Assumptions"/>
      <sheetName val="_COP_100%"/>
      <sheetName val="TBAL9697__grotp_wise_251"/>
      <sheetName val="TBAL9697__grotp_wise_261"/>
      <sheetName val="TBAL9697_-group_wise_sdpl"/>
      <sheetName val="Lintel_Beam_104_70_(GF)__"/>
      <sheetName val="_"/>
      <sheetName val="Contract_Night_Staff"/>
      <sheetName val="Contract_Day_Staff"/>
      <sheetName val="Day_Shift"/>
      <sheetName val="Night_Shift"/>
      <sheetName val="lineby_line_consolidation"/>
      <sheetName val="Area_Statement"/>
      <sheetName val="Risk_Analysis"/>
      <sheetName val="SITE_DEVELOPMENT"/>
      <sheetName val="Material_Rate"/>
      <sheetName val="Rate_analysis"/>
      <sheetName val="Approved_MTD_Proj_#'s"/>
      <sheetName val="9__Package_split_-_Cost_"/>
      <sheetName val="Project_Budget_Worksheet"/>
      <sheetName val="CORPN_O_x005f_x005f_x005f"/>
      <sheetName val="DDETABLE_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L_Oth_Bo29"/>
      <sheetName val="3‰AL9697_-group_wise__onpl29"/>
      <sheetName val="Civil_Boq29"/>
      <sheetName val="Project-Material_28"/>
      <sheetName val="Staff_Acco_29"/>
      <sheetName val="SITE_OVERHEADS29"/>
      <sheetName val="Boq_Block_A28"/>
      <sheetName val="PRECAST_lightconc-II29"/>
      <sheetName val="1__PayRec28"/>
      <sheetName val="Cashflow_projection28"/>
      <sheetName val="SPT_vs_PHI28"/>
      <sheetName val="Blr_hire28"/>
      <sheetName val="key_dates28"/>
      <sheetName val="ino4t_conso,-nov28"/>
      <sheetName val="(nout_co,sol_(2)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Labor_abs-NMR28"/>
      <sheetName val="3�AL9697_-group_wise__onpl28"/>
      <sheetName val="INPUT_SHEET28"/>
      <sheetName val="Sun_E_Type28"/>
      <sheetName val="Fin_Sum28"/>
      <sheetName val="CORPN_O?T28"/>
      <sheetName val="Stress_Calculation28"/>
      <sheetName val="CORPN_O_x005f_x0000_T28"/>
      <sheetName val="SUPPLY_-Sanitary_Fixtures28"/>
      <sheetName val="ITEMS_FOR_CIVIL_TENDER28"/>
      <sheetName val="TBAL9697__x000a_grotp_wise_28"/>
      <sheetName val="CORPN_O28"/>
      <sheetName val="labour_coeff26"/>
      <sheetName val="CORPN_O_T28"/>
      <sheetName val="TBAL9697__grotp_wise_54"/>
      <sheetName val="Shuttering_Analysis26"/>
      <sheetName val="General_P+M26"/>
      <sheetName val="Curing_Analysis_26"/>
      <sheetName val="Concrete_P+M_(_RMC_)26"/>
      <sheetName val="P+M_(_SMC_)26"/>
      <sheetName val="P+M_-EW26"/>
      <sheetName val="Cat_A_Change_Control26"/>
      <sheetName val="Break_up_Sheet26"/>
      <sheetName val="Summary_of_P_&amp;_M26"/>
      <sheetName val="DG_28"/>
      <sheetName val="P&amp;L_-_AD26"/>
      <sheetName val="_x005f_x005f_x005f_x0003_dpl_oth_Lia`28"/>
      <sheetName val="TBAL9697__x005f_x005f_x005f_x000d_grotp_w28"/>
      <sheetName val="Fin__Assumpt__-_Sensitivities26"/>
      <sheetName val="LOAD_SHEET_26"/>
      <sheetName val="Fill_this_out_first___26"/>
      <sheetName val="Labour_productivity26"/>
      <sheetName val="RCC,Ret__Wall26"/>
      <sheetName val="Area_&amp;_Cate__Master26"/>
      <sheetName val="Bill_No_526"/>
      <sheetName val="Sheet_126"/>
      <sheetName val="3BPA00132-5-3_W_plan_HVPNL26"/>
      <sheetName val="Mix_Design26"/>
      <sheetName val="Fee_Rate_Summary26"/>
      <sheetName val="Name_List26"/>
      <sheetName val="BOQ_(2)26"/>
      <sheetName val="DLC_lookups26"/>
      <sheetName val="Quote_Sheet26"/>
      <sheetName val="d-safe_DELUXE26"/>
      <sheetName val="Works_-_Quote_Sheet26"/>
      <sheetName val="IO_LIST26"/>
      <sheetName val="TBAL9697__x005f_x000d_grotp_wis26"/>
      <sheetName val="TBAL9697__grotp_wise_55"/>
      <sheetName val="FITZ_MORT_9426"/>
      <sheetName val="Structure_Bills_Qty26"/>
      <sheetName val="11B_26"/>
      <sheetName val="TBAL9697__x005f_x000a_grotp_wise_26"/>
      <sheetName val="Driveway_Beams26"/>
      <sheetName val="ISO_Reconcilation_Statment26"/>
      <sheetName val="AVG_pur_rate26"/>
      <sheetName val="Detail_1A26"/>
      <sheetName val="Break_Dw26"/>
      <sheetName val="CORPN_O_x005f_x005f_x005f_x0000_T26"/>
      <sheetName val="220_11__BS_26"/>
      <sheetName val="NLD_-_Assum26"/>
      <sheetName val="Cash_Flow_Input_Data_ISC26"/>
      <sheetName val="BLOCK-A_(MEA_SHEET)26"/>
      <sheetName val="Form_626"/>
      <sheetName val="acevsSp_(ABC)26"/>
      <sheetName val="A_O_R_26"/>
      <sheetName val="LIST_OF_MAKES26"/>
      <sheetName val="Intro_26"/>
      <sheetName val="TBAL9697__x005f_x005f_x005f_x005f_x005f_x005f_x26"/>
      <sheetName val="Assumption_Inputs9"/>
      <sheetName val="Civil_Works26"/>
      <sheetName val="Section_Catalogue4"/>
      <sheetName val="Mat_-Rates26"/>
      <sheetName val="DETAILED__BOQ26"/>
      <sheetName val="CABLE_DATA26"/>
      <sheetName val="Tender_Summary9"/>
      <sheetName val="Legal_Risk_Analysis26"/>
      <sheetName val="tie_beam4"/>
      <sheetName val="General_input1"/>
      <sheetName val="6_051"/>
      <sheetName val="Abstract_Sheet1"/>
      <sheetName val="Boq-_Civil1"/>
      <sheetName val="TBAL9697__grotp_wise_56"/>
      <sheetName val="TBAL9697__grotp_wise_112"/>
      <sheetName val="Excess_Calc1"/>
      <sheetName val="Site_Dev_BOQ2"/>
      <sheetName val="PO_Payroll1"/>
      <sheetName val="Deduction_of_assets2"/>
      <sheetName val="CORPN_O_x005f_x005f_x005f_x005f_x005f_x005f_x0001"/>
      <sheetName val="TBAL9697__x005f_x005f_x005f_x000a_grotp_wi1"/>
      <sheetName val="BOQ_1"/>
      <sheetName val="INDIGINEOUS_ITEMS_1"/>
      <sheetName val="COP_Final1"/>
      <sheetName val="Elect_2"/>
      <sheetName val="Detail_In_Door_Stad1"/>
      <sheetName val="SPILL_OVER1"/>
      <sheetName val="Data_sheet1"/>
      <sheetName val="Per_Unit1"/>
      <sheetName val="Pacakges_split1"/>
      <sheetName val="Main_Gate_House1"/>
      <sheetName val="final_abstract1"/>
      <sheetName val="Cost_summary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Gen_Info1"/>
      <sheetName val="P_&amp;_M1"/>
      <sheetName val="MS_Items1"/>
      <sheetName val="AutoOpen_Stub_Data1"/>
      <sheetName val="Material_1"/>
      <sheetName val="Extra_Item1"/>
      <sheetName val="Labour_&amp;_Plant1"/>
      <sheetName val="Debits_as_on_12_04_081"/>
      <sheetName val="Meas_-Hotel_Part1"/>
      <sheetName val="BASIC_RATES1"/>
      <sheetName val="TBAL9697__x005f_x005f_x002"/>
      <sheetName val="CORPN_O_x005f_x005f_x00002"/>
      <sheetName val="TBAL9697__x005f_x000a_grotp_wis2"/>
      <sheetName val="Labor_abs-PW1"/>
      <sheetName val="Customize_Your_Purchase_Order1"/>
      <sheetName val="fa-pl_&amp;_myy_x005f_x000b__x005f_x000b__x01"/>
      <sheetName val="Base_Assumptions1"/>
      <sheetName val="_COP_100%1"/>
      <sheetName val="TBAL9697__grotp_wise_252"/>
      <sheetName val="TBAL9697__grotp_wise_262"/>
      <sheetName val="TBAL9697_-group_wise_sdpl1"/>
      <sheetName val="Lintel_Beam_104_70_(GF)__1"/>
      <sheetName val="_1"/>
      <sheetName val="Contract_Night_Staff1"/>
      <sheetName val="Contract_Day_Staff1"/>
      <sheetName val="Day_Shift1"/>
      <sheetName val="Night_Shift1"/>
      <sheetName val="lineby_line_consolidation1"/>
      <sheetName val="Area_Statement1"/>
      <sheetName val="Risk_Analysis1"/>
      <sheetName val="SITE_DEVELOPMENT1"/>
      <sheetName val="Material_Rate1"/>
      <sheetName val="Rate_analysis1"/>
      <sheetName val="Approved_MTD_Proj_#'s1"/>
      <sheetName val="9__Package_split_-_Cost_1"/>
      <sheetName val="Project_Budget_Worksheet1"/>
      <sheetName val="CORPN_O_x005f_x005f_x005f1"/>
      <sheetName val="DDETABLE_1"/>
      <sheetName val="Section_Catalogue5"/>
      <sheetName val="Mat_-Rates27"/>
      <sheetName val="DETAILED__BOQ27"/>
      <sheetName val="CABLE_DATA27"/>
      <sheetName val="Tender_Summary10"/>
      <sheetName val="Legal_Risk_Analysis27"/>
      <sheetName val="tie_beam5"/>
      <sheetName val="General_input2"/>
      <sheetName val="6_052"/>
      <sheetName val="Abstract_Sheet2"/>
      <sheetName val="Boq-_Civil2"/>
      <sheetName val="TBAL9697__grotp_wise_60"/>
      <sheetName val="TBAL9697__grotp_wise_114"/>
      <sheetName val="Excess_Calc2"/>
      <sheetName val="Site_Dev_BOQ3"/>
      <sheetName val="PO_Payroll2"/>
      <sheetName val="Deduction_of_assets3"/>
      <sheetName val="CORPN_O_x005f_x005f_x005f_x005f_x005f_x005f_x0002"/>
      <sheetName val="TBAL9697__x005f_x005f_x005f_x000a_grotp_wi2"/>
      <sheetName val="BOQ_2"/>
      <sheetName val="INDIGINEOUS_ITEMS_2"/>
      <sheetName val="COP_Final2"/>
      <sheetName val="Elect_3"/>
      <sheetName val="Detail_In_Door_Stad2"/>
      <sheetName val="SPILL_OVER2"/>
      <sheetName val="Data_sheet2"/>
      <sheetName val="Per_Unit2"/>
      <sheetName val="Pacakges_split2"/>
      <sheetName val="Main_Gate_House2"/>
      <sheetName val="final_abstrac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Gen_Info2"/>
      <sheetName val="P_&amp;_M2"/>
      <sheetName val="MS_Items2"/>
      <sheetName val="AutoOpen_Stub_Data2"/>
      <sheetName val="Material_2"/>
      <sheetName val="Extra_Item2"/>
      <sheetName val="Labour_&amp;_Plant2"/>
      <sheetName val="Debits_as_on_12_04_082"/>
      <sheetName val="Meas_-Hotel_Part2"/>
      <sheetName val="BASIC_RATES2"/>
      <sheetName val="TBAL9697__x005f_x005f_x003"/>
      <sheetName val="CORPN_O_x005f_x005f_x00003"/>
      <sheetName val="TBAL9697__x005f_x000a_grotp_wis3"/>
      <sheetName val="Labor_abs-PW2"/>
      <sheetName val="Customize_Your_Purchase_Order2"/>
      <sheetName val="fa-pl_&amp;_myy_x005f_x000b__x005f_x000b__x02"/>
      <sheetName val="Base_Assumptions2"/>
      <sheetName val="_COP_100%2"/>
      <sheetName val="TBAL9697__grotp_wise_253"/>
      <sheetName val="TBAL9697__grotp_wise_263"/>
      <sheetName val="TBAL9697_-group_wise_sdpl2"/>
      <sheetName val="Lintel_Beam_104_70_(GF)__2"/>
      <sheetName val="_2"/>
      <sheetName val="Contract_Night_Staff2"/>
      <sheetName val="Contract_Day_Staff2"/>
      <sheetName val="Day_Shift2"/>
      <sheetName val="Night_Shift2"/>
      <sheetName val="lineby_line_consolidation2"/>
      <sheetName val="Area_Statement2"/>
      <sheetName val="Risk_Analysis2"/>
      <sheetName val="SITE_DEVELOPMENT2"/>
      <sheetName val="Material_Rate2"/>
      <sheetName val="Rate_analysis2"/>
      <sheetName val="Approved_MTD_Proj_#'s2"/>
      <sheetName val="9__Package_split_-_Cost_2"/>
      <sheetName val="Project_Budget_Worksheet2"/>
      <sheetName val="CORPN_O_x005f_x005f_x005f2"/>
      <sheetName val="DDETABLE_2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3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L_Oth_Bo32"/>
      <sheetName val="3‰AL9697_-group_wise__onpl32"/>
      <sheetName val="Civil_Boq32"/>
      <sheetName val="Project-Material_31"/>
      <sheetName val="Staff_Acco_32"/>
      <sheetName val="SITE_OVERHEADS32"/>
      <sheetName val="Boq_Block_A31"/>
      <sheetName val="PRECAST_lightconc-II32"/>
      <sheetName val="1__PayRec31"/>
      <sheetName val="Cashflow_projection31"/>
      <sheetName val="SPT_vs_PHI31"/>
      <sheetName val="Blr_hire31"/>
      <sheetName val="key_dates31"/>
      <sheetName val="ino4t_conso,-nov31"/>
      <sheetName val="(nout_co,sol_(2)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Labor_abs-NMR31"/>
      <sheetName val="3�AL9697_-group_wise__onpl31"/>
      <sheetName val="INPUT_SHEET31"/>
      <sheetName val="Sun_E_Type31"/>
      <sheetName val="Fin_Sum31"/>
      <sheetName val="CORPN_O?T31"/>
      <sheetName val="Stress_Calculation31"/>
      <sheetName val="CORPN_O_x005f_x0000_T31"/>
      <sheetName val="SUPPLY_-Sanitary_Fixtures31"/>
      <sheetName val="ITEMS_FOR_CIVIL_TENDER31"/>
      <sheetName val="TBAL9697__x000a_grotp_wise_31"/>
      <sheetName val="CORPN_O31"/>
      <sheetName val="labour_coeff29"/>
      <sheetName val="CORPN_O_T31"/>
      <sheetName val="TBAL9697__grotp_wise_67"/>
      <sheetName val="Shuttering_Analysis29"/>
      <sheetName val="General_P+M29"/>
      <sheetName val="Curing_Analysis_29"/>
      <sheetName val="Concrete_P+M_(_RMC_)29"/>
      <sheetName val="P+M_(_SMC_)29"/>
      <sheetName val="P+M_-EW29"/>
      <sheetName val="Cat_A_Change_Control29"/>
      <sheetName val="Break_up_Sheet29"/>
      <sheetName val="Summary_of_P_&amp;_M29"/>
      <sheetName val="DG_31"/>
      <sheetName val="P&amp;L_-_AD29"/>
      <sheetName val="_x005f_x005f_x005f_x0003_dpl_oth_Lia`31"/>
      <sheetName val="TBAL9697__x005f_x005f_x005f_x000d_grotp_w31"/>
      <sheetName val="Fin__Assumpt__-_Sensitivities29"/>
      <sheetName val="LOAD_SHEET_29"/>
      <sheetName val="Fill_this_out_first___29"/>
      <sheetName val="Labour_productivity29"/>
      <sheetName val="RCC,Ret__Wall29"/>
      <sheetName val="Area_&amp;_Cate__Master29"/>
      <sheetName val="Bill_No_529"/>
      <sheetName val="Sheet_129"/>
      <sheetName val="3BPA00132-5-3_W_plan_HVPNL29"/>
      <sheetName val="Mix_Design29"/>
      <sheetName val="Fee_Rate_Summary29"/>
      <sheetName val="Name_List29"/>
      <sheetName val="BOQ_(2)29"/>
      <sheetName val="DLC_lookups29"/>
      <sheetName val="Quote_Sheet29"/>
      <sheetName val="d-safe_DELUXE29"/>
      <sheetName val="Works_-_Quote_Sheet29"/>
      <sheetName val="IO_LIST29"/>
      <sheetName val="TBAL9697__x005f_x000d_grotp_wis29"/>
      <sheetName val="TBAL9697__grotp_wise_68"/>
      <sheetName val="FITZ_MORT_9429"/>
      <sheetName val="Structure_Bills_Qty29"/>
      <sheetName val="11B_29"/>
      <sheetName val="TBAL9697__x005f_x000a_grotp_wise_29"/>
      <sheetName val="Driveway_Beams29"/>
      <sheetName val="ISO_Reconcilation_Statment29"/>
      <sheetName val="AVG_pur_rate29"/>
      <sheetName val="Detail_1A29"/>
      <sheetName val="Break_Dw29"/>
      <sheetName val="CORPN_O_x005f_x005f_x005f_x0000_T29"/>
      <sheetName val="220_11__BS_29"/>
      <sheetName val="NLD_-_Assum29"/>
      <sheetName val="Cash_Flow_Input_Data_ISC29"/>
      <sheetName val="BLOCK-A_(MEA_SHEET)29"/>
      <sheetName val="Form_629"/>
      <sheetName val="acevsSp_(ABC)29"/>
      <sheetName val="A_O_R_29"/>
      <sheetName val="LIST_OF_MAKES29"/>
      <sheetName val="Intro_29"/>
      <sheetName val="TBAL9697__x005f_x005f_x005f_x005f_x005f_x005f_x29"/>
      <sheetName val="Assumption_Inputs12"/>
      <sheetName val="Civil_Works29"/>
      <sheetName val="SCHEDULE"/>
      <sheetName val="Database"/>
      <sheetName val="schedule nos"/>
      <sheetName val="Cover"/>
      <sheetName val="CORPN O_x005f"/>
      <sheetName val="ACS(1)"/>
      <sheetName val="FAS-C(4)"/>
      <sheetName val="CCTV(old)"/>
      <sheetName val="01"/>
      <sheetName val="CFForecast detail"/>
      <sheetName val="final_abstract3"/>
      <sheetName val="Meas_-Hotel_Part3"/>
      <sheetName val="Rate Analysis 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refer"/>
      <sheetName val="Service Function"/>
      <sheetName val="Basic Rate"/>
      <sheetName val="INFLUENCES ON GM"/>
      <sheetName val="Load Details(B2)"/>
      <sheetName val="BS - L+OE"/>
      <sheetName val="소상 &quot;1&quot;"/>
      <sheetName val="Cost Basis"/>
      <sheetName val="detail'02"/>
      <sheetName val="beam-reinft-IIInd floor"/>
      <sheetName val="CORPN_O_x005f"/>
      <sheetName val="TBAL9697__x005f_x000d_grotp_wi2"/>
      <sheetName val="BLK2"/>
      <sheetName val="BLK3"/>
      <sheetName val="CPT POST UPLOAD"/>
      <sheetName val="KQ Cost Controlling"/>
      <sheetName val="KQ Appropriation"/>
      <sheetName val="COLUMN-CR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Section_Catalogue22"/>
      <sheetName val="INDIGINEOUS_ITEMS_7"/>
      <sheetName val="tie_beam7"/>
      <sheetName val="Section_Catalogue25"/>
      <sheetName val="INDIGINEOUS_ITEMS_10"/>
      <sheetName val="tie_beam10"/>
      <sheetName val="Section_Catalogue24"/>
      <sheetName val="INDIGINEOUS_ITEMS_9"/>
      <sheetName val="tie_beam9"/>
      <sheetName val="Section_Catalogue23"/>
      <sheetName val="INDIGINEOUS_ITEMS_8"/>
      <sheetName val="tie_beam8"/>
      <sheetName val="Section_Catalogue26"/>
      <sheetName val="INDIGINEOUS_ITEMS_11"/>
      <sheetName val="tie_beam11"/>
      <sheetName val="ANNEXURE-A"/>
      <sheetName val="TBAL9697__grotp_䁷ise_18"/>
      <sheetName val="TBAL9697__x005f_x000d_grotp_wi4"/>
      <sheetName val="TBAL9697__x005f_x005f_x02"/>
      <sheetName val="TBAL9697__x005f_x000d_grotp_wi3"/>
      <sheetName val="TBAL9697__x005f_x005f_x01"/>
      <sheetName val="TBAL9697__x005f_x000d_grotp_wi5"/>
      <sheetName val="TBAL9697__x005f_x005f_x03"/>
      <sheetName val="TBAL9697__x005f_x000d_grotp_wi6"/>
      <sheetName val="TBAL9697__x005f_x005f_x04"/>
      <sheetName val="TBAL9697__x005f_x000d_grotp_wi7"/>
      <sheetName val="TBAL9697__x005f_x005f_x05"/>
      <sheetName val="TBAL9697__x005f_x000d_grotp_wi8"/>
      <sheetName val="TBAL9697__x005f_x005f_x06"/>
      <sheetName val="TBAL9697__x005f_x000d_grotp_wi9"/>
      <sheetName val="TBAL9697__x005f_x005f_x07"/>
      <sheetName val="TBAL9697__x005f_x000d_grotp_w10"/>
      <sheetName val="TBAL9697__x005f_x005f_x08"/>
      <sheetName val="TBAL9697__x005f_x000d_grotp_w16"/>
      <sheetName val="TBAL9697__x005f_x005f_x14"/>
      <sheetName val="TBAL9697__x005f_x000d_grotp_w12"/>
      <sheetName val="TBAL9697__x005f_x005f_x10"/>
      <sheetName val="TBAL9697__x005f_x000d_grotp_w11"/>
      <sheetName val="TBAL9697__x005f_x005f_x09"/>
      <sheetName val="TBAL9697__x005f_x000d_grotp_w13"/>
      <sheetName val="TBAL9697__x005f_x005f_x11"/>
      <sheetName val="TBAL9697__x005f_x000d_grotp_w14"/>
      <sheetName val="TBAL9697__x005f_x005f_x12"/>
      <sheetName val="TBAL9697__x005f_x000d_grotp_w15"/>
      <sheetName val="TBAL9697__x005f_x005f_x13"/>
      <sheetName val="TBAL9697__x005f_x000d_grotp_w22"/>
      <sheetName val="TBAL9697__x005f_x005f_x20"/>
      <sheetName val="TBAL9697__x005f_x000d_grotp_w17"/>
      <sheetName val="TBAL9697__x005f_x005f_x15"/>
      <sheetName val="TBAL9697__x005f_x000d_grotp_w18"/>
      <sheetName val="TBAL9697__x005f_x005f_x16"/>
      <sheetName val="TBAL9697__x005f_x000d_grotp_w19"/>
      <sheetName val="TBAL9697__x005f_x005f_x17"/>
      <sheetName val="TBAL9697__x005f_x000d_grotp_w20"/>
      <sheetName val="TBAL9697__x005f_x005f_x18"/>
      <sheetName val="TBAL9697__x005f_x000d_grotp_w21"/>
      <sheetName val="TBAL9697__x005f_x005f_x19"/>
      <sheetName val="TBAL9697__x005f_x000d_grotp_w23"/>
      <sheetName val="TBAL9697__x005f_x005f_x21"/>
      <sheetName val="TBAL9697__x005f_x000d_grotp_w24"/>
      <sheetName val="TBAL9697__x005f_x005f_x22"/>
      <sheetName val="TBAL9697__x005f_x000d_grotp_w25"/>
      <sheetName val="TBAL9697__x005f_x005f_x23"/>
      <sheetName val="TBAL9697__x005f_x000d_grotp_w26"/>
      <sheetName val="TBAL9697__x005f_x005f_x24"/>
      <sheetName val="_x005f_x0003_dpl_ot"/>
      <sheetName val="_x005f_x005f_"/>
      <sheetName val="TBAL9697__x005f_x000d_grotp_w27"/>
      <sheetName val="TBAL9697__x005f_x005f_x25"/>
      <sheetName val="TBAL9697__x005f_x000d_grotp_w29"/>
      <sheetName val="TBAL9697__x005f_x000d_grotp_w28"/>
      <sheetName val="TBAL9697__x005f_x000d_grotp_w30"/>
      <sheetName val="NPV"/>
      <sheetName val="Concourse"/>
      <sheetName val="2gii"/>
      <sheetName val="SCHEDULE OF RATES"/>
      <sheetName val="TBAL9697_ grotp_wise_27"/>
      <sheetName val="TBAL9697_ grotp_wis"/>
      <sheetName val="class &amp; category"/>
      <sheetName val="code Control Sheet"/>
      <sheetName val="Check"/>
      <sheetName val="banilad"/>
      <sheetName val="Mactan"/>
      <sheetName val="Mandaue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Location"/>
      <sheetName val="Plant"/>
      <sheetName val="2.civil-RA"/>
      <sheetName val="Cost_any"/>
      <sheetName val="Mat.Cost"/>
      <sheetName val="DCF_VDF"/>
      <sheetName val="NOPAT_VDF"/>
      <sheetName val="Invested capital_VDF"/>
      <sheetName val="WACC_VDF"/>
      <sheetName val="PV of Op Leases_VDF"/>
      <sheetName val="BOQ Distribution"/>
      <sheetName val="col-reinft1"/>
      <sheetName val="電気設備表"/>
      <sheetName val="Boiler&amp;TG"/>
      <sheetName val="ICO_budzet_97"/>
      <sheetName val="App_6"/>
      <sheetName val="TBAL9697__x000d_grotp_wis"/>
      <sheetName val="_x0003_dpl_oth_Lia`2"/>
      <sheetName val="TBAL9697__x000d_grotp_wise_2"/>
      <sheetName val="CORPN_O_x0000_T2"/>
      <sheetName val="TBAL9697__x000d_grotp_wis1"/>
      <sheetName val="_x0003_dpl_oth_Lia`4"/>
      <sheetName val="TBAL9697__x000d_grotp_wise_4"/>
      <sheetName val="CORPN_O_x0000_T4"/>
      <sheetName val="TBAL9697__x000d_grotp_wis2"/>
      <sheetName val="_x0003_dpl_oth_Lia`3"/>
      <sheetName val="TBAL9697__x000d_grotp_wise_3"/>
      <sheetName val="CORPN_O_x0000_T3"/>
      <sheetName val="_x0003_dpl_oth_Lia`5"/>
      <sheetName val="TBAL9697__x000d_grotp_wise_5"/>
      <sheetName val="CORPN_O_x0000_T5"/>
      <sheetName val="TBAL9697__x000d_grotp_wis3"/>
      <sheetName val="_x0003_dpl_oth_Lia`6"/>
      <sheetName val="TBAL9697__x000d_grotp_wise_6"/>
      <sheetName val="CORPN_O_x0000_T6"/>
      <sheetName val="TBAL9697__x000d_grotp_wis4"/>
      <sheetName val="_x0003_dpl_oth_Lia`7"/>
      <sheetName val="TBAL9697__x000d_grotp_wise_7"/>
      <sheetName val="CORPN_O_x0000_T7"/>
      <sheetName val="TBAL9697__x000d_grotp_wis5"/>
      <sheetName val="_x0003_dpl_oth_Lia`8"/>
      <sheetName val="TBAL9697__x000d_grotp_wise_8"/>
      <sheetName val="CORPN_O_x0000_T8"/>
      <sheetName val="TBAL9697__x000d_grotp_wis6"/>
      <sheetName val="_x0003_dpl_oth_Lia`9"/>
      <sheetName val="TBAL9697__x000d_grotp_wise_9"/>
      <sheetName val="CORPN_O_x0000_T9"/>
      <sheetName val="TBAL9697__x000d_grotp_wis7"/>
      <sheetName val="_x0003_dpl_oth_Lia`10"/>
      <sheetName val="TBAL9697__x000d_grotp_wise_10"/>
      <sheetName val="CORPN_O_x0000_T10"/>
      <sheetName val="TBAL9697__x000d_grotp_wis8"/>
      <sheetName val="_x0003_dpl_oth_Lia`16"/>
      <sheetName val="TBAL9697__x000d_grotp_wise_16"/>
      <sheetName val="CORPN_O_x0000_T16"/>
      <sheetName val="TBAL9697__x000d_grotp_wis14"/>
      <sheetName val="_x0003_dpl_oth_Lia`12"/>
      <sheetName val="TBAL9697__x000d_grotp_wise_12"/>
      <sheetName val="CORPN_O_x0000_T12"/>
      <sheetName val="TBAL9697__x000d_grotp_wis10"/>
      <sheetName val="_x0003_dpl_oth_Lia`11"/>
      <sheetName val="TBAL9697__x000d_grotp_wise_11"/>
      <sheetName val="CORPN_O_x0000_T11"/>
      <sheetName val="TBAL9697__x000d_grotp_wis9"/>
      <sheetName val="_x0003_dpl_oth_Lia`13"/>
      <sheetName val="TBAL9697__x000d_grotp_wise_13"/>
      <sheetName val="CORPN_O_x0000_T13"/>
      <sheetName val="TBAL9697__x000d_grotp_wis11"/>
      <sheetName val="_x0003_dpl_oth_Lia`14"/>
      <sheetName val="TBAL9697__x000d_grotp_wise_14"/>
      <sheetName val="CORPN_O_x0000_T14"/>
      <sheetName val="TBAL9697__x000d_grotp_wis12"/>
      <sheetName val="_x0003_dpl_oth_Lia`15"/>
      <sheetName val="TBAL9697__x000d_grotp_wise_15"/>
      <sheetName val="CORPN_O_x0000_T15"/>
      <sheetName val="TBAL9697__x000d_grotp_wis13"/>
      <sheetName val="_x0003_dpl_oth_Lia`22"/>
      <sheetName val="TBAL9697__x000d_grotp_wise_22"/>
      <sheetName val="CORPN_O_x0000_T22"/>
      <sheetName val="TBAL9697__x000d_grotp_wis20"/>
      <sheetName val="_x0003_dpl_oth_Lia`17"/>
      <sheetName val="TBAL9697__x000d_grotp_wise_17"/>
      <sheetName val="CORPN_O_x0000_T17"/>
      <sheetName val="TBAL9697__x000d_grotp_wis15"/>
      <sheetName val="_x0003_dpl_oth_Lia`18"/>
      <sheetName val="TBAL9697__x000d_grotp_wise_18"/>
      <sheetName val="CORPN_O_x0000_T18"/>
      <sheetName val="TBAL9697__x000d_grotp_wis16"/>
      <sheetName val="_x0003_dpl_oth_Lia`19"/>
      <sheetName val="TBAL9697__x000d_grotp_wise_19"/>
      <sheetName val="CORPN_O_x0000_T19"/>
      <sheetName val="TBAL9697__x000d_grotp_wis17"/>
      <sheetName val="_x0003_dpl_oth_Lia`20"/>
      <sheetName val="TBAL9697__x000d_grotp_wise_20"/>
      <sheetName val="CORPN_O_x0000_T20"/>
      <sheetName val="TBAL9697__x000d_grotp_wis18"/>
      <sheetName val="_x0003_dpl_oth_Lia`21"/>
      <sheetName val="TBAL9697__x000d_grotp_wise_21"/>
      <sheetName val="CORPN_O_x0000_T21"/>
      <sheetName val="TBAL9697__x000d_grotp_wis19"/>
      <sheetName val="_x0003_dpl_oth_Lia`23"/>
      <sheetName val="TBAL9697__x000d_grotp_wise_23"/>
      <sheetName val="CORPN_O_x0000_T23"/>
      <sheetName val="TBAL9697__x000d_grotp_wis21"/>
      <sheetName val="_x0003_dpl_oth_Lia`24"/>
      <sheetName val="TBAL9697__x000d_grotp_wise_24"/>
      <sheetName val="CORPN_O_x0000_T24"/>
      <sheetName val="TBAL9697__x000d_grotp_wis22"/>
      <sheetName val="_x0003_dpl_oth_Lia`25"/>
      <sheetName val="TBAL9697__x000d_grotp_wise_25"/>
      <sheetName val="CORPN_O_x0000_T25"/>
      <sheetName val="TBAL9697__x000d_grotp_wis23"/>
      <sheetName val="_x0003_dpl_oth_Lia`26"/>
      <sheetName val="TBAL9697__x000d_grotp_wise_26"/>
      <sheetName val="CORPN_O_x0000_T26"/>
      <sheetName val="TBAL9697__x000d_grotp_wis24"/>
      <sheetName val="TBAL9697 _x000a_grotp wis"/>
      <sheetName val="_x0003_dpl_oth_Lia`27"/>
      <sheetName val="TBAL9697__x000d_grotp_wise_27"/>
      <sheetName val="CORPN_O_x0000_T27"/>
      <sheetName val="TBAL9697__x000d_grotp_wis25"/>
      <sheetName val="G_1_obpl_x000"/>
      <sheetName val="TBAL9697 _x00"/>
      <sheetName val="TBL9798_x0010"/>
      <sheetName val="CORPN O_x0000"/>
      <sheetName val="G_1_obpl_x005"/>
      <sheetName val="TBAL9697__x00"/>
      <sheetName val="GR.slab-reinft"/>
      <sheetName val="ELEC2071"/>
      <sheetName val="SUBSCRIPTION"/>
      <sheetName val="INDEX"/>
      <sheetName val="AREAS"/>
      <sheetName val="crs"/>
      <sheetName val="PIMS"/>
      <sheetName val="Indirect expenses"/>
      <sheetName val="Sheet 2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GN-ST-10"/>
      <sheetName val="AoR Finishing"/>
      <sheetName val="CABLERET"/>
      <sheetName val="fa-pl &amp; myy_x005f_x000b__"/>
      <sheetName val="Day2works"/>
      <sheetName val="ecc_res"/>
      <sheetName val="Cash2"/>
      <sheetName val="glsrpt129909e"/>
      <sheetName val="Layer Table"/>
      <sheetName val="RBFC-BS"/>
      <sheetName val="TBAL9697  grotp wis"/>
      <sheetName val="purpose&amp;input"/>
      <sheetName val="TB9798OBPL06_(2)35"/>
      <sheetName val="CORPN_OCT35"/>
      <sheetName val="inout_consol-nov35"/>
      <sheetName val="inout_consol_(2)35"/>
      <sheetName val="AS_ON_DT_EXPS_Mar35"/>
      <sheetName val="fa-pl_&amp;_mach-site35"/>
      <sheetName val="fa_off_eqp35"/>
      <sheetName val="fa_fur&amp;_fix35"/>
      <sheetName val="fa-pl_&amp;_mach-Off35"/>
      <sheetName val="B_Equity-sdpl_INC35"/>
      <sheetName val="inout_consol_wkg35"/>
      <sheetName val="inout_consol_WKNG35"/>
      <sheetName val="B_Sheet_9735"/>
      <sheetName val="P&amp;L_97_35"/>
      <sheetName val="B_Sheet_97-BEXP35"/>
      <sheetName val="P&amp;L_97_-BEXP35"/>
      <sheetName val="consol_flows35"/>
      <sheetName val="sdpl_oth_Liab35"/>
      <sheetName val="obpl-oth_liab35"/>
      <sheetName val="G_land_advance35"/>
      <sheetName val="I-Wip-ot_(2)35"/>
      <sheetName val="detail_WIP_(2)35"/>
      <sheetName val="detail_G-135"/>
      <sheetName val="sobha_menon_ac35"/>
      <sheetName val="pnc_ac35"/>
      <sheetName val="fix_-p_&amp;_M_-SCC35"/>
      <sheetName val="C_fix_asst35"/>
      <sheetName val="D_fix_asst_scdl_35"/>
      <sheetName val="creditors_tb_obpl35"/>
      <sheetName val="TBAL9697_-group_wise__sdpl44"/>
      <sheetName val="TBAL9697_-group_wise_34"/>
      <sheetName val="crs_-G-134"/>
      <sheetName val="TBAL9697_-group_wise__onpl34"/>
      <sheetName val="B_Sheet_97-OBPL34"/>
      <sheetName val="B_Sheet_97_sdpl34"/>
      <sheetName val="TBAL9697_-group_wise__sdpl234"/>
      <sheetName val="inout_consol_jan34"/>
      <sheetName val="consol_flow34"/>
      <sheetName val="D_Loan__Prom34"/>
      <sheetName val="E_Bank_Loan34"/>
      <sheetName val="G_work_Cap34"/>
      <sheetName val="H_land_adv-dec34"/>
      <sheetName val="J_Con_WIP34"/>
      <sheetName val="detail_J34"/>
      <sheetName val="L_Oth_Co34"/>
      <sheetName val="K_fix_asst__34"/>
      <sheetName val="C_fix_asst-SDPL_34"/>
      <sheetName val="TBAL9697__group_wise__sdpl34"/>
      <sheetName val="inout_consol_okg34"/>
      <sheetName val="detail_OIP_(2)34"/>
      <sheetName val="D_fix_ysst_scdl_34"/>
      <sheetName val="cre`itors_tb_obpl34"/>
      <sheetName val="3AL9697_-group_wise__onpl34"/>
      <sheetName val="L_Oth_Bo34"/>
      <sheetName val="3‰AL9697_-group_wise__onpl34"/>
      <sheetName val="Civil_Boq34"/>
      <sheetName val="Project-Material_33"/>
      <sheetName val="Staff_Acco_34"/>
      <sheetName val="SITE_OVERHEADS34"/>
      <sheetName val="Boq_Block_A33"/>
      <sheetName val="PRECAST_lightconc-II34"/>
      <sheetName val="1__PayRec33"/>
      <sheetName val="Cashflow_projection33"/>
      <sheetName val="SPT_vs_PHI33"/>
      <sheetName val="Blr_hire33"/>
      <sheetName val="key_dates33"/>
      <sheetName val="Labor_abs-NMR33"/>
      <sheetName val="CORPN_OT2"/>
      <sheetName val="ino4t_conso,-nov33"/>
      <sheetName val="(nout_co,sol_(2)33"/>
      <sheetName val="dpl_oth_Lia`2"/>
      <sheetName val="_bpl,oth_lia_33"/>
      <sheetName val="G_,and_adv_nce33"/>
      <sheetName val="I,Wip-ot__2)33"/>
      <sheetName val="det!il_WIP_(2)33"/>
      <sheetName val="de4ail_G-133"/>
      <sheetName val="sobha_mennn_ac33"/>
      <sheetName val="C_&amp;ix_asst33"/>
      <sheetName val="_x005f_x0003_dpl_oth_Lia`33"/>
      <sheetName val="TBAL9697__x005f_x000d_grotp_wise_33"/>
      <sheetName val="St_co_91_5lvl33"/>
      <sheetName val="3�AL9697_-group_wise__onpl33"/>
      <sheetName val="INPUT_SHEET33"/>
      <sheetName val="Sun_E_Type33"/>
      <sheetName val="Fin_Sum33"/>
      <sheetName val="CORPN_O?T33"/>
      <sheetName val="Stress_Calculation33"/>
      <sheetName val="CORPN_O_x005f_x0000_T33"/>
      <sheetName val="SUPPLY_-Sanitary_Fixtures33"/>
      <sheetName val="ITEMS_FOR_CIVIL_TENDER33"/>
      <sheetName val="TBAL9697__x000a_grotp_wise_33"/>
      <sheetName val="CORPN_O33"/>
      <sheetName val="labour_coeff31"/>
      <sheetName val="CORPN_O_T33"/>
      <sheetName val="TBAL9697__grotp_wise_74"/>
      <sheetName val="DG_33"/>
      <sheetName val="Shuttering_Analysis31"/>
      <sheetName val="General_P+M31"/>
      <sheetName val="Curing_Analysis_31"/>
      <sheetName val="Concrete_P+M_(_RMC_)31"/>
      <sheetName val="P+M_(_SMC_)31"/>
      <sheetName val="P+M_-EW31"/>
      <sheetName val="Cat_A_Change_Control31"/>
      <sheetName val="Break_up_Sheet31"/>
      <sheetName val="Summary_of_P_&amp;_M31"/>
      <sheetName val="P&amp;L_-_AD31"/>
      <sheetName val="_x005f_x005f_x005f_x0003_dpl_oth_Lia`33"/>
      <sheetName val="TBAL9697__x005f_x005f_x005f_x000d_grotp_w33"/>
      <sheetName val="Fin__Assumpt__-_Sensitivities31"/>
      <sheetName val="LOAD_SHEET_31"/>
      <sheetName val="Fill_this_out_first___31"/>
      <sheetName val="Labour_productivity31"/>
      <sheetName val="RCC,Ret__Wall31"/>
      <sheetName val="Area_&amp;_Cate__Master31"/>
      <sheetName val="Bill_No_531"/>
      <sheetName val="Sheet_131"/>
      <sheetName val="3BPA00132-5-3_W_plan_HVPNL31"/>
      <sheetName val="Mix_Design31"/>
      <sheetName val="Fee_Rate_Summary31"/>
      <sheetName val="Name_List31"/>
      <sheetName val="BOQ_(2)31"/>
      <sheetName val="FITZ_MORT_9431"/>
      <sheetName val="DLC_lookups31"/>
      <sheetName val="Quote_Sheet31"/>
      <sheetName val="d-safe_DELUXE31"/>
      <sheetName val="Works_-_Quote_Sheet31"/>
      <sheetName val="IO_LIST31"/>
      <sheetName val="TBAL9697__x005f_x000d_grotp_wis31"/>
      <sheetName val="TBAL9697__grotp_wise_75"/>
      <sheetName val="Structure_Bills_Qty31"/>
      <sheetName val="11B_31"/>
      <sheetName val="TBAL9697__x005f_x000a_grotp_wise_31"/>
      <sheetName val="Driveway_Beams31"/>
      <sheetName val="ISO_Reconcilation_Statment31"/>
      <sheetName val="AVG_pur_rate31"/>
      <sheetName val="Detail_1A31"/>
      <sheetName val="Break_Dw31"/>
      <sheetName val="CORPN_O_x005f_x005f_x005f_x0000_T31"/>
      <sheetName val="220_11__BS_31"/>
      <sheetName val="NLD_-_Assum31"/>
      <sheetName val="Cash_Flow_Input_Data_ISC31"/>
      <sheetName val="BLOCK-A_(MEA_SHEET)31"/>
      <sheetName val="Form_631"/>
      <sheetName val="acevsSp_(ABC)31"/>
      <sheetName val="A_O_R_31"/>
      <sheetName val="LIST_OF_MAKES31"/>
      <sheetName val="Intro_31"/>
      <sheetName val="TBAL9697__x005f_x005f_x005f_x005f_x005f_x005f_x31"/>
      <sheetName val="Assumption_Inputs14"/>
      <sheetName val="Civil_Works31"/>
      <sheetName val="Mat_-Rates29"/>
      <sheetName val="DETAILED__BOQ29"/>
      <sheetName val="CABLE_DATA29"/>
      <sheetName val="Tender_Summary12"/>
      <sheetName val="Legal_Risk_Analysis29"/>
      <sheetName val="General_input4"/>
      <sheetName val="6_054"/>
      <sheetName val="Abstract_Sheet4"/>
      <sheetName val="Boq-_Civil4"/>
      <sheetName val="TBAL9697__grotp_wise_76"/>
      <sheetName val="TBAL9697__grotp_wise_117"/>
      <sheetName val="Excess_Calc4"/>
      <sheetName val="Site_Dev_BOQ5"/>
      <sheetName val="PO_Payroll4"/>
      <sheetName val="Deduction_of_assets5"/>
      <sheetName val="CORPN_O_x005f_x005f_x005f_x005f_x005f_x005f_x0004"/>
      <sheetName val="TBAL9697__x005f_x005f_x005f_x000a_grotp_wi4"/>
      <sheetName val="BOQ_4"/>
      <sheetName val="COP_Final4"/>
      <sheetName val="Elect_5"/>
      <sheetName val="Detail_In_Door_Stad4"/>
      <sheetName val="SPILL_OVER3"/>
      <sheetName val="Data_sheet3"/>
      <sheetName val="Per_Unit3"/>
      <sheetName val="Pacakges_split3"/>
      <sheetName val="Main_Gate_House3"/>
      <sheetName val="Cost_summary3"/>
      <sheetName val="TBAL9697__grotp_wise_216"/>
      <sheetName val="TBAL9697__grotp_wise_413"/>
      <sheetName val="TBAL9697__grotp_wise_313"/>
      <sheetName val="TBAL9697__grotp_wise_511"/>
      <sheetName val="TBAL9697__grotp_wise_610"/>
      <sheetName val="TBAL9697__grotp_wise_77"/>
      <sheetName val="TBAL9697__grotp_wise_84"/>
      <sheetName val="TBAL9697__grotp_wise_94"/>
      <sheetName val="TBAL9697__grotp_wise_104"/>
      <sheetName val="TBAL9697__grotp_wise_164"/>
      <sheetName val="TBAL9697__grotp_wise_124"/>
      <sheetName val="TBAL9697__grotp_wise_118"/>
      <sheetName val="TBAL9697__grotp_wise_134"/>
      <sheetName val="TBAL9697__grotp_wise_144"/>
      <sheetName val="TBAL9697__grotp_wise_154"/>
      <sheetName val="TBAL9697__grotp_wise_224"/>
      <sheetName val="TBAL9697__grotp_wise_174"/>
      <sheetName val="TBAL9697__grotp_wise_184"/>
      <sheetName val="TBAL9697__grotp_wise_194"/>
      <sheetName val="TBAL9697__grotp_wise_204"/>
      <sheetName val="TBAL9697__grotp_wise_217"/>
      <sheetName val="TBAL9697__grotp_wise_234"/>
      <sheetName val="TBAL9697__grotp_wise_244"/>
      <sheetName val="Gen_Info3"/>
      <sheetName val="P_&amp;_M3"/>
      <sheetName val="MS_Items3"/>
      <sheetName val="AutoOpen_Stub_Data3"/>
      <sheetName val="Material_3"/>
      <sheetName val="Extra_Item3"/>
      <sheetName val="Labour_&amp;_Plant3"/>
      <sheetName val="Debits_as_on_12_04_083"/>
      <sheetName val="BASIC_RATES3"/>
      <sheetName val="TBAL9697__x005f_x005f_x004"/>
      <sheetName val="CORPN_O_x005f_x005f_x00004"/>
      <sheetName val="TBAL9697__x005f_x000a_grotp_wis4"/>
      <sheetName val="Labor_abs-PW3"/>
      <sheetName val="Customize_Your_Purchase_Order3"/>
      <sheetName val="fa-pl_&amp;_myy_x005f_x000b__x005f_x000b__x03"/>
      <sheetName val="Base_Assumptions3"/>
      <sheetName val="_COP_100%3"/>
      <sheetName val="TBAL9697__grotp_wise_254"/>
      <sheetName val="TBAL9697__grotp_wise_264"/>
      <sheetName val="TBAL9697_-group_wise_sdpl3"/>
      <sheetName val="Lintel_Beam_104_70_(GF)__3"/>
      <sheetName val="_3"/>
      <sheetName val="Contract_Night_Staff3"/>
      <sheetName val="Contract_Day_Staff3"/>
      <sheetName val="Day_Shift3"/>
      <sheetName val="Night_Shift3"/>
      <sheetName val="lineby_line_consolidation3"/>
      <sheetName val="Area_Statement3"/>
      <sheetName val="Risk_Analysis3"/>
      <sheetName val="SITE_DEVELOPMENT3"/>
      <sheetName val="Material_Rate3"/>
      <sheetName val="Rate_analysis3"/>
      <sheetName val="Approved_MTD_Proj_#'s3"/>
      <sheetName val="9__Package_split_-_Cost_3"/>
      <sheetName val="Project_Budget_Worksheet3"/>
      <sheetName val="CORPN_O_x005f_x005f_x005f3"/>
      <sheetName val="DDETABLE_3"/>
      <sheetName val="indices_"/>
      <sheetName val="Material_List_"/>
      <sheetName val="Building_1"/>
      <sheetName val="Lead_(Final)"/>
      <sheetName val="Pile_cap"/>
      <sheetName val="M_S_"/>
      <sheetName val="dpl_oth_Lia`1"/>
      <sheetName val="CORPN_OT1"/>
      <sheetName val="TAX_INCOME"/>
      <sheetName val="Depart_Budget"/>
      <sheetName val="CC_June"/>
      <sheetName val="Basic_Rate"/>
      <sheetName val="INFLUENCES_ON_GM"/>
      <sheetName val="Load_Details(B2)"/>
      <sheetName val="TOS-F"/>
      <sheetName val="구성비"/>
      <sheetName val="Financials"/>
      <sheetName val="HVAC"/>
      <sheetName val="Cost Index"/>
      <sheetName val="CABLE"/>
      <sheetName val="number"/>
      <sheetName val="Input &amp; Calculations"/>
      <sheetName val="Values"/>
      <sheetName val="PA- Consutant "/>
      <sheetName val="TBAL9697__x000d_grotp_wi1"/>
      <sheetName val="_x0003_dpl_oth_Lia`30"/>
      <sheetName val="TBAL9697__x000d_grotp_wise_30"/>
      <sheetName val="CORPN_O_x0000_T29"/>
      <sheetName val="_x0003_dpl_oth_Lia`29"/>
      <sheetName val="TBAL9697__x000d_grotp_wise_29"/>
      <sheetName val="CORPN_O_x0000_T28"/>
      <sheetName val="_x0003_dpl_oth_Lia`28"/>
      <sheetName val="TBAL9697__x000d_grotp_wise_28"/>
      <sheetName val="_x0003_dpl_oth_Lia`31"/>
      <sheetName val="TBAL9697__x000d_grotp_wise_31"/>
      <sheetName val="CORPN_O_x0000_T30"/>
      <sheetName val="TBAL9697__x000d_grotp_wis26"/>
      <sheetName val="CORPN_O_x0000"/>
      <sheetName val="TBL9798_x005f"/>
      <sheetName val="CORPN_OT28"/>
      <sheetName val="dpl_oth_Lia`28"/>
      <sheetName val="TBAL9697__x000a_grotp_wis26"/>
      <sheetName val="GR_slab-reinft"/>
      <sheetName val="Bill_3_-_Site_Works"/>
      <sheetName val="appendix_2_5_final_accounts"/>
      <sheetName val="Indirect_expenses"/>
      <sheetName val="Sheet_2"/>
      <sheetName val="Risk_Assmnt"/>
      <sheetName val="schedule_nos"/>
      <sheetName val="TBAL9697__grotp_wise_271"/>
      <sheetName val="TBAL9697__grotp_wis"/>
      <sheetName val="AoR_Finishing"/>
      <sheetName val="BS_-_L+OE"/>
      <sheetName val="Rate_Analysis_"/>
      <sheetName val="CORPN_O_x005f1"/>
      <sheetName val="BOQ_Distribution"/>
      <sheetName val="CFForecast_detail"/>
      <sheetName val="beam-reinft-IIInd_floor"/>
      <sheetName val="TBAL9697__x000a_grotp_wis1"/>
      <sheetName val="dpl_oth_Lia`4"/>
      <sheetName val="CORPN_OT4"/>
      <sheetName val="TBAL9697__x000a_grotp_wis2"/>
      <sheetName val="dpl_oth_Lia`3"/>
      <sheetName val="CORPN_OT3"/>
      <sheetName val="dpl_oth_Lia`5"/>
      <sheetName val="CORPN_OT5"/>
      <sheetName val="TBAL9697__x000a_grotp_wis3"/>
      <sheetName val="dpl_oth_Lia`6"/>
      <sheetName val="CORPN_OT6"/>
      <sheetName val="TBAL9697__x000a_grotp_wis4"/>
      <sheetName val="dpl_oth_Lia`7"/>
      <sheetName val="CORPN_OT7"/>
      <sheetName val="TBAL9697__x000a_grotp_wis5"/>
      <sheetName val="dpl_oth_Lia`8"/>
      <sheetName val="CORPN_OT8"/>
      <sheetName val="TBAL9697__x000a_grotp_wis6"/>
      <sheetName val="dpl_oth_Lia`9"/>
      <sheetName val="CORPN_OT9"/>
      <sheetName val="TBAL9697__x000a_grotp_wis7"/>
      <sheetName val="dpl_oth_Lia`10"/>
      <sheetName val="CORPN_OT10"/>
      <sheetName val="TBAL9697__x000a_grotp_wis8"/>
      <sheetName val="dpl_oth_Lia`16"/>
      <sheetName val="CORPN_OT16"/>
      <sheetName val="TBAL9697__x000a_grotp_wis14"/>
      <sheetName val="dpl_oth_Lia`12"/>
      <sheetName val="CORPN_OT12"/>
      <sheetName val="TBAL9697__x000a_grotp_wis10"/>
      <sheetName val="dpl_oth_Lia`11"/>
      <sheetName val="CORPN_OT11"/>
      <sheetName val="TBAL9697__x000a_grotp_wis9"/>
      <sheetName val="dpl_oth_Lia`13"/>
      <sheetName val="CORPN_OT13"/>
      <sheetName val="TBAL9697__x000a_grotp_wis11"/>
      <sheetName val="dpl_oth_Lia`14"/>
      <sheetName val="CORPN_OT14"/>
      <sheetName val="TBAL9697__x000a_grotp_wis12"/>
      <sheetName val="dpl_oth_Lia`15"/>
      <sheetName val="CORPN_OT15"/>
      <sheetName val="TBAL9697__x000a_grotp_wis13"/>
      <sheetName val="dpl_oth_Lia`22"/>
      <sheetName val="CORPN_OT22"/>
      <sheetName val="TBAL9697__x000a_grotp_wis20"/>
      <sheetName val="dpl_oth_Lia`17"/>
      <sheetName val="CORPN_OT17"/>
      <sheetName val="TBAL9697__x000a_grotp_wis15"/>
      <sheetName val="dpl_oth_Lia`18"/>
      <sheetName val="CORPN_OT18"/>
      <sheetName val="TBAL9697__x000a_grotp_wis16"/>
      <sheetName val="dpl_oth_Lia`19"/>
      <sheetName val="CORPN_OT19"/>
      <sheetName val="TBAL9697__x000a_grotp_wis17"/>
      <sheetName val="dpl_oth_Lia`20"/>
      <sheetName val="CORPN_OT20"/>
      <sheetName val="TBAL9697__x000a_grotp_wis18"/>
      <sheetName val="dpl_oth_Lia`21"/>
      <sheetName val="CORPN_OT21"/>
      <sheetName val="TBAL9697__x000a_grotp_wis19"/>
      <sheetName val="dpl_oth_Lia`23"/>
      <sheetName val="CORPN_OT23"/>
      <sheetName val="TBAL9697__x000a_grotp_wis21"/>
      <sheetName val="dpl_oth_Lia`24"/>
      <sheetName val="CORPN_OT24"/>
      <sheetName val="TBAL9697__x000a_grotp_wis22"/>
      <sheetName val="dpl_oth_Lia`25"/>
      <sheetName val="CORPN_OT25"/>
      <sheetName val="TBAL9697__x000a_grotp_wis23"/>
      <sheetName val="dpl_oth_Lia`26"/>
      <sheetName val="CORPN_OT26"/>
      <sheetName val="TBAL9697__x000a_grotp_wis24"/>
      <sheetName val="dpl_oth_Lia`27"/>
      <sheetName val="CORPN_OT27"/>
      <sheetName val="TBAL9697__x000a_grotp_wis25"/>
      <sheetName val="TBAL9697__x001"/>
      <sheetName val="Service_Function"/>
      <sheetName val="Material_List_1"/>
      <sheetName val="Basic_Rate1"/>
      <sheetName val="INFLUENCES_ON_GM1"/>
      <sheetName val="Building_11"/>
      <sheetName val="Lead_(Final)1"/>
      <sheetName val="GR_slab-reinft1"/>
      <sheetName val="Bill_3_-_Site_Works1"/>
      <sheetName val="Load_Details(B2)1"/>
      <sheetName val="appendix_2_5_final_accounts1"/>
      <sheetName val="Indirect_expenses1"/>
      <sheetName val="Sheet_21"/>
      <sheetName val="Risk_Assmnt1"/>
      <sheetName val="schedule_nos1"/>
      <sheetName val="TBAL9697__grotp_wise_272"/>
      <sheetName val="TBAL9697__grotp_wis1"/>
      <sheetName val="AoR_Finishing1"/>
      <sheetName val="BS_-_L+OE1"/>
      <sheetName val="Rate_Analysis_1"/>
      <sheetName val="CORPN_O_x005f2"/>
      <sheetName val="BOQ_Distribution1"/>
      <sheetName val="CFForecast_detail1"/>
      <sheetName val="beam-reinft-IIInd_floor1"/>
      <sheetName val="TBAL9697__x000a_grotp_wis27"/>
      <sheetName val="TBAL9697__x002"/>
      <sheetName val="CORPN_O_x00001"/>
      <sheetName val="Service_Function1"/>
      <sheetName val="Material_List_2"/>
      <sheetName val="Basic_Rate2"/>
      <sheetName val="INFLUENCES_ON_GM2"/>
      <sheetName val="Building_12"/>
      <sheetName val="Lead_(Final)2"/>
      <sheetName val="GR_slab-reinft2"/>
      <sheetName val="Bill_3_-_Site_Works2"/>
      <sheetName val="Load_Details(B2)2"/>
      <sheetName val="appendix_2_5_final_accounts2"/>
      <sheetName val="Indirect_expenses2"/>
      <sheetName val="Sheet_22"/>
      <sheetName val="Risk_Assmnt2"/>
      <sheetName val="schedule_nos2"/>
      <sheetName val="TBAL9697__grotp_wise_273"/>
      <sheetName val="TBAL9697__grotp_wis2"/>
      <sheetName val="AoR_Finishing2"/>
      <sheetName val="BS_-_L+OE2"/>
      <sheetName val="Rate_Analysis_2"/>
      <sheetName val="CORPN_O_x005f3"/>
      <sheetName val="BOQ_Distribution2"/>
      <sheetName val="CFForecast_detail2"/>
      <sheetName val="beam-reinft-IIInd_floor2"/>
      <sheetName val="TBAL9697__x000a_grotp_wis28"/>
      <sheetName val="TBAL9697__x003"/>
      <sheetName val="CORPN_O_x00002"/>
      <sheetName val="Service_Function2"/>
      <sheetName val="FINOLEX"/>
      <sheetName val="Beam at Ground flr lvl(Steel)"/>
      <sheetName val="Main Assump."/>
      <sheetName val="schedule1"/>
      <sheetName val="BEAM SCH"/>
      <sheetName val="SLAB  SCH "/>
      <sheetName val="R MTL"/>
      <sheetName val="capg"/>
      <sheetName val="GUT (2)"/>
      <sheetName val="ACE-OUT"/>
      <sheetName val="MB.Prod"/>
      <sheetName val="Bill 1-BOQ-Civil Works"/>
      <sheetName val="shuttering"/>
      <sheetName val="Elektrikal"/>
      <sheetName val="Bill-5.2"/>
      <sheetName val="Bill-9.1"/>
      <sheetName val="Bill-6.1.1-6.1.3"/>
      <sheetName val="5_Calculation"/>
      <sheetName val="Subhead_IV"/>
      <sheetName val="Register"/>
      <sheetName val="Status"/>
      <sheetName val="Defer"/>
      <sheetName val="BG"/>
      <sheetName val="Liability"/>
      <sheetName val="RA Bill summary til Apr19"/>
      <sheetName val="APTIDCO CV A.SCOPE"/>
      <sheetName val="MG"/>
      <sheetName val="Sch-3"/>
      <sheetName val="AA"/>
      <sheetName val="New Construction"/>
      <sheetName val="fco"/>
      <sheetName val="PRSH"/>
      <sheetName val="Overall Summary"/>
      <sheetName val="Summary_CFA total - CP1 &amp; CP2"/>
      <sheetName val="S1BOQ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5. EA"/>
      <sheetName val="BTB"/>
      <sheetName val="cf"/>
      <sheetName val="orders"/>
      <sheetName val="12-27"/>
      <sheetName val="Base"/>
      <sheetName val="Rates 7-20"/>
      <sheetName val="COA"/>
      <sheetName val="BoQ-1"/>
      <sheetName val="BoQ-2"/>
      <sheetName val="costing_ESDV"/>
      <sheetName val="costing_FE"/>
      <sheetName val="costing_Misc"/>
      <sheetName val="costing_MOV"/>
      <sheetName val="costing_Press"/>
      <sheetName val="Gujrat"/>
      <sheetName val="Basic rate summary"/>
      <sheetName val="Basic rate calculations"/>
      <sheetName val="02"/>
      <sheetName val="03"/>
      <sheetName val="04"/>
      <sheetName val="Labor Rates"/>
      <sheetName val="Capex Estimates"/>
      <sheetName val="General Assumptions"/>
      <sheetName val="rcc( sub)"/>
      <sheetName val="Footings"/>
      <sheetName val="L (4)"/>
      <sheetName val="Introduction"/>
      <sheetName val="Projects"/>
      <sheetName val="PRICE-COMP"/>
      <sheetName val="P&amp;LSum"/>
      <sheetName val="C_link"/>
      <sheetName val="P_link"/>
      <sheetName val="INPUT-DATA"/>
      <sheetName val="CI"/>
      <sheetName val="V.O.4 - PCC Qty"/>
      <sheetName val="Assumptions-Input"/>
      <sheetName val="Costs"/>
      <sheetName val="Liqplan_R1"/>
      <sheetName val="CIVIL BOQ (Final)"/>
      <sheetName val="calcul"/>
      <sheetName val="Nov-Dec-08"/>
      <sheetName val="CP"/>
      <sheetName val="TB9899"/>
      <sheetName val="Detail_P&amp;L"/>
      <sheetName val="Customize Your Invoice"/>
      <sheetName val="Loan Amortization Schedule"/>
      <sheetName val="COA-17"/>
      <sheetName val="C-18"/>
      <sheetName val="2_civil-RA"/>
      <sheetName val="organi synthesis lab"/>
      <sheetName val="S-MMS without TFA"/>
      <sheetName val="TBAL9697_ grotp_wise_29"/>
      <sheetName val="TBAL9697_ grotp_wise_28"/>
      <sheetName val="TBAL9697_ grotp_wise_30"/>
      <sheetName val="Section_Catalogue27"/>
      <sheetName val="tie_beam12"/>
      <sheetName val="INDIGINEOUS_ITEMS_12"/>
      <sheetName val="Sheet3_(2)"/>
      <sheetName val="Bill_1"/>
      <sheetName val="Bill_2"/>
      <sheetName val="Bill_3"/>
      <sheetName val="Bill_4"/>
      <sheetName val="Bill_5"/>
      <sheetName val="Bill_6"/>
      <sheetName val="Bill_7"/>
      <sheetName val="소상_&quot;1&quot;"/>
      <sheetName val="Cost_Basis"/>
      <sheetName val="CPT_POST_UPLOAD"/>
      <sheetName val="KQ_Cost_Controlling"/>
      <sheetName val="KQ_Appropriation"/>
      <sheetName val="class_&amp;_category"/>
      <sheetName val="code_Control_Sheet"/>
      <sheetName val="fa-pl_&amp;_myy_x005f_x000b__"/>
      <sheetName val="Cost_Index"/>
      <sheetName val="TBL9798_x005f_x005f_x005f_x005f_x005f_x005f_x005f"/>
      <sheetName val="CORPN O_x005f_x005f_x005f_x005f_x005f_x005f_x005f"/>
      <sheetName val="Boq (Main Building)"/>
      <sheetName val="BASIC_RATES4"/>
      <sheetName val="final_abstract4"/>
      <sheetName val="Gen_Info4"/>
      <sheetName val="Contract_Night_Staff4"/>
      <sheetName val="Contract_Day_Staff4"/>
      <sheetName val="Day_Shift4"/>
      <sheetName val="Night_Shift4"/>
      <sheetName val="SPILL_OVER4"/>
      <sheetName val="Pacakges_split4"/>
      <sheetName val="Cost_summary4"/>
      <sheetName val="TBAL9697__grotp_wise_218"/>
      <sheetName val="TBAL9697__grotp_wise_414"/>
      <sheetName val="TBAL9697__grotp_wise_314"/>
      <sheetName val="TBAL9697__grotp_wise_512"/>
      <sheetName val="TBAL9697__grotp_wise_85"/>
      <sheetName val="TBAL9697__grotp_wise_95"/>
      <sheetName val="TBAL9697__grotp_wise_105"/>
      <sheetName val="TBAL9697__grotp_wise_165"/>
      <sheetName val="TBAL9697__grotp_wise_125"/>
      <sheetName val="TBAL9697__grotp_wise_119"/>
      <sheetName val="TBAL9697__grotp_wise_135"/>
      <sheetName val="TBAL9697__grotp_wise_145"/>
      <sheetName val="TBAL9697__grotp_wise_155"/>
      <sheetName val="TBAL9697__grotp_wise_225"/>
      <sheetName val="TBAL9697__grotp_wise_175"/>
      <sheetName val="TBAL9697__grotp_wise_185"/>
      <sheetName val="TBAL9697__grotp_wise_195"/>
      <sheetName val="TBAL9697__grotp_wise_205"/>
      <sheetName val="TBAL9697__grotp_wise_219"/>
      <sheetName val="TBAL9697__grotp_wise_235"/>
      <sheetName val="TBAL9697__grotp_wise_245"/>
      <sheetName val="Meas_-Hotel_Part4"/>
      <sheetName val="Base_Assumptions4"/>
      <sheetName val="_COP_100%4"/>
      <sheetName val="Main_Gate_House4"/>
      <sheetName val="Data_sheet4"/>
      <sheetName val="Per_Unit4"/>
      <sheetName val="lineby_line_consolidation4"/>
      <sheetName val="Material_4"/>
      <sheetName val="Extra_Item4"/>
      <sheetName val="Labour_&amp;_Plant4"/>
      <sheetName val="AutoOpen_Stub_Data4"/>
      <sheetName val="Debits_as_on_12_04_084"/>
      <sheetName val="Labor_abs-PW4"/>
      <sheetName val="Area_Statement4"/>
      <sheetName val="Risk_Analysis4"/>
      <sheetName val="Lintel_Beam_104_70_(GF)__4"/>
      <sheetName val="_4"/>
      <sheetName val="TBAL9697__grotp_wise_255"/>
      <sheetName val="TBAL9697__grotp_wise_265"/>
      <sheetName val="Material_List_3"/>
      <sheetName val="Basic_Rate3"/>
      <sheetName val="INFLUENCES_ON_GM3"/>
      <sheetName val="TBAL9697__x005f_x005f_x005"/>
      <sheetName val="Building_13"/>
      <sheetName val="Lead_(Final)3"/>
      <sheetName val="GR_slab-reinft3"/>
      <sheetName val="TBAL9697_-group_wise_sdpl4"/>
      <sheetName val="Bill_3_-_Site_Works3"/>
      <sheetName val="Load_Details(B2)3"/>
      <sheetName val="appendix_2_5_final_accounts3"/>
      <sheetName val="Indirect_expenses3"/>
      <sheetName val="Sheet_23"/>
      <sheetName val="Risk_Assmnt3"/>
      <sheetName val="schedule_nos3"/>
      <sheetName val="TBAL9697__grotp_wise_274"/>
      <sheetName val="TBAL9697__grotp_wis3"/>
      <sheetName val="AoR_Finishing3"/>
      <sheetName val="BS_-_L+OE3"/>
      <sheetName val="Rate_Analysis_3"/>
      <sheetName val="CORPN_O_x005f4"/>
      <sheetName val="BOQ_Distribution3"/>
      <sheetName val="CFForecast_detail3"/>
      <sheetName val="beam-reinft-IIInd_floor3"/>
      <sheetName val="TBAL9697__x000a_grotp_wis29"/>
      <sheetName val="TBAL9697__x004"/>
      <sheetName val="CORPN_O_x00003"/>
      <sheetName val="Service_Function3"/>
      <sheetName val="Source Ref."/>
      <sheetName val="PUR"/>
      <sheetName val="Item- Compact"/>
      <sheetName val="Manpower Histogram"/>
      <sheetName val="TBAL9697_ grotp_wis1"/>
      <sheetName val="TBAL9697_ grotp_wis2"/>
      <sheetName val="TBAL9697_ grotp_wis3"/>
      <sheetName val="TBAL9697_ grotp_wis4"/>
      <sheetName val="TBAL9697_ grotp_wis5"/>
      <sheetName val="TBAL9697_ grotp_wis6"/>
      <sheetName val="TBAL9697_ grotp_wis7"/>
      <sheetName val="TBAL9697_ grotp_wis8"/>
      <sheetName val="TBAL9697_ grotp_wis14"/>
      <sheetName val="TBAL9697_ grotp_wis10"/>
      <sheetName val="TBAL9697_ grotp_wis9"/>
      <sheetName val="TBAL9697_ grotp_wis11"/>
      <sheetName val="TBAL9697_ grotp_wis12"/>
      <sheetName val="TBAL9697_ grotp_wis13"/>
      <sheetName val="TBAL9697_ grotp_wis20"/>
      <sheetName val="TBAL9697_ grotp_wis15"/>
      <sheetName val="TBAL9697_ grotp_wis16"/>
      <sheetName val="TBAL9697_ grotp_wis17"/>
      <sheetName val="TBAL9697_ grotp_wis18"/>
      <sheetName val="TBAL9697_ grotp_wis19"/>
      <sheetName val="TBAL9697_ grotp_wis21"/>
      <sheetName val="TBAL9697_ grotp_wis22"/>
      <sheetName val="TBAL9697_ grotp_wis23"/>
      <sheetName val="TBAL9697_ grotp_wis24"/>
      <sheetName val="TBAL9697_ grotp_wis25"/>
      <sheetName val="CONNECT"/>
      <sheetName val="Civil (RA) _Resi_"/>
      <sheetName val="meas-wp"/>
      <sheetName val="Assumption_Inputs26"/>
      <sheetName val="Assumption_Inputs15"/>
      <sheetName val="Assumption_Inputs16"/>
      <sheetName val="Assumption_Inputs18"/>
      <sheetName val="Assumption_Inputs17"/>
      <sheetName val="Assumption_Inputs20"/>
      <sheetName val="Assumption_Inputs19"/>
      <sheetName val="Assumption_Inputs21"/>
      <sheetName val="Assumption_Inputs22"/>
      <sheetName val="Assumption_Inputs23"/>
      <sheetName val="Assumption_Inputs24"/>
      <sheetName val="Assumption_Inputs25"/>
      <sheetName val="TB9798OBPL06_(2)42"/>
      <sheetName val="CORPN_OCT42"/>
      <sheetName val="inout_consol-nov42"/>
      <sheetName val="inout_consol_(2)42"/>
      <sheetName val="AS_ON_DT_EXPS_Mar42"/>
      <sheetName val="fa-pl_&amp;_mach-site42"/>
      <sheetName val="fa_off_eqp42"/>
      <sheetName val="fa_fur&amp;_fix42"/>
      <sheetName val="fa-pl_&amp;_mach-Off42"/>
      <sheetName val="B_Equity-sdpl_INC42"/>
      <sheetName val="inout_consol_wkg42"/>
      <sheetName val="inout_consol_WKNG42"/>
      <sheetName val="B_Sheet_9742"/>
      <sheetName val="P&amp;L_97_42"/>
      <sheetName val="B_Sheet_97-BEXP42"/>
      <sheetName val="P&amp;L_97_-BEXP42"/>
      <sheetName val="consol_flows42"/>
      <sheetName val="sdpl_oth_Liab42"/>
      <sheetName val="obpl-oth_liab42"/>
      <sheetName val="G_land_advance42"/>
      <sheetName val="I-Wip-ot_(2)42"/>
      <sheetName val="detail_WIP_(2)42"/>
      <sheetName val="detail_G-142"/>
      <sheetName val="sobha_menon_ac42"/>
      <sheetName val="pnc_ac42"/>
      <sheetName val="fix_-p_&amp;_M_-SCC42"/>
      <sheetName val="C_fix_asst42"/>
      <sheetName val="D_fix_asst_scdl_42"/>
      <sheetName val="creditors_tb_obpl42"/>
      <sheetName val="TBAL9697_-group_wise__sdpl52"/>
      <sheetName val="TBAL9697_-group_wise_42"/>
      <sheetName val="crs_-G-142"/>
      <sheetName val="TBAL9697_-group_wise__onpl42"/>
      <sheetName val="B_Sheet_97-OBPL42"/>
      <sheetName val="B_Sheet_97_sdpl42"/>
      <sheetName val="TBAL9697_-group_wise__sdpl242"/>
      <sheetName val="inout_consol_jan42"/>
      <sheetName val="consol_flow42"/>
      <sheetName val="D_Loan__Prom42"/>
      <sheetName val="E_Bank_Loan42"/>
      <sheetName val="G_work_Cap42"/>
      <sheetName val="H_land_adv-dec42"/>
      <sheetName val="J_Con_WIP42"/>
      <sheetName val="detail_J42"/>
      <sheetName val="L_Oth_Co42"/>
      <sheetName val="K_fix_asst__42"/>
      <sheetName val="C_fix_asst-SDPL_42"/>
      <sheetName val="TBAL9697__group_wise__sdpl42"/>
      <sheetName val="inout_consol_okg42"/>
      <sheetName val="detail_OIP_(2)42"/>
      <sheetName val="D_fix_ysst_scdl_42"/>
      <sheetName val="cre`itors_tb_obpl42"/>
      <sheetName val="3AL9697_-group_wise__onpl42"/>
      <sheetName val="L_Oth_Bo41"/>
      <sheetName val="3‰AL9697_-group_wise__onpl41"/>
      <sheetName val="Civil_Boq41"/>
      <sheetName val="Staff_Acco_41"/>
      <sheetName val="SITE_OVERHEADS41"/>
      <sheetName val="PRECAST_lightconc-II39"/>
      <sheetName val="1__PayRec38"/>
      <sheetName val="Boq_Block_A41"/>
      <sheetName val="Cashflow_projection38"/>
      <sheetName val="Project-Material_41"/>
      <sheetName val="SPT_vs_PHI38"/>
      <sheetName val="key_dates38"/>
      <sheetName val="ino4t_conso,-nov38"/>
      <sheetName val="(nout_co,sol_(2)38"/>
      <sheetName val="Blr_hire38"/>
      <sheetName val="_bpl,oth_lia_38"/>
      <sheetName val="G_,and_adv_nce38"/>
      <sheetName val="I,Wip-ot__2)38"/>
      <sheetName val="det!il_WIP_(2)38"/>
      <sheetName val="de4ail_G-138"/>
      <sheetName val="sobha_mennn_ac38"/>
      <sheetName val="C_&amp;ix_asst38"/>
      <sheetName val="_x005f_x0003_dpl_oth_Lia`38"/>
      <sheetName val="TBAL9697__x005f_x000d_grotp_wise_38"/>
      <sheetName val="St_co_91_5lvl38"/>
      <sheetName val="3�AL9697_-group_wise__onpl41"/>
      <sheetName val="INPUT_SHEET38"/>
      <sheetName val="Stress_Calculation38"/>
      <sheetName val="Labor_abs-NMR38"/>
      <sheetName val="Sun_E_Type38"/>
      <sheetName val="CORPN_O?T38"/>
      <sheetName val="Fin_Sum38"/>
      <sheetName val="CORPN_O_x005f_x0000_T38"/>
      <sheetName val="TBAL9697__x000a_grotp_wise_38"/>
      <sheetName val="labour_coeff36"/>
      <sheetName val="Shuttering_Analysis36"/>
      <sheetName val="General_P+M36"/>
      <sheetName val="Curing_Analysis_36"/>
      <sheetName val="Concrete_P+M_(_RMC_)36"/>
      <sheetName val="P+M_(_SMC_)36"/>
      <sheetName val="P+M_-EW36"/>
      <sheetName val="P&amp;L_-_AD36"/>
      <sheetName val="SUPPLY_-Sanitary_Fixtures38"/>
      <sheetName val="ITEMS_FOR_CIVIL_TENDER38"/>
      <sheetName val="_x005f_x005f_x005f_x0003_dpl_oth_Lia`38"/>
      <sheetName val="TBAL9697__x005f_x005f_x005f_x000d_grotp_w38"/>
      <sheetName val="Fin__Assumpt__-_Sensitivities36"/>
      <sheetName val="LOAD_SHEET_36"/>
      <sheetName val="Fill_this_out_first___36"/>
      <sheetName val="Labour_productivity36"/>
      <sheetName val="RCC,Ret__Wall36"/>
      <sheetName val="CORPN_O38"/>
      <sheetName val="CORPN_O_T36"/>
      <sheetName val="Area_&amp;_Cate__Master36"/>
      <sheetName val="Bill_No_536"/>
      <sheetName val="11B_36"/>
      <sheetName val="Structure_Bills_Qty36"/>
      <sheetName val="DG_38"/>
      <sheetName val="BOQ_(2)36"/>
      <sheetName val="Fee_Rate_Summary36"/>
      <sheetName val="Name_List36"/>
      <sheetName val="Detail_1A36"/>
      <sheetName val="Sheet_136"/>
      <sheetName val="3BPA00132-5-3_W_plan_HVPNL36"/>
      <sheetName val="Mix_Design36"/>
      <sheetName val="DLC_lookups36"/>
      <sheetName val="Driveway_Beams36"/>
      <sheetName val="TBAL9697__x005f_x000a_grotp_wise_36"/>
      <sheetName val="Quote_Sheet36"/>
      <sheetName val="d-safe_DELUXE36"/>
      <sheetName val="Works_-_Quote_Sheet36"/>
      <sheetName val="IO_LIST36"/>
      <sheetName val="TBAL9697__x005f_x000d_grotp_wis36"/>
      <sheetName val="Cat_A_Change_Control36"/>
      <sheetName val="Break_up_Sheet36"/>
      <sheetName val="Summary_of_P_&amp;_M36"/>
      <sheetName val="ISO_Reconcilation_Statment36"/>
      <sheetName val="AVG_pur_rate36"/>
      <sheetName val="Break_Dw36"/>
      <sheetName val="LIST_OF_MAKES36"/>
      <sheetName val="Assumption_Inputs36"/>
      <sheetName val="Civil_Works36"/>
      <sheetName val="Form_636"/>
      <sheetName val="acevsSp_(ABC)36"/>
      <sheetName val="A_O_R_36"/>
      <sheetName val="CORPN_O_x005f_x005f_x005f_x0000_T36"/>
      <sheetName val="220_11__BS_36"/>
      <sheetName val="FITZ_MORT_9436"/>
      <sheetName val="Intro_36"/>
      <sheetName val="BLOCK-A_(MEA_SHEET)36"/>
      <sheetName val="NLD_-_Assum36"/>
      <sheetName val="Section_Catalogue36"/>
      <sheetName val="Assumption_Inputs27"/>
      <sheetName val="Assumption_Inputs28"/>
      <sheetName val="Section_Catalogue28"/>
      <sheetName val="TBAL9697_-group_wise__sdpl45"/>
      <sheetName val="TBAL9697_-group_wise_35"/>
      <sheetName val="crs_-G-135"/>
      <sheetName val="TBAL9697_-group_wise__onpl35"/>
      <sheetName val="B_Sheet_97-OBPL35"/>
      <sheetName val="B_Sheet_97_sdpl35"/>
      <sheetName val="TBAL9697_-group_wise__sdpl235"/>
      <sheetName val="inout_consol_jan35"/>
      <sheetName val="consol_flow35"/>
      <sheetName val="D_Loan__Prom35"/>
      <sheetName val="E_Bank_Loan35"/>
      <sheetName val="G_work_Cap35"/>
      <sheetName val="H_land_adv-dec35"/>
      <sheetName val="J_Con_WIP35"/>
      <sheetName val="detail_J35"/>
      <sheetName val="L_Oth_Co35"/>
      <sheetName val="K_fix_asst__35"/>
      <sheetName val="C_fix_asst-SDPL_35"/>
      <sheetName val="TBAL9697__group_wise__sdpl35"/>
      <sheetName val="inout_consol_okg35"/>
      <sheetName val="detail_OIP_(2)35"/>
      <sheetName val="D_fix_ysst_scdl_35"/>
      <sheetName val="cre`itors_tb_obpl35"/>
      <sheetName val="3AL9697_-group_wise__onpl35"/>
      <sheetName val="Boq_Block_A34"/>
      <sheetName val="Project-Material_34"/>
      <sheetName val="3�AL9697_-group_wise__onpl34"/>
      <sheetName val="Assumption_Inputs29"/>
      <sheetName val="Section_Catalogue29"/>
      <sheetName val="TB9798OBPL06_(2)36"/>
      <sheetName val="CORPN_OCT36"/>
      <sheetName val="inout_consol-nov36"/>
      <sheetName val="inout_consol_(2)36"/>
      <sheetName val="AS_ON_DT_EXPS_Mar36"/>
      <sheetName val="fa-pl_&amp;_mach-site36"/>
      <sheetName val="fa_off_eqp36"/>
      <sheetName val="fa_fur&amp;_fix36"/>
      <sheetName val="fa-pl_&amp;_mach-Off36"/>
      <sheetName val="B_Equity-sdpl_INC36"/>
      <sheetName val="inout_consol_wkg36"/>
      <sheetName val="inout_consol_WKNG36"/>
      <sheetName val="B_Sheet_9736"/>
      <sheetName val="P&amp;L_97_36"/>
      <sheetName val="B_Sheet_97-BEXP36"/>
      <sheetName val="P&amp;L_97_-BEXP36"/>
      <sheetName val="consol_flows36"/>
      <sheetName val="sdpl_oth_Liab36"/>
      <sheetName val="obpl-oth_liab36"/>
      <sheetName val="G_land_advance36"/>
      <sheetName val="I-Wip-ot_(2)36"/>
      <sheetName val="detail_WIP_(2)36"/>
      <sheetName val="detail_G-136"/>
      <sheetName val="sobha_menon_ac36"/>
      <sheetName val="pnc_ac36"/>
      <sheetName val="fix_-p_&amp;_M_-SCC36"/>
      <sheetName val="C_fix_asst36"/>
      <sheetName val="D_fix_asst_scdl_36"/>
      <sheetName val="creditors_tb_obpl36"/>
      <sheetName val="TBAL9697_-group_wise__sdpl46"/>
      <sheetName val="TBAL9697_-group_wise_36"/>
      <sheetName val="crs_-G-136"/>
      <sheetName val="TBAL9697_-group_wise__onpl36"/>
      <sheetName val="B_Sheet_97-OBPL36"/>
      <sheetName val="B_Sheet_97_sdpl36"/>
      <sheetName val="TBAL9697_-group_wise__sdpl236"/>
      <sheetName val="inout_consol_jan36"/>
      <sheetName val="consol_flow36"/>
      <sheetName val="D_Loan__Prom36"/>
      <sheetName val="E_Bank_Loan36"/>
      <sheetName val="G_work_Cap36"/>
      <sheetName val="H_land_adv-dec36"/>
      <sheetName val="J_Con_WIP36"/>
      <sheetName val="detail_J36"/>
      <sheetName val="L_Oth_Co36"/>
      <sheetName val="K_fix_asst__36"/>
      <sheetName val="C_fix_asst-SDPL_36"/>
      <sheetName val="TBAL9697__group_wise__sdpl36"/>
      <sheetName val="inout_consol_okg36"/>
      <sheetName val="detail_OIP_(2)36"/>
      <sheetName val="D_fix_ysst_scdl_36"/>
      <sheetName val="cre`itors_tb_obpl36"/>
      <sheetName val="3AL9697_-group_wise__onpl36"/>
      <sheetName val="L_Oth_Bo35"/>
      <sheetName val="3‰AL9697_-group_wise__onpl35"/>
      <sheetName val="Civil_Boq35"/>
      <sheetName val="Staff_Acco_35"/>
      <sheetName val="SITE_OVERHEADS35"/>
      <sheetName val="Boq_Block_A35"/>
      <sheetName val="Project-Material_35"/>
      <sheetName val="3�AL9697_-group_wise__onpl35"/>
      <sheetName val="Assumption_Inputs30"/>
      <sheetName val="Section_Catalogue30"/>
      <sheetName val="TB9798OBPL06_(2)38"/>
      <sheetName val="CORPN_OCT38"/>
      <sheetName val="inout_consol-nov38"/>
      <sheetName val="inout_consol_(2)38"/>
      <sheetName val="AS_ON_DT_EXPS_Mar38"/>
      <sheetName val="fa-pl_&amp;_mach-site38"/>
      <sheetName val="fa_off_eqp38"/>
      <sheetName val="fa_fur&amp;_fix38"/>
      <sheetName val="fa-pl_&amp;_mach-Off38"/>
      <sheetName val="B_Equity-sdpl_INC38"/>
      <sheetName val="inout_consol_wkg38"/>
      <sheetName val="inout_consol_WKNG38"/>
      <sheetName val="B_Sheet_9738"/>
      <sheetName val="P&amp;L_97_38"/>
      <sheetName val="B_Sheet_97-BEXP38"/>
      <sheetName val="P&amp;L_97_-BEXP38"/>
      <sheetName val="consol_flows38"/>
      <sheetName val="sdpl_oth_Liab38"/>
      <sheetName val="obpl-oth_liab38"/>
      <sheetName val="G_land_advance38"/>
      <sheetName val="I-Wip-ot_(2)38"/>
      <sheetName val="detail_WIP_(2)38"/>
      <sheetName val="detail_G-138"/>
      <sheetName val="sobha_menon_ac38"/>
      <sheetName val="pnc_ac38"/>
      <sheetName val="fix_-p_&amp;_M_-SCC38"/>
      <sheetName val="C_fix_asst38"/>
      <sheetName val="D_fix_asst_scdl_38"/>
      <sheetName val="creditors_tb_obpl38"/>
      <sheetName val="TBAL9697_-group_wise__sdpl48"/>
      <sheetName val="TBAL9697_-group_wise_38"/>
      <sheetName val="crs_-G-138"/>
      <sheetName val="TBAL9697_-group_wise__onpl38"/>
      <sheetName val="B_Sheet_97-OBPL38"/>
      <sheetName val="B_Sheet_97_sdpl38"/>
      <sheetName val="TBAL9697_-group_wise__sdpl238"/>
      <sheetName val="inout_consol_jan38"/>
      <sheetName val="consol_flow38"/>
      <sheetName val="D_Loan__Prom38"/>
      <sheetName val="E_Bank_Loan38"/>
      <sheetName val="G_work_Cap38"/>
      <sheetName val="H_land_adv-dec38"/>
      <sheetName val="J_Con_WIP38"/>
      <sheetName val="detail_J38"/>
      <sheetName val="L_Oth_Co38"/>
      <sheetName val="K_fix_asst__38"/>
      <sheetName val="C_fix_asst-SDPL_38"/>
      <sheetName val="TBAL9697__group_wise__sdpl38"/>
      <sheetName val="inout_consol_okg38"/>
      <sheetName val="detail_OIP_(2)38"/>
      <sheetName val="D_fix_ysst_scdl_38"/>
      <sheetName val="cre`itors_tb_obpl38"/>
      <sheetName val="3AL9697_-group_wise__onpl38"/>
      <sheetName val="L_Oth_Bo37"/>
      <sheetName val="3‰AL9697_-group_wise__onpl37"/>
      <sheetName val="Civil_Boq37"/>
      <sheetName val="Staff_Acco_37"/>
      <sheetName val="SITE_OVERHEADS37"/>
      <sheetName val="PRECAST_lightconc-II35"/>
      <sheetName val="1__PayRec34"/>
      <sheetName val="Boq_Block_A37"/>
      <sheetName val="Cashflow_projection34"/>
      <sheetName val="Project-Material_37"/>
      <sheetName val="SPT_vs_PHI34"/>
      <sheetName val="key_dates34"/>
      <sheetName val="ino4t_conso,-nov34"/>
      <sheetName val="(nout_co,sol_(2)34"/>
      <sheetName val="Blr_hire34"/>
      <sheetName val="_bpl,oth_lia_34"/>
      <sheetName val="G_,and_adv_nce34"/>
      <sheetName val="I,Wip-ot__2)34"/>
      <sheetName val="det!il_WIP_(2)34"/>
      <sheetName val="de4ail_G-134"/>
      <sheetName val="sobha_mennn_ac34"/>
      <sheetName val="C_&amp;ix_asst34"/>
      <sheetName val="_x005f_x0003_dpl_oth_Lia`34"/>
      <sheetName val="TBAL9697__x005f_x000d_grotp_wise_34"/>
      <sheetName val="St_co_91_5lvl34"/>
      <sheetName val="3�AL9697_-group_wise__onpl37"/>
      <sheetName val="INPUT_SHEET34"/>
      <sheetName val="Stress_Calculation34"/>
      <sheetName val="Labor_abs-NMR34"/>
      <sheetName val="Sun_E_Type34"/>
      <sheetName val="CORPN_O?T34"/>
      <sheetName val="Fin_Sum34"/>
      <sheetName val="CORPN_O_x005f_x0000_T34"/>
      <sheetName val="TBAL9697__x000a_grotp_wise_34"/>
      <sheetName val="labour_coeff32"/>
      <sheetName val="Shuttering_Analysis32"/>
      <sheetName val="General_P+M32"/>
      <sheetName val="Curing_Analysis_32"/>
      <sheetName val="Concrete_P+M_(_RMC_)32"/>
      <sheetName val="P+M_(_SMC_)32"/>
      <sheetName val="P+M_-EW32"/>
      <sheetName val="P&amp;L_-_AD32"/>
      <sheetName val="SUPPLY_-Sanitary_Fixtures34"/>
      <sheetName val="ITEMS_FOR_CIVIL_TENDER34"/>
      <sheetName val="_x005f_x005f_x005f_x0003_dpl_oth_Lia`34"/>
      <sheetName val="TBAL9697__x005f_x005f_x005f_x000d_grotp_w34"/>
      <sheetName val="Fin__Assumpt__-_Sensitivities32"/>
      <sheetName val="LOAD_SHEET_32"/>
      <sheetName val="Fill_this_out_first___32"/>
      <sheetName val="Labour_productivity32"/>
      <sheetName val="RCC,Ret__Wall32"/>
      <sheetName val="CORPN_O34"/>
      <sheetName val="Area_&amp;_Cate__Master32"/>
      <sheetName val="Bill_No_532"/>
      <sheetName val="11B_32"/>
      <sheetName val="Structure_Bills_Qty32"/>
      <sheetName val="DG_34"/>
      <sheetName val="BOQ_(2)32"/>
      <sheetName val="Fee_Rate_Summary32"/>
      <sheetName val="Name_List32"/>
      <sheetName val="Detail_1A32"/>
      <sheetName val="Sheet_132"/>
      <sheetName val="3BPA00132-5-3_W_plan_HVPNL32"/>
      <sheetName val="Mix_Design32"/>
      <sheetName val="DLC_lookups32"/>
      <sheetName val="Driveway_Beams32"/>
      <sheetName val="TBAL9697__x005f_x000a_grotp_wise_32"/>
      <sheetName val="Quote_Sheet32"/>
      <sheetName val="d-safe_DELUXE32"/>
      <sheetName val="Works_-_Quote_Sheet32"/>
      <sheetName val="IO_LIST32"/>
      <sheetName val="TBAL9697__x005f_x000d_grotp_wis32"/>
      <sheetName val="Cat_A_Change_Control32"/>
      <sheetName val="Break_up_Sheet32"/>
      <sheetName val="Summary_of_P_&amp;_M32"/>
      <sheetName val="ISO_Reconcilation_Statment32"/>
      <sheetName val="AVG_pur_rate32"/>
      <sheetName val="Break_Dw32"/>
      <sheetName val="LIST_OF_MAKES32"/>
      <sheetName val="Assumption_Inputs32"/>
      <sheetName val="Civil_Works32"/>
      <sheetName val="Form_632"/>
      <sheetName val="acevsSp_(ABC)32"/>
      <sheetName val="A_O_R_32"/>
      <sheetName val="CORPN_O_x005f_x005f_x005f_x0000_T32"/>
      <sheetName val="220_11__BS_32"/>
      <sheetName val="FITZ_MORT_9432"/>
      <sheetName val="Intro_32"/>
      <sheetName val="BLOCK-A_(MEA_SHEET)32"/>
      <sheetName val="NLD_-_Assum32"/>
      <sheetName val="Section_Catalogue32"/>
      <sheetName val="TB9798OBPL06_(2)37"/>
      <sheetName val="CORPN_OCT37"/>
      <sheetName val="inout_consol-nov37"/>
      <sheetName val="inout_consol_(2)37"/>
      <sheetName val="AS_ON_DT_EXPS_Mar37"/>
      <sheetName val="fa-pl_&amp;_mach-site37"/>
      <sheetName val="fa_off_eqp37"/>
      <sheetName val="fa_fur&amp;_fix37"/>
      <sheetName val="fa-pl_&amp;_mach-Off37"/>
      <sheetName val="B_Equity-sdpl_INC37"/>
      <sheetName val="inout_consol_wkg37"/>
      <sheetName val="inout_consol_WKNG37"/>
      <sheetName val="B_Sheet_9737"/>
      <sheetName val="P&amp;L_97_37"/>
      <sheetName val="B_Sheet_97-BEXP37"/>
      <sheetName val="P&amp;L_97_-BEXP37"/>
      <sheetName val="consol_flows37"/>
      <sheetName val="sdpl_oth_Liab37"/>
      <sheetName val="obpl-oth_liab37"/>
      <sheetName val="G_land_advance37"/>
      <sheetName val="I-Wip-ot_(2)37"/>
      <sheetName val="detail_WIP_(2)37"/>
      <sheetName val="detail_G-137"/>
      <sheetName val="sobha_menon_ac37"/>
      <sheetName val="pnc_ac37"/>
      <sheetName val="fix_-p_&amp;_M_-SCC37"/>
      <sheetName val="C_fix_asst37"/>
      <sheetName val="D_fix_asst_scdl_37"/>
      <sheetName val="creditors_tb_obpl37"/>
      <sheetName val="TBAL9697_-group_wise__sdpl47"/>
      <sheetName val="TBAL9697_-group_wise_37"/>
      <sheetName val="crs_-G-137"/>
      <sheetName val="TBAL9697_-group_wise__onpl37"/>
      <sheetName val="B_Sheet_97-OBPL37"/>
      <sheetName val="B_Sheet_97_sdpl37"/>
      <sheetName val="TBAL9697_-group_wise__sdpl237"/>
      <sheetName val="inout_consol_jan37"/>
      <sheetName val="consol_flow37"/>
      <sheetName val="D_Loan__Prom37"/>
      <sheetName val="E_Bank_Loan37"/>
      <sheetName val="G_work_Cap37"/>
      <sheetName val="H_land_adv-dec37"/>
      <sheetName val="J_Con_WIP37"/>
      <sheetName val="detail_J37"/>
      <sheetName val="L_Oth_Co37"/>
      <sheetName val="K_fix_asst__37"/>
      <sheetName val="C_fix_asst-SDPL_37"/>
      <sheetName val="TBAL9697__group_wise__sdpl37"/>
      <sheetName val="inout_consol_okg37"/>
      <sheetName val="detail_OIP_(2)37"/>
      <sheetName val="D_fix_ysst_scdl_37"/>
      <sheetName val="cre`itors_tb_obpl37"/>
      <sheetName val="3AL9697_-group_wise__onpl37"/>
      <sheetName val="L_Oth_Bo36"/>
      <sheetName val="3‰AL9697_-group_wise__onpl36"/>
      <sheetName val="Civil_Boq36"/>
      <sheetName val="Staff_Acco_36"/>
      <sheetName val="SITE_OVERHEADS36"/>
      <sheetName val="Boq_Block_A36"/>
      <sheetName val="Project-Material_36"/>
      <sheetName val="3�AL9697_-group_wise__onpl36"/>
      <sheetName val="Assumption_Inputs31"/>
      <sheetName val="Section_Catalogue31"/>
      <sheetName val="TB9798OBPL06_(2)39"/>
      <sheetName val="CORPN_OCT39"/>
      <sheetName val="inout_consol-nov39"/>
      <sheetName val="inout_consol_(2)39"/>
      <sheetName val="AS_ON_DT_EXPS_Mar39"/>
      <sheetName val="fa-pl_&amp;_mach-site39"/>
      <sheetName val="fa_off_eqp39"/>
      <sheetName val="fa_fur&amp;_fix39"/>
      <sheetName val="fa-pl_&amp;_mach-Off39"/>
      <sheetName val="B_Equity-sdpl_INC39"/>
      <sheetName val="inout_consol_wkg39"/>
      <sheetName val="inout_consol_WKNG39"/>
      <sheetName val="B_Sheet_9739"/>
      <sheetName val="P&amp;L_97_39"/>
      <sheetName val="B_Sheet_97-BEXP39"/>
      <sheetName val="P&amp;L_97_-BEXP39"/>
      <sheetName val="consol_flows39"/>
      <sheetName val="sdpl_oth_Liab39"/>
      <sheetName val="obpl-oth_liab39"/>
      <sheetName val="G_land_advance39"/>
      <sheetName val="I-Wip-ot_(2)39"/>
      <sheetName val="detail_WIP_(2)39"/>
      <sheetName val="detail_G-139"/>
      <sheetName val="sobha_menon_ac39"/>
      <sheetName val="pnc_ac39"/>
      <sheetName val="fix_-p_&amp;_M_-SCC39"/>
      <sheetName val="C_fix_asst39"/>
      <sheetName val="D_fix_asst_scdl_39"/>
      <sheetName val="creditors_tb_obpl39"/>
      <sheetName val="TBAL9697_-group_wise__sdpl49"/>
      <sheetName val="TBAL9697_-group_wise_39"/>
      <sheetName val="crs_-G-139"/>
      <sheetName val="TBAL9697_-group_wise__onpl39"/>
      <sheetName val="B_Sheet_97-OBPL39"/>
      <sheetName val="B_Sheet_97_sdpl39"/>
      <sheetName val="TBAL9697_-group_wise__sdpl239"/>
      <sheetName val="inout_consol_jan39"/>
      <sheetName val="consol_flow39"/>
      <sheetName val="D_Loan__Prom39"/>
      <sheetName val="E_Bank_Loan39"/>
      <sheetName val="G_work_Cap39"/>
      <sheetName val="H_land_adv-dec39"/>
      <sheetName val="J_Con_WIP39"/>
      <sheetName val="detail_J39"/>
      <sheetName val="L_Oth_Co39"/>
      <sheetName val="K_fix_asst__39"/>
      <sheetName val="C_fix_asst-SDPL_39"/>
      <sheetName val="TBAL9697__group_wise__sdpl39"/>
      <sheetName val="inout_consol_okg39"/>
      <sheetName val="detail_OIP_(2)39"/>
      <sheetName val="D_fix_ysst_scdl_39"/>
      <sheetName val="cre`itors_tb_obpl39"/>
      <sheetName val="3AL9697_-group_wise__onpl39"/>
      <sheetName val="L_Oth_Bo38"/>
      <sheetName val="3‰AL9697_-group_wise__onpl38"/>
      <sheetName val="Civil_Boq38"/>
      <sheetName val="Staff_Acco_38"/>
      <sheetName val="SITE_OVERHEADS38"/>
      <sheetName val="PRECAST_lightconc-II36"/>
      <sheetName val="1__PayRec35"/>
      <sheetName val="Boq_Block_A38"/>
      <sheetName val="Cashflow_projection35"/>
      <sheetName val="Project-Material_38"/>
      <sheetName val="SPT_vs_PHI35"/>
      <sheetName val="key_dates35"/>
      <sheetName val="ino4t_conso,-nov35"/>
      <sheetName val="(nout_co,sol_(2)35"/>
      <sheetName val="Blr_hire35"/>
      <sheetName val="_bpl,oth_lia_35"/>
      <sheetName val="G_,and_adv_nce35"/>
      <sheetName val="I,Wip-ot__2)35"/>
      <sheetName val="det!il_WIP_(2)35"/>
      <sheetName val="de4ail_G-135"/>
      <sheetName val="sobha_mennn_ac35"/>
      <sheetName val="C_&amp;ix_asst35"/>
      <sheetName val="_x005f_x0003_dpl_oth_Lia`35"/>
      <sheetName val="TBAL9697__x005f_x000d_grotp_wise_35"/>
      <sheetName val="St_co_91_5lvl35"/>
      <sheetName val="3�AL9697_-group_wise__onpl38"/>
      <sheetName val="INPUT_SHEET35"/>
      <sheetName val="Stress_Calculation35"/>
      <sheetName val="Labor_abs-NMR35"/>
      <sheetName val="Sun_E_Type35"/>
      <sheetName val="CORPN_O?T35"/>
      <sheetName val="Fin_Sum35"/>
      <sheetName val="CORPN_O_x005f_x0000_T35"/>
      <sheetName val="TBAL9697__x000a_grotp_wise_35"/>
      <sheetName val="labour_coeff33"/>
      <sheetName val="Shuttering_Analysis33"/>
      <sheetName val="General_P+M33"/>
      <sheetName val="Curing_Analysis_33"/>
      <sheetName val="Concrete_P+M_(_RMC_)33"/>
      <sheetName val="P+M_(_SMC_)33"/>
      <sheetName val="P+M_-EW33"/>
      <sheetName val="P&amp;L_-_AD33"/>
      <sheetName val="SUPPLY_-Sanitary_Fixtures35"/>
      <sheetName val="ITEMS_FOR_CIVIL_TENDER35"/>
      <sheetName val="_x005f_x005f_x005f_x0003_dpl_oth_Lia`35"/>
      <sheetName val="TBAL9697__x005f_x005f_x005f_x000d_grotp_w35"/>
      <sheetName val="Fin__Assumpt__-_Sensitivities33"/>
      <sheetName val="LOAD_SHEET_33"/>
      <sheetName val="Fill_this_out_first___33"/>
      <sheetName val="Labour_productivity33"/>
      <sheetName val="RCC,Ret__Wall33"/>
      <sheetName val="CORPN_O35"/>
      <sheetName val="Area_&amp;_Cate__Master33"/>
      <sheetName val="Bill_No_533"/>
      <sheetName val="11B_33"/>
      <sheetName val="Structure_Bills_Qty33"/>
      <sheetName val="DG_35"/>
      <sheetName val="BOQ_(2)33"/>
      <sheetName val="Fee_Rate_Summary33"/>
      <sheetName val="Name_List33"/>
      <sheetName val="Detail_1A33"/>
      <sheetName val="Sheet_133"/>
      <sheetName val="3BPA00132-5-3_W_plan_HVPNL33"/>
      <sheetName val="Mix_Design33"/>
      <sheetName val="DLC_lookups33"/>
      <sheetName val="Driveway_Beams33"/>
      <sheetName val="TBAL9697__x005f_x000a_grotp_wise_33"/>
      <sheetName val="Quote_Sheet33"/>
      <sheetName val="d-safe_DELUXE33"/>
      <sheetName val="Works_-_Quote_Sheet33"/>
      <sheetName val="IO_LIST33"/>
      <sheetName val="TBAL9697__x005f_x000d_grotp_wis33"/>
      <sheetName val="Cat_A_Change_Control33"/>
      <sheetName val="Break_up_Sheet33"/>
      <sheetName val="Summary_of_P_&amp;_M33"/>
      <sheetName val="ISO_Reconcilation_Statment33"/>
      <sheetName val="AVG_pur_rate33"/>
      <sheetName val="Break_Dw33"/>
      <sheetName val="LIST_OF_MAKES33"/>
      <sheetName val="Assumption_Inputs33"/>
      <sheetName val="Civil_Works33"/>
      <sheetName val="Form_633"/>
      <sheetName val="acevsSp_(ABC)33"/>
      <sheetName val="A_O_R_33"/>
      <sheetName val="CORPN_O_x005f_x005f_x005f_x0000_T33"/>
      <sheetName val="220_11__BS_33"/>
      <sheetName val="FITZ_MORT_9433"/>
      <sheetName val="Intro_33"/>
      <sheetName val="BLOCK-A_(MEA_SHEET)33"/>
      <sheetName val="NLD_-_Assum33"/>
      <sheetName val="Section_Catalogue33"/>
      <sheetName val="TB9798OBPL06_(2)40"/>
      <sheetName val="CORPN_OCT40"/>
      <sheetName val="inout_consol-nov40"/>
      <sheetName val="inout_consol_(2)40"/>
      <sheetName val="AS_ON_DT_EXPS_Mar40"/>
      <sheetName val="fa-pl_&amp;_mach-site40"/>
      <sheetName val="fa_off_eqp40"/>
      <sheetName val="fa_fur&amp;_fix40"/>
      <sheetName val="fa-pl_&amp;_mach-Off40"/>
      <sheetName val="B_Equity-sdpl_INC40"/>
      <sheetName val="inout_consol_wkg40"/>
      <sheetName val="inout_consol_WKNG40"/>
      <sheetName val="B_Sheet_9740"/>
      <sheetName val="P&amp;L_97_40"/>
      <sheetName val="B_Sheet_97-BEXP40"/>
      <sheetName val="P&amp;L_97_-BEXP40"/>
      <sheetName val="consol_flows40"/>
      <sheetName val="sdpl_oth_Liab40"/>
      <sheetName val="obpl-oth_liab40"/>
      <sheetName val="G_land_advance40"/>
      <sheetName val="I-Wip-ot_(2)40"/>
      <sheetName val="detail_WIP_(2)40"/>
      <sheetName val="detail_G-140"/>
      <sheetName val="sobha_menon_ac40"/>
      <sheetName val="pnc_ac40"/>
      <sheetName val="fix_-p_&amp;_M_-SCC40"/>
      <sheetName val="C_fix_asst40"/>
      <sheetName val="D_fix_asst_scdl_40"/>
      <sheetName val="creditors_tb_obpl40"/>
      <sheetName val="TBAL9697_-group_wise__sdpl50"/>
      <sheetName val="TBAL9697_-group_wise_40"/>
      <sheetName val="crs_-G-140"/>
      <sheetName val="TBAL9697_-group_wise__onpl40"/>
      <sheetName val="B_Sheet_97-OBPL40"/>
      <sheetName val="B_Sheet_97_sdpl40"/>
      <sheetName val="TBAL9697_-group_wise__sdpl240"/>
      <sheetName val="inout_consol_jan40"/>
      <sheetName val="consol_flow40"/>
      <sheetName val="D_Loan__Prom40"/>
      <sheetName val="E_Bank_Loan40"/>
      <sheetName val="G_work_Cap40"/>
      <sheetName val="H_land_adv-dec40"/>
      <sheetName val="J_Con_WIP40"/>
      <sheetName val="detail_J40"/>
      <sheetName val="L_Oth_Co40"/>
      <sheetName val="K_fix_asst__40"/>
      <sheetName val="C_fix_asst-SDPL_40"/>
      <sheetName val="TBAL9697__group_wise__sdpl40"/>
      <sheetName val="inout_consol_okg40"/>
      <sheetName val="detail_OIP_(2)40"/>
      <sheetName val="D_fix_ysst_scdl_40"/>
      <sheetName val="cre`itors_tb_obpl40"/>
      <sheetName val="3AL9697_-group_wise__onpl40"/>
      <sheetName val="L_Oth_Bo39"/>
      <sheetName val="3‰AL9697_-group_wise__onpl39"/>
      <sheetName val="Civil_Boq39"/>
      <sheetName val="Staff_Acco_39"/>
      <sheetName val="SITE_OVERHEADS39"/>
      <sheetName val="PRECAST_lightconc-II37"/>
      <sheetName val="1__PayRec36"/>
      <sheetName val="Boq_Block_A39"/>
      <sheetName val="Cashflow_projection36"/>
      <sheetName val="Project-Material_39"/>
      <sheetName val="SPT_vs_PHI36"/>
      <sheetName val="key_dates36"/>
      <sheetName val="ino4t_conso,-nov36"/>
      <sheetName val="(nout_co,sol_(2)36"/>
      <sheetName val="Blr_hire36"/>
      <sheetName val="_bpl,oth_lia_36"/>
      <sheetName val="G_,and_adv_nce36"/>
      <sheetName val="I,Wip-ot__2)36"/>
      <sheetName val="det!il_WIP_(2)36"/>
      <sheetName val="de4ail_G-136"/>
      <sheetName val="sobha_mennn_ac36"/>
      <sheetName val="C_&amp;ix_asst36"/>
      <sheetName val="_x005f_x0003_dpl_oth_Lia`36"/>
      <sheetName val="TBAL9697__x005f_x000d_grotp_wise_36"/>
      <sheetName val="St_co_91_5lvl36"/>
      <sheetName val="3�AL9697_-group_wise__onpl39"/>
      <sheetName val="INPUT_SHEET36"/>
      <sheetName val="Stress_Calculation36"/>
      <sheetName val="Labor_abs-NMR36"/>
      <sheetName val="Sun_E_Type36"/>
      <sheetName val="CORPN_O?T36"/>
      <sheetName val="Fin_Sum36"/>
      <sheetName val="CORPN_O_x005f_x0000_T36"/>
      <sheetName val="TBAL9697__x000a_grotp_wise_36"/>
      <sheetName val="labour_coeff34"/>
      <sheetName val="Shuttering_Analysis34"/>
      <sheetName val="General_P+M34"/>
      <sheetName val="Curing_Analysis_34"/>
      <sheetName val="Concrete_P+M_(_RMC_)34"/>
      <sheetName val="P+M_(_SMC_)34"/>
      <sheetName val="P+M_-EW34"/>
      <sheetName val="P&amp;L_-_AD34"/>
      <sheetName val="SUPPLY_-Sanitary_Fixtures36"/>
      <sheetName val="ITEMS_FOR_CIVIL_TENDER36"/>
      <sheetName val="_x005f_x005f_x005f_x0003_dpl_oth_Lia`36"/>
      <sheetName val="TBAL9697__x005f_x005f_x005f_x000d_grotp_w36"/>
      <sheetName val="Fin__Assumpt__-_Sensitivities34"/>
      <sheetName val="LOAD_SHEET_34"/>
      <sheetName val="Fill_this_out_first___34"/>
      <sheetName val="Labour_productivity34"/>
      <sheetName val="RCC,Ret__Wall34"/>
      <sheetName val="CORPN_O36"/>
      <sheetName val="CORPN_O_T34"/>
      <sheetName val="Area_&amp;_Cate__Master34"/>
      <sheetName val="Bill_No_534"/>
      <sheetName val="11B_34"/>
      <sheetName val="Structure_Bills_Qty34"/>
      <sheetName val="DG_36"/>
      <sheetName val="BOQ_(2)34"/>
      <sheetName val="Fee_Rate_Summary34"/>
      <sheetName val="Name_List34"/>
      <sheetName val="Detail_1A34"/>
      <sheetName val="Sheet_134"/>
      <sheetName val="3BPA00132-5-3_W_plan_HVPNL34"/>
      <sheetName val="Mix_Design34"/>
      <sheetName val="DLC_lookups34"/>
      <sheetName val="Driveway_Beams34"/>
      <sheetName val="TBAL9697__x005f_x000a_grotp_wise_34"/>
      <sheetName val="Quote_Sheet34"/>
      <sheetName val="d-safe_DELUXE34"/>
      <sheetName val="Works_-_Quote_Sheet34"/>
      <sheetName val="IO_LIST34"/>
      <sheetName val="TBAL9697__x005f_x000d_grotp_wis34"/>
      <sheetName val="Cat_A_Change_Control34"/>
      <sheetName val="Break_up_Sheet34"/>
      <sheetName val="Summary_of_P_&amp;_M34"/>
      <sheetName val="ISO_Reconcilation_Statment34"/>
      <sheetName val="AVG_pur_rate34"/>
      <sheetName val="Break_Dw34"/>
      <sheetName val="LIST_OF_MAKES34"/>
      <sheetName val="Assumption_Inputs34"/>
      <sheetName val="Civil_Works34"/>
      <sheetName val="Form_634"/>
      <sheetName val="acevsSp_(ABC)34"/>
      <sheetName val="A_O_R_34"/>
      <sheetName val="CORPN_O_x005f_x005f_x005f_x0000_T34"/>
      <sheetName val="220_11__BS_34"/>
      <sheetName val="FITZ_MORT_9434"/>
      <sheetName val="Intro_34"/>
      <sheetName val="BLOCK-A_(MEA_SHEET)34"/>
      <sheetName val="NLD_-_Assum34"/>
      <sheetName val="Section_Catalogue34"/>
      <sheetName val="TB9798OBPL06_(2)41"/>
      <sheetName val="CORPN_OCT41"/>
      <sheetName val="inout_consol-nov41"/>
      <sheetName val="inout_consol_(2)41"/>
      <sheetName val="AS_ON_DT_EXPS_Mar41"/>
      <sheetName val="fa-pl_&amp;_mach-site41"/>
      <sheetName val="fa_off_eqp41"/>
      <sheetName val="fa_fur&amp;_fix41"/>
      <sheetName val="fa-pl_&amp;_mach-Off41"/>
      <sheetName val="B_Equity-sdpl_INC41"/>
      <sheetName val="inout_consol_wkg41"/>
      <sheetName val="inout_consol_WKNG41"/>
      <sheetName val="B_Sheet_9741"/>
      <sheetName val="P&amp;L_97_41"/>
      <sheetName val="B_Sheet_97-BEXP41"/>
      <sheetName val="P&amp;L_97_-BEXP41"/>
      <sheetName val="consol_flows41"/>
      <sheetName val="sdpl_oth_Liab41"/>
      <sheetName val="obpl-oth_liab41"/>
      <sheetName val="G_land_advance41"/>
      <sheetName val="I-Wip-ot_(2)41"/>
      <sheetName val="detail_WIP_(2)41"/>
      <sheetName val="detail_G-141"/>
      <sheetName val="sobha_menon_ac41"/>
      <sheetName val="pnc_ac41"/>
      <sheetName val="fix_-p_&amp;_M_-SCC41"/>
      <sheetName val="C_fix_asst41"/>
      <sheetName val="D_fix_asst_scdl_41"/>
      <sheetName val="creditors_tb_obpl41"/>
      <sheetName val="TBAL9697_-group_wise__sdpl51"/>
      <sheetName val="TBAL9697_-group_wise_41"/>
      <sheetName val="crs_-G-141"/>
      <sheetName val="TBAL9697_-group_wise__onpl41"/>
      <sheetName val="B_Sheet_97-OBPL41"/>
      <sheetName val="B_Sheet_97_sdpl41"/>
      <sheetName val="TBAL9697_-group_wise__sdpl241"/>
      <sheetName val="inout_consol_jan41"/>
      <sheetName val="consol_flow41"/>
      <sheetName val="D_Loan__Prom41"/>
      <sheetName val="E_Bank_Loan41"/>
      <sheetName val="G_work_Cap41"/>
      <sheetName val="H_land_adv-dec41"/>
      <sheetName val="J_Con_WIP41"/>
      <sheetName val="detail_J41"/>
      <sheetName val="L_Oth_Co41"/>
      <sheetName val="K_fix_asst__41"/>
      <sheetName val="C_fix_asst-SDPL_41"/>
      <sheetName val="TBAL9697__group_wise__sdpl41"/>
      <sheetName val="inout_consol_okg41"/>
      <sheetName val="detail_OIP_(2)41"/>
      <sheetName val="D_fix_ysst_scdl_41"/>
      <sheetName val="cre`itors_tb_obpl41"/>
      <sheetName val="3AL9697_-group_wise__onpl41"/>
      <sheetName val="L_Oth_Bo40"/>
      <sheetName val="3‰AL9697_-group_wise__onpl40"/>
      <sheetName val="Civil_Boq40"/>
      <sheetName val="Staff_Acco_40"/>
      <sheetName val="SITE_OVERHEADS40"/>
      <sheetName val="PRECAST_lightconc-II38"/>
      <sheetName val="1__PayRec37"/>
      <sheetName val="Boq_Block_A40"/>
      <sheetName val="Cashflow_projection37"/>
      <sheetName val="Project-Material_40"/>
      <sheetName val="SPT_vs_PHI37"/>
      <sheetName val="key_dates37"/>
      <sheetName val="ino4t_conso,-nov37"/>
      <sheetName val="(nout_co,sol_(2)37"/>
      <sheetName val="Blr_hire37"/>
      <sheetName val="_bpl,oth_lia_37"/>
      <sheetName val="G_,and_adv_nce37"/>
      <sheetName val="I,Wip-ot__2)37"/>
      <sheetName val="det!il_WIP_(2)37"/>
      <sheetName val="de4ail_G-137"/>
      <sheetName val="sobha_mennn_ac37"/>
      <sheetName val="C_&amp;ix_asst37"/>
      <sheetName val="_x005f_x0003_dpl_oth_Lia`37"/>
      <sheetName val="TBAL9697__x005f_x000d_grotp_wise_37"/>
      <sheetName val="St_co_91_5lvl37"/>
      <sheetName val="3�AL9697_-group_wise__onpl40"/>
      <sheetName val="INPUT_SHEET37"/>
      <sheetName val="Stress_Calculation37"/>
      <sheetName val="Labor_abs-NMR37"/>
      <sheetName val="Sun_E_Type37"/>
      <sheetName val="CORPN_O?T37"/>
      <sheetName val="Fin_Sum37"/>
      <sheetName val="CORPN_O_x005f_x0000_T37"/>
      <sheetName val="TBAL9697__x000a_grotp_wise_37"/>
      <sheetName val="labour_coeff35"/>
      <sheetName val="Shuttering_Analysis35"/>
      <sheetName val="General_P+M35"/>
      <sheetName val="Curing_Analysis_35"/>
      <sheetName val="Concrete_P+M_(_RMC_)35"/>
      <sheetName val="P+M_(_SMC_)35"/>
      <sheetName val="P+M_-EW35"/>
      <sheetName val="P&amp;L_-_AD35"/>
      <sheetName val="SUPPLY_-Sanitary_Fixtures37"/>
      <sheetName val="ITEMS_FOR_CIVIL_TENDER37"/>
      <sheetName val="_x005f_x005f_x005f_x0003_dpl_oth_Lia`37"/>
      <sheetName val="TBAL9697__x005f_x005f_x005f_x000d_grotp_w37"/>
      <sheetName val="Fin__Assumpt__-_Sensitivities35"/>
      <sheetName val="LOAD_SHEET_35"/>
      <sheetName val="Fill_this_out_first___35"/>
      <sheetName val="Labour_productivity35"/>
      <sheetName val="RCC,Ret__Wall35"/>
      <sheetName val="CORPN_O37"/>
      <sheetName val="CORPN_O_T35"/>
      <sheetName val="Area_&amp;_Cate__Master35"/>
      <sheetName val="Bill_No_535"/>
      <sheetName val="11B_35"/>
      <sheetName val="Structure_Bills_Qty35"/>
      <sheetName val="DG_37"/>
      <sheetName val="BOQ_(2)35"/>
      <sheetName val="Fee_Rate_Summary35"/>
      <sheetName val="Name_List35"/>
      <sheetName val="Detail_1A35"/>
      <sheetName val="Sheet_135"/>
      <sheetName val="3BPA00132-5-3_W_plan_HVPNL35"/>
      <sheetName val="Mix_Design35"/>
      <sheetName val="DLC_lookups35"/>
      <sheetName val="Driveway_Beams35"/>
      <sheetName val="TBAL9697__x005f_x000a_grotp_wise_35"/>
      <sheetName val="Quote_Sheet35"/>
      <sheetName val="d-safe_DELUXE35"/>
      <sheetName val="Works_-_Quote_Sheet35"/>
      <sheetName val="IO_LIST35"/>
      <sheetName val="TBAL9697__x005f_x000d_grotp_wis35"/>
      <sheetName val="Cat_A_Change_Control35"/>
      <sheetName val="Break_up_Sheet35"/>
      <sheetName val="Summary_of_P_&amp;_M35"/>
      <sheetName val="ISO_Reconcilation_Statment35"/>
      <sheetName val="AVG_pur_rate35"/>
      <sheetName val="Break_Dw35"/>
      <sheetName val="LIST_OF_MAKES35"/>
      <sheetName val="Assumption_Inputs35"/>
      <sheetName val="Civil_Works35"/>
      <sheetName val="Form_635"/>
      <sheetName val="acevsSp_(ABC)35"/>
      <sheetName val="A_O_R_35"/>
      <sheetName val="CORPN_O_x005f_x005f_x005f_x0000_T35"/>
      <sheetName val="220_11__BS_35"/>
      <sheetName val="FITZ_MORT_9435"/>
      <sheetName val="Intro_35"/>
      <sheetName val="BLOCK-A_(MEA_SHEET)35"/>
      <sheetName val="NLD_-_Assum35"/>
      <sheetName val="Section_Catalogue35"/>
      <sheetName val="TB9798OBPL06_(2)48"/>
      <sheetName val="CORPN_OCT48"/>
      <sheetName val="inout_consol-nov48"/>
      <sheetName val="inout_consol_(2)48"/>
      <sheetName val="AS_ON_DT_EXPS_Mar48"/>
      <sheetName val="fa-pl_&amp;_mach-site48"/>
      <sheetName val="fa_off_eqp48"/>
      <sheetName val="fa_fur&amp;_fix48"/>
      <sheetName val="fa-pl_&amp;_mach-Off48"/>
      <sheetName val="B_Equity-sdpl_INC48"/>
      <sheetName val="inout_consol_wkg48"/>
      <sheetName val="inout_consol_WKNG48"/>
      <sheetName val="B_Sheet_9748"/>
      <sheetName val="P&amp;L_97_48"/>
      <sheetName val="B_Sheet_97-BEXP48"/>
      <sheetName val="P&amp;L_97_-BEXP48"/>
      <sheetName val="consol_flows48"/>
      <sheetName val="sdpl_oth_Liab48"/>
      <sheetName val="obpl-oth_liab48"/>
      <sheetName val="G_land_advance48"/>
      <sheetName val="I-Wip-ot_(2)48"/>
      <sheetName val="detail_WIP_(2)48"/>
      <sheetName val="detail_G-148"/>
      <sheetName val="sobha_menon_ac48"/>
      <sheetName val="pnc_ac48"/>
      <sheetName val="fix_-p_&amp;_M_-SCC48"/>
      <sheetName val="C_fix_asst48"/>
      <sheetName val="D_fix_asst_scdl_48"/>
      <sheetName val="creditors_tb_obpl48"/>
      <sheetName val="TBAL9697_-group_wise__sdpl58"/>
      <sheetName val="TBAL9697_-group_wise_48"/>
      <sheetName val="crs_-G-148"/>
      <sheetName val="TBAL9697_-group_wise__onpl48"/>
      <sheetName val="B_Sheet_97-OBPL48"/>
      <sheetName val="B_Sheet_97_sdpl48"/>
      <sheetName val="TBAL9697_-group_wise__sdpl248"/>
      <sheetName val="inout_consol_jan48"/>
      <sheetName val="consol_flow48"/>
      <sheetName val="D_Loan__Prom48"/>
      <sheetName val="E_Bank_Loan48"/>
      <sheetName val="G_work_Cap48"/>
      <sheetName val="H_land_adv-dec48"/>
      <sheetName val="J_Con_WIP48"/>
      <sheetName val="detail_J48"/>
      <sheetName val="L_Oth_Co48"/>
      <sheetName val="K_fix_asst__48"/>
      <sheetName val="C_fix_asst-SDPL_48"/>
      <sheetName val="TBAL9697__group_wise__sdpl48"/>
      <sheetName val="inout_consol_okg48"/>
      <sheetName val="detail_OIP_(2)48"/>
      <sheetName val="D_fix_ysst_scdl_48"/>
      <sheetName val="cre`itors_tb_obpl48"/>
      <sheetName val="3AL9697_-group_wise__onpl48"/>
      <sheetName val="L_Oth_Bo47"/>
      <sheetName val="3‰AL9697_-group_wise__onpl47"/>
      <sheetName val="Civil_Boq47"/>
      <sheetName val="Staff_Acco_47"/>
      <sheetName val="SITE_OVERHEADS47"/>
      <sheetName val="PRECAST_lightconc-II45"/>
      <sheetName val="1__PayRec44"/>
      <sheetName val="Boq_Block_A47"/>
      <sheetName val="Cashflow_projection44"/>
      <sheetName val="Project-Material_47"/>
      <sheetName val="SPT_vs_PHI44"/>
      <sheetName val="key_dates44"/>
      <sheetName val="ino4t_conso,-nov44"/>
      <sheetName val="(nout_co,sol_(2)44"/>
      <sheetName val="Blr_hire44"/>
      <sheetName val="_bpl,oth_lia_44"/>
      <sheetName val="G_,and_adv_nce44"/>
      <sheetName val="I,Wip-ot__2)44"/>
      <sheetName val="det!il_WIP_(2)44"/>
      <sheetName val="de4ail_G-144"/>
      <sheetName val="sobha_mennn_ac44"/>
      <sheetName val="C_&amp;ix_asst44"/>
      <sheetName val="_x005f_x0003_dpl_oth_Lia`44"/>
      <sheetName val="TBAL9697__x005f_x000d_grotp_wise_44"/>
      <sheetName val="St_co_91_5lvl44"/>
      <sheetName val="3�AL9697_-group_wise__onpl47"/>
      <sheetName val="INPUT_SHEET44"/>
      <sheetName val="Stress_Calculation44"/>
      <sheetName val="Labor_abs-NMR44"/>
      <sheetName val="Sun_E_Type44"/>
      <sheetName val="CORPN_O?T44"/>
      <sheetName val="Fin_Sum44"/>
      <sheetName val="CORPN_O_x005f_x0000_T44"/>
      <sheetName val="TBAL9697__x000a_grotp_wise_44"/>
      <sheetName val="labour_coeff42"/>
      <sheetName val="Shuttering_Analysis42"/>
      <sheetName val="General_P+M42"/>
      <sheetName val="Curing_Analysis_42"/>
      <sheetName val="Concrete_P+M_(_RMC_)42"/>
      <sheetName val="P+M_(_SMC_)42"/>
      <sheetName val="P+M_-EW42"/>
      <sheetName val="P&amp;L_-_AD42"/>
      <sheetName val="SUPPLY_-Sanitary_Fixtures44"/>
      <sheetName val="ITEMS_FOR_CIVIL_TENDER44"/>
      <sheetName val="_x005f_x005f_x005f_x0003_dpl_oth_Lia`44"/>
      <sheetName val="TBAL9697__x005f_x005f_x005f_x000d_grotp_w44"/>
      <sheetName val="Fin__Assumpt__-_Sensitivities42"/>
      <sheetName val="LOAD_SHEET_42"/>
      <sheetName val="Fill_this_out_first___42"/>
      <sheetName val="Labour_productivity42"/>
      <sheetName val="RCC,Ret__Wall42"/>
      <sheetName val="CORPN_O44"/>
      <sheetName val="CORPN_O_T42"/>
      <sheetName val="Area_&amp;_Cate__Master42"/>
      <sheetName val="Bill_No_542"/>
      <sheetName val="11B_42"/>
      <sheetName val="Structure_Bills_Qty42"/>
      <sheetName val="DG_44"/>
      <sheetName val="BOQ_(2)42"/>
      <sheetName val="Fee_Rate_Summary42"/>
      <sheetName val="Name_List42"/>
      <sheetName val="Detail_1A42"/>
      <sheetName val="Sheet_142"/>
      <sheetName val="3BPA00132-5-3_W_plan_HVPNL42"/>
      <sheetName val="Mix_Design42"/>
      <sheetName val="DLC_lookups42"/>
      <sheetName val="Driveway_Beams42"/>
      <sheetName val="TBAL9697__x005f_x000a_grotp_wise_42"/>
      <sheetName val="Quote_Sheet42"/>
      <sheetName val="d-safe_DELUXE42"/>
      <sheetName val="Works_-_Quote_Sheet42"/>
      <sheetName val="IO_LIST42"/>
      <sheetName val="TBAL9697__x005f_x000d_grotp_wis42"/>
      <sheetName val="Cat_A_Change_Control42"/>
      <sheetName val="Break_up_Sheet42"/>
      <sheetName val="Summary_of_P_&amp;_M42"/>
      <sheetName val="ISO_Reconcilation_Statment42"/>
      <sheetName val="AVG_pur_rate42"/>
      <sheetName val="Break_Dw42"/>
      <sheetName val="LIST_OF_MAKES42"/>
      <sheetName val="Assumption_Inputs42"/>
      <sheetName val="Civil_Works42"/>
      <sheetName val="Form_642"/>
      <sheetName val="acevsSp_(ABC)42"/>
      <sheetName val="A_O_R_42"/>
      <sheetName val="CORPN_O_x005f_x005f_x005f_x0000_T42"/>
      <sheetName val="220_11__BS_42"/>
      <sheetName val="FITZ_MORT_9442"/>
      <sheetName val="Intro_42"/>
      <sheetName val="BLOCK-A_(MEA_SHEET)42"/>
      <sheetName val="NLD_-_Assum42"/>
      <sheetName val="Section_Catalogue42"/>
      <sheetName val="TB9798OBPL06_(2)43"/>
      <sheetName val="CORPN_OCT43"/>
      <sheetName val="inout_consol-nov43"/>
      <sheetName val="inout_consol_(2)43"/>
      <sheetName val="AS_ON_DT_EXPS_Mar43"/>
      <sheetName val="fa-pl_&amp;_mach-site43"/>
      <sheetName val="fa_off_eqp43"/>
      <sheetName val="fa_fur&amp;_fix43"/>
      <sheetName val="fa-pl_&amp;_mach-Off43"/>
      <sheetName val="B_Equity-sdpl_INC43"/>
      <sheetName val="inout_consol_wkg43"/>
      <sheetName val="inout_consol_WKNG43"/>
      <sheetName val="B_Sheet_9743"/>
      <sheetName val="P&amp;L_97_43"/>
      <sheetName val="B_Sheet_97-BEXP43"/>
      <sheetName val="P&amp;L_97_-BEXP43"/>
      <sheetName val="consol_flows43"/>
      <sheetName val="sdpl_oth_Liab43"/>
      <sheetName val="obpl-oth_liab43"/>
      <sheetName val="G_land_advance43"/>
      <sheetName val="I-Wip-ot_(2)43"/>
      <sheetName val="detail_WIP_(2)43"/>
      <sheetName val="detail_G-143"/>
      <sheetName val="sobha_menon_ac43"/>
      <sheetName val="pnc_ac43"/>
      <sheetName val="fix_-p_&amp;_M_-SCC43"/>
      <sheetName val="C_fix_asst43"/>
      <sheetName val="D_fix_asst_scdl_43"/>
      <sheetName val="creditors_tb_obpl43"/>
      <sheetName val="TBAL9697_-group_wise__sdpl53"/>
      <sheetName val="TBAL9697_-group_wise_43"/>
      <sheetName val="crs_-G-143"/>
      <sheetName val="TBAL9697_-group_wise__onpl43"/>
      <sheetName val="B_Sheet_97-OBPL43"/>
      <sheetName val="B_Sheet_97_sdpl43"/>
      <sheetName val="TBAL9697_-group_wise__sdpl243"/>
      <sheetName val="inout_consol_jan43"/>
      <sheetName val="consol_flow43"/>
      <sheetName val="D_Loan__Prom43"/>
      <sheetName val="E_Bank_Loan43"/>
      <sheetName val="G_work_Cap43"/>
      <sheetName val="H_land_adv-dec43"/>
      <sheetName val="J_Con_WIP43"/>
      <sheetName val="detail_J43"/>
      <sheetName val="L_Oth_Co43"/>
      <sheetName val="K_fix_asst__43"/>
      <sheetName val="C_fix_asst-SDPL_43"/>
      <sheetName val="TBAL9697__group_wise__sdpl43"/>
      <sheetName val="inout_consol_okg43"/>
      <sheetName val="detail_OIP_(2)43"/>
      <sheetName val="D_fix_ysst_scdl_43"/>
      <sheetName val="cre`itors_tb_obpl43"/>
      <sheetName val="3AL9697_-group_wise__onpl43"/>
      <sheetName val="L_Oth_Bo42"/>
      <sheetName val="3‰AL9697_-group_wise__onpl42"/>
      <sheetName val="Civil_Boq42"/>
      <sheetName val="Staff_Acco_42"/>
      <sheetName val="SITE_OVERHEADS42"/>
      <sheetName val="PRECAST_lightconc-II40"/>
      <sheetName val="1__PayRec39"/>
      <sheetName val="Boq_Block_A42"/>
      <sheetName val="Cashflow_projection39"/>
      <sheetName val="Project-Material_42"/>
      <sheetName val="SPT_vs_PHI39"/>
      <sheetName val="key_dates39"/>
      <sheetName val="ino4t_conso,-nov39"/>
      <sheetName val="(nout_co,sol_(2)39"/>
      <sheetName val="Blr_hire39"/>
      <sheetName val="_bpl,oth_lia_39"/>
      <sheetName val="G_,and_adv_nce39"/>
      <sheetName val="I,Wip-ot__2)39"/>
      <sheetName val="det!il_WIP_(2)39"/>
      <sheetName val="de4ail_G-139"/>
      <sheetName val="sobha_mennn_ac39"/>
      <sheetName val="C_&amp;ix_asst39"/>
      <sheetName val="_x005f_x0003_dpl_oth_Lia`39"/>
      <sheetName val="TBAL9697__x005f_x000d_grotp_wise_39"/>
      <sheetName val="St_co_91_5lvl39"/>
      <sheetName val="3�AL9697_-group_wise__onpl42"/>
      <sheetName val="INPUT_SHEET39"/>
      <sheetName val="Stress_Calculation39"/>
      <sheetName val="Labor_abs-NMR39"/>
      <sheetName val="Sun_E_Type39"/>
      <sheetName val="CORPN_O?T39"/>
      <sheetName val="Fin_Sum39"/>
      <sheetName val="CORPN_O_x005f_x0000_T39"/>
      <sheetName val="TBAL9697__x000a_grotp_wise_39"/>
      <sheetName val="labour_coeff37"/>
      <sheetName val="Shuttering_Analysis37"/>
      <sheetName val="General_P+M37"/>
      <sheetName val="Curing_Analysis_37"/>
      <sheetName val="Concrete_P+M_(_RMC_)37"/>
      <sheetName val="P+M_(_SMC_)37"/>
      <sheetName val="P+M_-EW37"/>
      <sheetName val="P&amp;L_-_AD37"/>
      <sheetName val="SUPPLY_-Sanitary_Fixtures39"/>
      <sheetName val="ITEMS_FOR_CIVIL_TENDER39"/>
      <sheetName val="_x005f_x005f_x005f_x0003_dpl_oth_Lia`39"/>
      <sheetName val="TBAL9697__x005f_x005f_x005f_x000d_grotp_w39"/>
      <sheetName val="Fin__Assumpt__-_Sensitivities37"/>
      <sheetName val="LOAD_SHEET_37"/>
      <sheetName val="Fill_this_out_first___37"/>
      <sheetName val="Labour_productivity37"/>
      <sheetName val="RCC,Ret__Wall37"/>
      <sheetName val="CORPN_O39"/>
      <sheetName val="CORPN_O_T37"/>
      <sheetName val="Area_&amp;_Cate__Master37"/>
      <sheetName val="Bill_No_537"/>
      <sheetName val="11B_37"/>
      <sheetName val="Structure_Bills_Qty37"/>
      <sheetName val="DG_39"/>
      <sheetName val="BOQ_(2)37"/>
      <sheetName val="Fee_Rate_Summary37"/>
      <sheetName val="Name_List37"/>
      <sheetName val="Detail_1A37"/>
      <sheetName val="Sheet_137"/>
      <sheetName val="3BPA00132-5-3_W_plan_HVPNL37"/>
      <sheetName val="Mix_Design37"/>
      <sheetName val="DLC_lookups37"/>
      <sheetName val="Driveway_Beams37"/>
      <sheetName val="TBAL9697__x005f_x000a_grotp_wise_37"/>
      <sheetName val="Quote_Sheet37"/>
      <sheetName val="d-safe_DELUXE37"/>
      <sheetName val="Works_-_Quote_Sheet37"/>
      <sheetName val="IO_LIST37"/>
      <sheetName val="TBAL9697__x005f_x000d_grotp_wis37"/>
      <sheetName val="Cat_A_Change_Control37"/>
      <sheetName val="Break_up_Sheet37"/>
      <sheetName val="Summary_of_P_&amp;_M37"/>
      <sheetName val="ISO_Reconcilation_Statment37"/>
      <sheetName val="AVG_pur_rate37"/>
      <sheetName val="Break_Dw37"/>
      <sheetName val="LIST_OF_MAKES37"/>
      <sheetName val="Assumption_Inputs37"/>
      <sheetName val="Civil_Works37"/>
      <sheetName val="Form_637"/>
      <sheetName val="acevsSp_(ABC)37"/>
      <sheetName val="A_O_R_37"/>
      <sheetName val="CORPN_O_x005f_x005f_x005f_x0000_T37"/>
      <sheetName val="220_11__BS_37"/>
      <sheetName val="FITZ_MORT_9437"/>
      <sheetName val="Intro_37"/>
      <sheetName val="BLOCK-A_(MEA_SHEET)37"/>
      <sheetName val="NLD_-_Assum37"/>
      <sheetName val="Section_Catalogue37"/>
      <sheetName val="TB9798OBPL06_(2)44"/>
      <sheetName val="CORPN_OCT44"/>
      <sheetName val="inout_consol-nov44"/>
      <sheetName val="inout_consol_(2)44"/>
      <sheetName val="AS_ON_DT_EXPS_Mar44"/>
      <sheetName val="fa-pl_&amp;_mach-site44"/>
      <sheetName val="fa_off_eqp44"/>
      <sheetName val="fa_fur&amp;_fix44"/>
      <sheetName val="fa-pl_&amp;_mach-Off44"/>
      <sheetName val="B_Equity-sdpl_INC44"/>
      <sheetName val="inout_consol_wkg44"/>
      <sheetName val="inout_consol_WKNG44"/>
      <sheetName val="B_Sheet_9744"/>
      <sheetName val="P&amp;L_97_44"/>
      <sheetName val="B_Sheet_97-BEXP44"/>
      <sheetName val="P&amp;L_97_-BEXP44"/>
      <sheetName val="consol_flows44"/>
      <sheetName val="sdpl_oth_Liab44"/>
      <sheetName val="obpl-oth_liab44"/>
      <sheetName val="G_land_advance44"/>
      <sheetName val="I-Wip-ot_(2)44"/>
      <sheetName val="detail_WIP_(2)44"/>
      <sheetName val="detail_G-144"/>
      <sheetName val="sobha_menon_ac44"/>
      <sheetName val="pnc_ac44"/>
      <sheetName val="fix_-p_&amp;_M_-SCC44"/>
      <sheetName val="C_fix_asst44"/>
      <sheetName val="D_fix_asst_scdl_44"/>
      <sheetName val="creditors_tb_obpl44"/>
      <sheetName val="TBAL9697_-group_wise__sdpl54"/>
      <sheetName val="TBAL9697_-group_wise_44"/>
      <sheetName val="crs_-G-144"/>
      <sheetName val="TBAL9697_-group_wise__onpl44"/>
      <sheetName val="B_Sheet_97-OBPL44"/>
      <sheetName val="B_Sheet_97_sdpl44"/>
      <sheetName val="TBAL9697_-group_wise__sdpl244"/>
      <sheetName val="inout_consol_jan44"/>
      <sheetName val="consol_flow44"/>
      <sheetName val="D_Loan__Prom44"/>
      <sheetName val="E_Bank_Loan44"/>
      <sheetName val="G_work_Cap44"/>
      <sheetName val="H_land_adv-dec44"/>
      <sheetName val="J_Con_WIP44"/>
      <sheetName val="detail_J44"/>
      <sheetName val="L_Oth_Co44"/>
      <sheetName val="K_fix_asst__44"/>
      <sheetName val="C_fix_asst-SDPL_44"/>
      <sheetName val="TBAL9697__group_wise__sdpl44"/>
      <sheetName val="inout_consol_okg44"/>
      <sheetName val="detail_OIP_(2)44"/>
      <sheetName val="D_fix_ysst_scdl_44"/>
      <sheetName val="cre`itors_tb_obpl44"/>
      <sheetName val="3AL9697_-group_wise__onpl44"/>
      <sheetName val="L_Oth_Bo43"/>
      <sheetName val="3‰AL9697_-group_wise__onpl43"/>
      <sheetName val="Civil_Boq43"/>
      <sheetName val="Staff_Acco_43"/>
      <sheetName val="SITE_OVERHEADS43"/>
      <sheetName val="PRECAST_lightconc-II41"/>
      <sheetName val="1__PayRec40"/>
      <sheetName val="Boq_Block_A43"/>
      <sheetName val="Cashflow_projection40"/>
      <sheetName val="Project-Material_43"/>
      <sheetName val="SPT_vs_PHI40"/>
      <sheetName val="key_dates40"/>
      <sheetName val="ino4t_conso,-nov40"/>
      <sheetName val="(nout_co,sol_(2)40"/>
      <sheetName val="Blr_hire40"/>
      <sheetName val="_bpl,oth_lia_40"/>
      <sheetName val="G_,and_adv_nce40"/>
      <sheetName val="I,Wip-ot__2)40"/>
      <sheetName val="det!il_WIP_(2)40"/>
      <sheetName val="de4ail_G-140"/>
      <sheetName val="sobha_mennn_ac40"/>
      <sheetName val="C_&amp;ix_asst40"/>
      <sheetName val="_x005f_x0003_dpl_oth_Lia`40"/>
      <sheetName val="TBAL9697__x005f_x000d_grotp_wise_40"/>
      <sheetName val="St_co_91_5lvl40"/>
      <sheetName val="3�AL9697_-group_wise__onpl43"/>
      <sheetName val="INPUT_SHEET40"/>
      <sheetName val="Stress_Calculation40"/>
      <sheetName val="Labor_abs-NMR40"/>
      <sheetName val="Sun_E_Type40"/>
      <sheetName val="CORPN_O?T40"/>
      <sheetName val="Fin_Sum40"/>
      <sheetName val="CORPN_O_x005f_x0000_T40"/>
      <sheetName val="TBAL9697__x000a_grotp_wise_40"/>
      <sheetName val="labour_coeff38"/>
      <sheetName val="Shuttering_Analysis38"/>
      <sheetName val="General_P+M38"/>
      <sheetName val="Curing_Analysis_38"/>
      <sheetName val="Concrete_P+M_(_RMC_)38"/>
      <sheetName val="P+M_(_SMC_)38"/>
      <sheetName val="P+M_-EW38"/>
      <sheetName val="P&amp;L_-_AD38"/>
      <sheetName val="SUPPLY_-Sanitary_Fixtures40"/>
      <sheetName val="ITEMS_FOR_CIVIL_TENDER40"/>
      <sheetName val="_x005f_x005f_x005f_x0003_dpl_oth_Lia`40"/>
      <sheetName val="TBAL9697__x005f_x005f_x005f_x000d_grotp_w40"/>
      <sheetName val="Fin__Assumpt__-_Sensitivities38"/>
      <sheetName val="LOAD_SHEET_38"/>
      <sheetName val="Fill_this_out_first___38"/>
      <sheetName val="Labour_productivity38"/>
      <sheetName val="RCC,Ret__Wall38"/>
      <sheetName val="CORPN_O40"/>
      <sheetName val="CORPN_O_T38"/>
      <sheetName val="Area_&amp;_Cate__Master38"/>
      <sheetName val="Bill_No_538"/>
      <sheetName val="11B_38"/>
      <sheetName val="Structure_Bills_Qty38"/>
      <sheetName val="DG_40"/>
      <sheetName val="BOQ_(2)38"/>
      <sheetName val="Fee_Rate_Summary38"/>
      <sheetName val="Name_List38"/>
      <sheetName val="Detail_1A38"/>
      <sheetName val="Sheet_138"/>
      <sheetName val="3BPA00132-5-3_W_plan_HVPNL38"/>
      <sheetName val="Mix_Design38"/>
      <sheetName val="DLC_lookups38"/>
      <sheetName val="Driveway_Beams38"/>
      <sheetName val="TBAL9697__x005f_x000a_grotp_wise_38"/>
      <sheetName val="Quote_Sheet38"/>
      <sheetName val="d-safe_DELUXE38"/>
      <sheetName val="Works_-_Quote_Sheet38"/>
      <sheetName val="IO_LIST38"/>
      <sheetName val="TBAL9697__x005f_x000d_grotp_wis38"/>
      <sheetName val="Cat_A_Change_Control38"/>
      <sheetName val="Break_up_Sheet38"/>
      <sheetName val="Summary_of_P_&amp;_M38"/>
      <sheetName val="ISO_Reconcilation_Statment38"/>
      <sheetName val="AVG_pur_rate38"/>
      <sheetName val="Break_Dw38"/>
      <sheetName val="LIST_OF_MAKES38"/>
      <sheetName val="Assumption_Inputs38"/>
      <sheetName val="Civil_Works38"/>
      <sheetName val="Form_638"/>
      <sheetName val="acevsSp_(ABC)38"/>
      <sheetName val="A_O_R_38"/>
      <sheetName val="CORPN_O_x005f_x005f_x005f_x0000_T38"/>
      <sheetName val="220_11__BS_38"/>
      <sheetName val="FITZ_MORT_9438"/>
      <sheetName val="Intro_38"/>
      <sheetName val="BLOCK-A_(MEA_SHEET)38"/>
      <sheetName val="NLD_-_Assum38"/>
      <sheetName val="Section_Catalogue38"/>
      <sheetName val="TB9798OBPL06_(2)46"/>
      <sheetName val="CORPN_OCT46"/>
      <sheetName val="inout_consol-nov46"/>
      <sheetName val="inout_consol_(2)46"/>
      <sheetName val="AS_ON_DT_EXPS_Mar46"/>
      <sheetName val="fa-pl_&amp;_mach-site46"/>
      <sheetName val="fa_off_eqp46"/>
      <sheetName val="fa_fur&amp;_fix46"/>
      <sheetName val="fa-pl_&amp;_mach-Off46"/>
      <sheetName val="B_Equity-sdpl_INC46"/>
      <sheetName val="inout_consol_wkg46"/>
      <sheetName val="inout_consol_WKNG46"/>
      <sheetName val="B_Sheet_9746"/>
      <sheetName val="P&amp;L_97_46"/>
      <sheetName val="B_Sheet_97-BEXP46"/>
      <sheetName val="P&amp;L_97_-BEXP46"/>
      <sheetName val="consol_flows46"/>
      <sheetName val="sdpl_oth_Liab46"/>
      <sheetName val="obpl-oth_liab46"/>
      <sheetName val="G_land_advance46"/>
      <sheetName val="I-Wip-ot_(2)46"/>
      <sheetName val="detail_WIP_(2)46"/>
      <sheetName val="detail_G-146"/>
      <sheetName val="sobha_menon_ac46"/>
      <sheetName val="pnc_ac46"/>
      <sheetName val="fix_-p_&amp;_M_-SCC46"/>
      <sheetName val="C_fix_asst46"/>
      <sheetName val="D_fix_asst_scdl_46"/>
      <sheetName val="creditors_tb_obpl46"/>
      <sheetName val="TBAL9697_-group_wise__sdpl56"/>
      <sheetName val="TBAL9697_-group_wise_46"/>
      <sheetName val="crs_-G-146"/>
      <sheetName val="TBAL9697_-group_wise__onpl46"/>
      <sheetName val="B_Sheet_97-OBPL46"/>
      <sheetName val="B_Sheet_97_sdpl46"/>
      <sheetName val="TBAL9697_-group_wise__sdpl246"/>
      <sheetName val="inout_consol_jan46"/>
      <sheetName val="consol_flow46"/>
      <sheetName val="D_Loan__Prom46"/>
      <sheetName val="E_Bank_Loan46"/>
      <sheetName val="G_work_Cap46"/>
      <sheetName val="H_land_adv-dec46"/>
      <sheetName val="J_Con_WIP46"/>
      <sheetName val="detail_J46"/>
      <sheetName val="L_Oth_Co46"/>
      <sheetName val="K_fix_asst__46"/>
      <sheetName val="C_fix_asst-SDPL_46"/>
      <sheetName val="TBAL9697__group_wise__sdpl46"/>
      <sheetName val="inout_consol_okg46"/>
      <sheetName val="detail_OIP_(2)46"/>
      <sheetName val="D_fix_ysst_scdl_46"/>
      <sheetName val="cre`itors_tb_obpl46"/>
      <sheetName val="3AL9697_-group_wise__onpl46"/>
      <sheetName val="L_Oth_Bo45"/>
      <sheetName val="3‰AL9697_-group_wise__onpl45"/>
      <sheetName val="Civil_Boq45"/>
      <sheetName val="Staff_Acco_45"/>
      <sheetName val="SITE_OVERHEADS45"/>
      <sheetName val="PRECAST_lightconc-II43"/>
      <sheetName val="1__PayRec42"/>
      <sheetName val="Boq_Block_A45"/>
      <sheetName val="Cashflow_projection42"/>
      <sheetName val="Project-Material_45"/>
      <sheetName val="SPT_vs_PHI42"/>
      <sheetName val="key_dates42"/>
      <sheetName val="ino4t_conso,-nov42"/>
      <sheetName val="(nout_co,sol_(2)42"/>
      <sheetName val="Blr_hire42"/>
      <sheetName val="_bpl,oth_lia_42"/>
      <sheetName val="G_,and_adv_nce42"/>
      <sheetName val="I,Wip-ot__2)42"/>
      <sheetName val="det!il_WIP_(2)42"/>
      <sheetName val="de4ail_G-142"/>
      <sheetName val="sobha_mennn_ac42"/>
      <sheetName val="C_&amp;ix_asst42"/>
      <sheetName val="_x005f_x0003_dpl_oth_Lia`42"/>
      <sheetName val="TBAL9697__x005f_x000d_grotp_wise_42"/>
      <sheetName val="St_co_91_5lvl42"/>
      <sheetName val="3�AL9697_-group_wise__onpl45"/>
      <sheetName val="INPUT_SHEET42"/>
      <sheetName val="Stress_Calculation42"/>
      <sheetName val="Labor_abs-NMR42"/>
      <sheetName val="Sun_E_Type42"/>
      <sheetName val="CORPN_O?T42"/>
      <sheetName val="Fin_Sum42"/>
      <sheetName val="CORPN_O_x005f_x0000_T42"/>
      <sheetName val="TBAL9697__x000a_grotp_wise_42"/>
      <sheetName val="labour_coeff40"/>
      <sheetName val="Shuttering_Analysis40"/>
      <sheetName val="General_P+M40"/>
      <sheetName val="Curing_Analysis_40"/>
      <sheetName val="Concrete_P+M_(_RMC_)40"/>
      <sheetName val="P+M_(_SMC_)40"/>
      <sheetName val="P+M_-EW40"/>
      <sheetName val="P&amp;L_-_AD40"/>
      <sheetName val="SUPPLY_-Sanitary_Fixtures42"/>
      <sheetName val="ITEMS_FOR_CIVIL_TENDER42"/>
      <sheetName val="_x005f_x005f_x005f_x0003_dpl_oth_Lia`42"/>
      <sheetName val="TBAL9697__x005f_x005f_x005f_x000d_grotp_w42"/>
      <sheetName val="Fin__Assumpt__-_Sensitivities40"/>
      <sheetName val="LOAD_SHEET_40"/>
      <sheetName val="Fill_this_out_first___40"/>
      <sheetName val="Labour_productivity40"/>
      <sheetName val="RCC,Ret__Wall40"/>
      <sheetName val="CORPN_O42"/>
      <sheetName val="CORPN_O_T40"/>
      <sheetName val="Area_&amp;_Cate__Master40"/>
      <sheetName val="Bill_No_540"/>
      <sheetName val="TBAL9697__grotp_wise_80"/>
      <sheetName val="11B_40"/>
      <sheetName val="Structure_Bills_Qty40"/>
      <sheetName val="DG_42"/>
      <sheetName val="BOQ_(2)40"/>
      <sheetName val="Fee_Rate_Summary40"/>
      <sheetName val="Name_List40"/>
      <sheetName val="Detail_1A40"/>
      <sheetName val="Sheet_140"/>
      <sheetName val="3BPA00132-5-3_W_plan_HVPNL40"/>
      <sheetName val="Mix_Design40"/>
      <sheetName val="DLC_lookups40"/>
      <sheetName val="Driveway_Beams40"/>
      <sheetName val="TBAL9697__x005f_x000a_grotp_wise_40"/>
      <sheetName val="Quote_Sheet40"/>
      <sheetName val="d-safe_DELUXE40"/>
      <sheetName val="Works_-_Quote_Sheet40"/>
      <sheetName val="IO_LIST40"/>
      <sheetName val="TBAL9697__x005f_x000d_grotp_wis40"/>
      <sheetName val="Cat_A_Change_Control40"/>
      <sheetName val="Break_up_Sheet40"/>
      <sheetName val="Summary_of_P_&amp;_M40"/>
      <sheetName val="ISO_Reconcilation_Statment40"/>
      <sheetName val="AVG_pur_rate40"/>
      <sheetName val="Break_Dw40"/>
      <sheetName val="LIST_OF_MAKES40"/>
      <sheetName val="Assumption_Inputs40"/>
      <sheetName val="Civil_Works40"/>
      <sheetName val="Form_640"/>
      <sheetName val="acevsSp_(ABC)40"/>
      <sheetName val="A_O_R_40"/>
      <sheetName val="CORPN_O_x005f_x005f_x005f_x0000_T40"/>
      <sheetName val="220_11__BS_40"/>
      <sheetName val="FITZ_MORT_9440"/>
      <sheetName val="Intro_40"/>
      <sheetName val="BLOCK-A_(MEA_SHEET)40"/>
      <sheetName val="NLD_-_Assum40"/>
      <sheetName val="Section_Catalogue40"/>
      <sheetName val="TB9798OBPL06_(2)45"/>
      <sheetName val="CORPN_OCT45"/>
      <sheetName val="inout_consol-nov45"/>
      <sheetName val="inout_consol_(2)45"/>
      <sheetName val="AS_ON_DT_EXPS_Mar45"/>
      <sheetName val="fa-pl_&amp;_mach-site45"/>
      <sheetName val="fa_off_eqp45"/>
      <sheetName val="fa_fur&amp;_fix45"/>
      <sheetName val="fa-pl_&amp;_mach-Off45"/>
      <sheetName val="B_Equity-sdpl_INC45"/>
      <sheetName val="inout_consol_wkg45"/>
      <sheetName val="inout_consol_WKNG45"/>
      <sheetName val="B_Sheet_9745"/>
      <sheetName val="P&amp;L_97_45"/>
      <sheetName val="B_Sheet_97-BEXP45"/>
      <sheetName val="P&amp;L_97_-BEXP45"/>
      <sheetName val="consol_flows45"/>
      <sheetName val="sdpl_oth_Liab45"/>
      <sheetName val="obpl-oth_liab45"/>
      <sheetName val="G_land_advance45"/>
      <sheetName val="I-Wip-ot_(2)45"/>
      <sheetName val="detail_WIP_(2)45"/>
      <sheetName val="detail_G-145"/>
      <sheetName val="sobha_menon_ac45"/>
      <sheetName val="pnc_ac45"/>
      <sheetName val="fix_-p_&amp;_M_-SCC45"/>
      <sheetName val="C_fix_asst45"/>
      <sheetName val="D_fix_asst_scdl_45"/>
      <sheetName val="creditors_tb_obpl45"/>
      <sheetName val="TBAL9697_-group_wise__sdpl55"/>
      <sheetName val="TBAL9697_-group_wise_45"/>
      <sheetName val="crs_-G-145"/>
      <sheetName val="TBAL9697_-group_wise__onpl45"/>
      <sheetName val="B_Sheet_97-OBPL45"/>
      <sheetName val="B_Sheet_97_sdpl45"/>
      <sheetName val="TBAL9697_-group_wise__sdpl245"/>
      <sheetName val="inout_consol_jan45"/>
      <sheetName val="consol_flow45"/>
      <sheetName val="D_Loan__Prom45"/>
      <sheetName val="E_Bank_Loan45"/>
      <sheetName val="G_work_Cap45"/>
      <sheetName val="H_land_adv-dec45"/>
      <sheetName val="J_Con_WIP45"/>
      <sheetName val="detail_J45"/>
      <sheetName val="L_Oth_Co45"/>
      <sheetName val="K_fix_asst__45"/>
      <sheetName val="C_fix_asst-SDPL_45"/>
      <sheetName val="TBAL9697__group_wise__sdpl45"/>
      <sheetName val="inout_consol_okg45"/>
      <sheetName val="detail_OIP_(2)45"/>
      <sheetName val="D_fix_ysst_scdl_45"/>
      <sheetName val="cre`itors_tb_obpl45"/>
      <sheetName val="3AL9697_-group_wise__onpl45"/>
      <sheetName val="L_Oth_Bo44"/>
      <sheetName val="3‰AL9697_-group_wise__onpl44"/>
      <sheetName val="Civil_Boq44"/>
      <sheetName val="Staff_Acco_44"/>
      <sheetName val="SITE_OVERHEADS44"/>
      <sheetName val="PRECAST_lightconc-II42"/>
      <sheetName val="1__PayRec41"/>
      <sheetName val="Boq_Block_A44"/>
      <sheetName val="Cashflow_projection41"/>
      <sheetName val="Project-Material_44"/>
      <sheetName val="SPT_vs_PHI41"/>
      <sheetName val="key_dates41"/>
      <sheetName val="ino4t_conso,-nov41"/>
      <sheetName val="(nout_co,sol_(2)41"/>
      <sheetName val="Blr_hire41"/>
      <sheetName val="_bpl,oth_lia_41"/>
      <sheetName val="G_,and_adv_nce41"/>
      <sheetName val="I,Wip-ot__2)41"/>
      <sheetName val="det!il_WIP_(2)41"/>
      <sheetName val="de4ail_G-141"/>
      <sheetName val="sobha_mennn_ac41"/>
      <sheetName val="C_&amp;ix_asst41"/>
      <sheetName val="_x005f_x0003_dpl_oth_Lia`41"/>
      <sheetName val="TBAL9697__x005f_x000d_grotp_wise_41"/>
      <sheetName val="St_co_91_5lvl41"/>
      <sheetName val="3�AL9697_-group_wise__onpl44"/>
      <sheetName val="INPUT_SHEET41"/>
      <sheetName val="Stress_Calculation41"/>
      <sheetName val="Labor_abs-NMR41"/>
      <sheetName val="Sun_E_Type41"/>
      <sheetName val="CORPN_O?T41"/>
      <sheetName val="Fin_Sum41"/>
      <sheetName val="CORPN_O_x005f_x0000_T41"/>
      <sheetName val="TBAL9697__x000a_grotp_wise_41"/>
      <sheetName val="labour_coeff39"/>
      <sheetName val="Shuttering_Analysis39"/>
      <sheetName val="General_P+M39"/>
      <sheetName val="Curing_Analysis_39"/>
      <sheetName val="Concrete_P+M_(_RMC_)39"/>
      <sheetName val="P+M_(_SMC_)39"/>
      <sheetName val="P+M_-EW39"/>
      <sheetName val="P&amp;L_-_AD39"/>
      <sheetName val="SUPPLY_-Sanitary_Fixtures41"/>
      <sheetName val="ITEMS_FOR_CIVIL_TENDER41"/>
      <sheetName val="_x005f_x005f_x005f_x0003_dpl_oth_Lia`41"/>
      <sheetName val="TBAL9697__x005f_x005f_x005f_x000d_grotp_w41"/>
      <sheetName val="Fin__Assumpt__-_Sensitivities39"/>
      <sheetName val="LOAD_SHEET_39"/>
      <sheetName val="Fill_this_out_first___39"/>
      <sheetName val="Labour_productivity39"/>
      <sheetName val="RCC,Ret__Wall39"/>
      <sheetName val="CORPN_O41"/>
      <sheetName val="CORPN_O_T39"/>
      <sheetName val="Area_&amp;_Cate__Master39"/>
      <sheetName val="Bill_No_539"/>
      <sheetName val="TBAL9697__grotp_wise_78"/>
      <sheetName val="11B_39"/>
      <sheetName val="Structure_Bills_Qty39"/>
      <sheetName val="DG_41"/>
      <sheetName val="BOQ_(2)39"/>
      <sheetName val="Fee_Rate_Summary39"/>
      <sheetName val="Name_List39"/>
      <sheetName val="Detail_1A39"/>
      <sheetName val="Sheet_139"/>
      <sheetName val="3BPA00132-5-3_W_plan_HVPNL39"/>
      <sheetName val="Mix_Design39"/>
      <sheetName val="DLC_lookups39"/>
      <sheetName val="Driveway_Beams39"/>
      <sheetName val="TBAL9697__x005f_x000a_grotp_wise_39"/>
      <sheetName val="Quote_Sheet39"/>
      <sheetName val="d-safe_DELUXE39"/>
      <sheetName val="Works_-_Quote_Sheet39"/>
      <sheetName val="IO_LIST39"/>
      <sheetName val="TBAL9697__x005f_x000d_grotp_wis39"/>
      <sheetName val="TBAL9697__grotp_wise_79"/>
      <sheetName val="Cat_A_Change_Control39"/>
      <sheetName val="Break_up_Sheet39"/>
      <sheetName val="Summary_of_P_&amp;_M39"/>
      <sheetName val="ISO_Reconcilation_Statment39"/>
      <sheetName val="AVG_pur_rate39"/>
      <sheetName val="Break_Dw39"/>
      <sheetName val="LIST_OF_MAKES39"/>
      <sheetName val="Assumption_Inputs39"/>
      <sheetName val="Civil_Works39"/>
      <sheetName val="Form_639"/>
      <sheetName val="acevsSp_(ABC)39"/>
      <sheetName val="A_O_R_39"/>
      <sheetName val="CORPN_O_x005f_x005f_x005f_x0000_T39"/>
      <sheetName val="220_11__BS_39"/>
      <sheetName val="FITZ_MORT_9439"/>
      <sheetName val="Intro_39"/>
      <sheetName val="BLOCK-A_(MEA_SHEET)39"/>
      <sheetName val="NLD_-_Assum39"/>
      <sheetName val="Section_Catalogue39"/>
      <sheetName val="TB9798OBPL06_(2)47"/>
      <sheetName val="CORPN_OCT47"/>
      <sheetName val="inout_consol-nov47"/>
      <sheetName val="inout_consol_(2)47"/>
      <sheetName val="AS_ON_DT_EXPS_Mar47"/>
      <sheetName val="fa-pl_&amp;_mach-site47"/>
      <sheetName val="fa_off_eqp47"/>
      <sheetName val="fa_fur&amp;_fix47"/>
      <sheetName val="fa-pl_&amp;_mach-Off47"/>
      <sheetName val="B_Equity-sdpl_INC47"/>
      <sheetName val="inout_consol_wkg47"/>
      <sheetName val="inout_consol_WKNG47"/>
      <sheetName val="B_Sheet_9747"/>
      <sheetName val="P&amp;L_97_47"/>
      <sheetName val="B_Sheet_97-BEXP47"/>
      <sheetName val="P&amp;L_97_-BEXP47"/>
      <sheetName val="consol_flows47"/>
      <sheetName val="sdpl_oth_Liab47"/>
      <sheetName val="obpl-oth_liab47"/>
      <sheetName val="G_land_advance47"/>
      <sheetName val="I-Wip-ot_(2)47"/>
      <sheetName val="detail_WIP_(2)47"/>
      <sheetName val="detail_G-147"/>
      <sheetName val="sobha_menon_ac47"/>
      <sheetName val="pnc_ac47"/>
      <sheetName val="fix_-p_&amp;_M_-SCC47"/>
      <sheetName val="C_fix_asst47"/>
      <sheetName val="D_fix_asst_scdl_47"/>
      <sheetName val="creditors_tb_obpl47"/>
      <sheetName val="TBAL9697_-group_wise__sdpl57"/>
      <sheetName val="TBAL9697_-group_wise_47"/>
      <sheetName val="crs_-G-147"/>
      <sheetName val="TBAL9697_-group_wise__onpl47"/>
      <sheetName val="B_Sheet_97-OBPL47"/>
      <sheetName val="B_Sheet_97_sdpl47"/>
      <sheetName val="TBAL9697_-group_wise__sdpl247"/>
      <sheetName val="inout_consol_jan47"/>
      <sheetName val="consol_flow47"/>
      <sheetName val="D_Loan__Prom47"/>
      <sheetName val="E_Bank_Loan47"/>
      <sheetName val="G_work_Cap47"/>
      <sheetName val="H_land_adv-dec47"/>
      <sheetName val="J_Con_WIP47"/>
      <sheetName val="detail_J47"/>
      <sheetName val="L_Oth_Co47"/>
      <sheetName val="K_fix_asst__47"/>
      <sheetName val="C_fix_asst-SDPL_47"/>
      <sheetName val="TBAL9697__group_wise__sdpl47"/>
      <sheetName val="inout_consol_okg47"/>
      <sheetName val="detail_OIP_(2)47"/>
      <sheetName val="D_fix_ysst_scdl_47"/>
      <sheetName val="cre`itors_tb_obpl47"/>
      <sheetName val="3AL9697_-group_wise__onpl47"/>
      <sheetName val="L_Oth_Bo46"/>
      <sheetName val="3‰AL9697_-group_wise__onpl46"/>
      <sheetName val="Civil_Boq46"/>
      <sheetName val="Staff_Acco_46"/>
      <sheetName val="SITE_OVERHEADS46"/>
      <sheetName val="PRECAST_lightconc-II44"/>
      <sheetName val="1__PayRec43"/>
      <sheetName val="Boq_Block_A46"/>
      <sheetName val="Cashflow_projection43"/>
      <sheetName val="Project-Material_46"/>
      <sheetName val="SPT_vs_PHI43"/>
      <sheetName val="key_dates43"/>
      <sheetName val="ino4t_conso,-nov43"/>
      <sheetName val="(nout_co,sol_(2)43"/>
      <sheetName val="Blr_hire43"/>
      <sheetName val="_bpl,oth_lia_43"/>
      <sheetName val="G_,and_adv_nce43"/>
      <sheetName val="I,Wip-ot__2)43"/>
      <sheetName val="det!il_WIP_(2)43"/>
      <sheetName val="de4ail_G-143"/>
      <sheetName val="sobha_mennn_ac43"/>
      <sheetName val="C_&amp;ix_asst43"/>
      <sheetName val="_x005f_x0003_dpl_oth_Lia`43"/>
      <sheetName val="TBAL9697__x005f_x000d_grotp_wise_43"/>
      <sheetName val="St_co_91_5lvl43"/>
      <sheetName val="3�AL9697_-group_wise__onpl46"/>
      <sheetName val="INPUT_SHEET43"/>
      <sheetName val="Stress_Calculation43"/>
      <sheetName val="Labor_abs-NMR43"/>
      <sheetName val="Sun_E_Type43"/>
      <sheetName val="CORPN_O?T43"/>
      <sheetName val="Fin_Sum43"/>
      <sheetName val="CORPN_O_x005f_x0000_T43"/>
      <sheetName val="TBAL9697__x000a_grotp_wise_43"/>
      <sheetName val="labour_coeff41"/>
      <sheetName val="Shuttering_Analysis41"/>
      <sheetName val="General_P+M41"/>
      <sheetName val="Curing_Analysis_41"/>
      <sheetName val="Concrete_P+M_(_RMC_)41"/>
      <sheetName val="P+M_(_SMC_)41"/>
      <sheetName val="P+M_-EW41"/>
      <sheetName val="P&amp;L_-_AD41"/>
      <sheetName val="SUPPLY_-Sanitary_Fixtures43"/>
      <sheetName val="ITEMS_FOR_CIVIL_TENDER43"/>
      <sheetName val="_x005f_x005f_x005f_x0003_dpl_oth_Lia`43"/>
      <sheetName val="TBAL9697__x005f_x005f_x005f_x000d_grotp_w43"/>
      <sheetName val="Fin__Assumpt__-_Sensitivities41"/>
      <sheetName val="LOAD_SHEET_41"/>
      <sheetName val="Fill_this_out_first___41"/>
      <sheetName val="Labour_productivity41"/>
      <sheetName val="RCC,Ret__Wall41"/>
      <sheetName val="CORPN_O43"/>
      <sheetName val="CORPN_O_T41"/>
      <sheetName val="Area_&amp;_Cate__Master41"/>
      <sheetName val="Bill_No_541"/>
      <sheetName val="11B_41"/>
      <sheetName val="Structure_Bills_Qty41"/>
      <sheetName val="DG_43"/>
      <sheetName val="BOQ_(2)41"/>
      <sheetName val="Fee_Rate_Summary41"/>
      <sheetName val="Name_List41"/>
      <sheetName val="Detail_1A41"/>
      <sheetName val="Sheet_141"/>
      <sheetName val="3BPA00132-5-3_W_plan_HVPNL41"/>
      <sheetName val="Mix_Design41"/>
      <sheetName val="DLC_lookups41"/>
      <sheetName val="Driveway_Beams41"/>
      <sheetName val="TBAL9697__x005f_x000a_grotp_wise_41"/>
      <sheetName val="Quote_Sheet41"/>
      <sheetName val="d-safe_DELUXE41"/>
      <sheetName val="Works_-_Quote_Sheet41"/>
      <sheetName val="IO_LIST41"/>
      <sheetName val="TBAL9697__x005f_x000d_grotp_wis41"/>
      <sheetName val="Cat_A_Change_Control41"/>
      <sheetName val="Break_up_Sheet41"/>
      <sheetName val="Summary_of_P_&amp;_M41"/>
      <sheetName val="ISO_Reconcilation_Statment41"/>
      <sheetName val="AVG_pur_rate41"/>
      <sheetName val="Break_Dw41"/>
      <sheetName val="LIST_OF_MAKES41"/>
      <sheetName val="Assumption_Inputs41"/>
      <sheetName val="Civil_Works41"/>
      <sheetName val="Form_641"/>
      <sheetName val="acevsSp_(ABC)41"/>
      <sheetName val="A_O_R_41"/>
      <sheetName val="CORPN_O_x005f_x005f_x005f_x0000_T41"/>
      <sheetName val="220_11__BS_41"/>
      <sheetName val="FITZ_MORT_9441"/>
      <sheetName val="Intro_41"/>
      <sheetName val="BLOCK-A_(MEA_SHEET)41"/>
      <sheetName val="NLD_-_Assum41"/>
      <sheetName val="Section_Catalogue41"/>
      <sheetName val="TB9798OBPL06_(2)49"/>
      <sheetName val="CORPN_OCT49"/>
      <sheetName val="inout_consol-nov49"/>
      <sheetName val="inout_consol_(2)49"/>
      <sheetName val="AS_ON_DT_EXPS_Mar49"/>
      <sheetName val="fa-pl_&amp;_mach-site49"/>
      <sheetName val="fa_off_eqp49"/>
      <sheetName val="fa_fur&amp;_fix49"/>
      <sheetName val="fa-pl_&amp;_mach-Off49"/>
      <sheetName val="B_Equity-sdpl_INC49"/>
      <sheetName val="inout_consol_wkg49"/>
      <sheetName val="inout_consol_WKNG49"/>
      <sheetName val="B_Sheet_9749"/>
      <sheetName val="P&amp;L_97_49"/>
      <sheetName val="B_Sheet_97-BEXP49"/>
      <sheetName val="P&amp;L_97_-BEXP49"/>
      <sheetName val="consol_flows49"/>
      <sheetName val="sdpl_oth_Liab49"/>
      <sheetName val="obpl-oth_liab49"/>
      <sheetName val="G_land_advance49"/>
      <sheetName val="I-Wip-ot_(2)49"/>
      <sheetName val="detail_WIP_(2)49"/>
      <sheetName val="detail_G-149"/>
      <sheetName val="sobha_menon_ac49"/>
      <sheetName val="pnc_ac49"/>
      <sheetName val="fix_-p_&amp;_M_-SCC49"/>
      <sheetName val="C_fix_asst49"/>
      <sheetName val="D_fix_asst_scdl_49"/>
      <sheetName val="creditors_tb_obpl49"/>
      <sheetName val="TBAL9697_-group_wise__sdpl59"/>
      <sheetName val="TBAL9697_-group_wise_49"/>
      <sheetName val="crs_-G-149"/>
      <sheetName val="TBAL9697_-group_wise__onpl49"/>
      <sheetName val="B_Sheet_97-OBPL49"/>
      <sheetName val="B_Sheet_97_sdpl49"/>
      <sheetName val="TBAL9697_-group_wise__sdpl249"/>
      <sheetName val="inout_consol_jan49"/>
      <sheetName val="consol_flow49"/>
      <sheetName val="D_Loan__Prom49"/>
      <sheetName val="E_Bank_Loan49"/>
      <sheetName val="G_work_Cap49"/>
      <sheetName val="H_land_adv-dec49"/>
      <sheetName val="J_Con_WIP49"/>
      <sheetName val="detail_J49"/>
      <sheetName val="L_Oth_Co49"/>
      <sheetName val="K_fix_asst__49"/>
      <sheetName val="C_fix_asst-SDPL_49"/>
      <sheetName val="TBAL9697__group_wise__sdpl49"/>
      <sheetName val="inout_consol_okg49"/>
      <sheetName val="detail_OIP_(2)49"/>
      <sheetName val="D_fix_ysst_scdl_49"/>
      <sheetName val="cre`itors_tb_obpl49"/>
      <sheetName val="3AL9697_-group_wise__onpl49"/>
      <sheetName val="L_Oth_Bo48"/>
      <sheetName val="3‰AL9697_-group_wise__onpl48"/>
      <sheetName val="Civil_Boq48"/>
      <sheetName val="Staff_Acco_48"/>
      <sheetName val="SITE_OVERHEADS48"/>
      <sheetName val="PRECAST_lightconc-II46"/>
      <sheetName val="1__PayRec45"/>
      <sheetName val="Boq_Block_A48"/>
      <sheetName val="Cashflow_projection45"/>
      <sheetName val="Project-Material_48"/>
      <sheetName val="SPT_vs_PHI45"/>
      <sheetName val="key_dates45"/>
      <sheetName val="ino4t_conso,-nov45"/>
      <sheetName val="(nout_co,sol_(2)45"/>
      <sheetName val="Blr_hire45"/>
      <sheetName val="_bpl,oth_lia_45"/>
      <sheetName val="G_,and_adv_nce45"/>
      <sheetName val="I,Wip-ot__2)45"/>
      <sheetName val="det!il_WIP_(2)45"/>
      <sheetName val="de4ail_G-145"/>
      <sheetName val="sobha_mennn_ac45"/>
      <sheetName val="C_&amp;ix_asst45"/>
      <sheetName val="_x005f_x0003_dpl_oth_Lia`45"/>
      <sheetName val="TBAL9697__x005f_x000d_grotp_wise_45"/>
      <sheetName val="St_co_91_5lvl45"/>
      <sheetName val="3�AL9697_-group_wise__onpl48"/>
      <sheetName val="INPUT_SHEET45"/>
      <sheetName val="Stress_Calculation45"/>
      <sheetName val="Labor_abs-NMR45"/>
      <sheetName val="Sun_E_Type45"/>
      <sheetName val="CORPN_O?T45"/>
      <sheetName val="Fin_Sum45"/>
      <sheetName val="CORPN_O_x005f_x0000_T45"/>
      <sheetName val="TBAL9697__x000a_grotp_wise_45"/>
      <sheetName val="labour_coeff43"/>
      <sheetName val="Shuttering_Analysis43"/>
      <sheetName val="General_P+M43"/>
      <sheetName val="Curing_Analysis_43"/>
      <sheetName val="Concrete_P+M_(_RMC_)43"/>
      <sheetName val="P+M_(_SMC_)43"/>
      <sheetName val="P+M_-EW43"/>
      <sheetName val="P&amp;L_-_AD43"/>
      <sheetName val="SUPPLY_-Sanitary_Fixtures45"/>
      <sheetName val="ITEMS_FOR_CIVIL_TENDER45"/>
      <sheetName val="_x005f_x005f_x005f_x0003_dpl_oth_Lia`45"/>
      <sheetName val="TBAL9697__x005f_x005f_x005f_x000d_grotp_w45"/>
      <sheetName val="Fin__Assumpt__-_Sensitivities43"/>
      <sheetName val="LOAD_SHEET_43"/>
      <sheetName val="Fill_this_out_first___43"/>
      <sheetName val="Labour_productivity43"/>
      <sheetName val="RCC,Ret__Wall43"/>
      <sheetName val="CORPN_O45"/>
      <sheetName val="CORPN_O_T43"/>
      <sheetName val="Area_&amp;_Cate__Master43"/>
      <sheetName val="Bill_No_543"/>
      <sheetName val="TBAL9697__grotp_wise_86"/>
      <sheetName val="11B_43"/>
      <sheetName val="Structure_Bills_Qty43"/>
      <sheetName val="DG_45"/>
      <sheetName val="BOQ_(2)43"/>
      <sheetName val="Fee_Rate_Summary43"/>
      <sheetName val="Name_List43"/>
      <sheetName val="Detail_1A43"/>
      <sheetName val="Sheet_143"/>
      <sheetName val="3BPA00132-5-3_W_plan_HVPNL43"/>
      <sheetName val="Mix_Design43"/>
      <sheetName val="DLC_lookups43"/>
      <sheetName val="Driveway_Beams43"/>
      <sheetName val="TBAL9697__x005f_x000a_grotp_wise_43"/>
      <sheetName val="Quote_Sheet43"/>
      <sheetName val="d-safe_DELUXE43"/>
      <sheetName val="Works_-_Quote_Sheet43"/>
      <sheetName val="IO_LIST43"/>
      <sheetName val="TBAL9697__x005f_x000d_grotp_wis43"/>
      <sheetName val="TBAL9697__grotp_wise_87"/>
      <sheetName val="Cat_A_Change_Control43"/>
      <sheetName val="Break_up_Sheet43"/>
      <sheetName val="Summary_of_P_&amp;_M43"/>
      <sheetName val="ISO_Reconcilation_Statment43"/>
      <sheetName val="AVG_pur_rate43"/>
      <sheetName val="Break_Dw43"/>
      <sheetName val="LIST_OF_MAKES43"/>
      <sheetName val="Assumption_Inputs43"/>
      <sheetName val="Civil_Works43"/>
      <sheetName val="Form_643"/>
      <sheetName val="acevsSp_(ABC)43"/>
      <sheetName val="A_O_R_43"/>
      <sheetName val="CORPN_O_x005f_x005f_x005f_x0000_T43"/>
      <sheetName val="220_11__BS_43"/>
      <sheetName val="FITZ_MORT_9443"/>
      <sheetName val="Intro_43"/>
      <sheetName val="BLOCK-A_(MEA_SHEET)43"/>
      <sheetName val="NLD_-_Assum43"/>
      <sheetName val="Section_Catalogue43"/>
      <sheetName val="TB9798OBPL06_(2)62"/>
      <sheetName val="CORPN_OCT62"/>
      <sheetName val="inout_consol-nov62"/>
      <sheetName val="inout_consol_(2)62"/>
      <sheetName val="AS_ON_DT_EXPS_Mar62"/>
      <sheetName val="fa-pl_&amp;_mach-site62"/>
      <sheetName val="fa_off_eqp62"/>
      <sheetName val="fa_fur&amp;_fix62"/>
      <sheetName val="fa-pl_&amp;_mach-Off62"/>
      <sheetName val="B_Equity-sdpl_INC62"/>
      <sheetName val="inout_consol_wkg62"/>
      <sheetName val="inout_consol_WKNG62"/>
      <sheetName val="B_Sheet_9762"/>
      <sheetName val="P&amp;L_97_62"/>
      <sheetName val="B_Sheet_97-BEXP62"/>
      <sheetName val="P&amp;L_97_-BEXP62"/>
      <sheetName val="consol_flows62"/>
      <sheetName val="sdpl_oth_Liab62"/>
      <sheetName val="obpl-oth_liab62"/>
      <sheetName val="G_land_advance62"/>
      <sheetName val="I-Wip-ot_(2)62"/>
      <sheetName val="detail_WIP_(2)62"/>
      <sheetName val="detail_G-162"/>
      <sheetName val="sobha_menon_ac62"/>
      <sheetName val="pnc_ac62"/>
      <sheetName val="fix_-p_&amp;_M_-SCC62"/>
      <sheetName val="C_fix_asst62"/>
      <sheetName val="D_fix_asst_scdl_62"/>
      <sheetName val="creditors_tb_obpl62"/>
      <sheetName val="TBAL9697_-group_wise__sdpl72"/>
      <sheetName val="TBAL9697_-group_wise_62"/>
      <sheetName val="crs_-G-162"/>
      <sheetName val="TBAL9697_-group_wise__onpl62"/>
      <sheetName val="B_Sheet_97-OBPL62"/>
      <sheetName val="B_Sheet_97_sdpl62"/>
      <sheetName val="TBAL9697_-group_wise__sdpl262"/>
      <sheetName val="inout_consol_jan62"/>
      <sheetName val="consol_flow62"/>
      <sheetName val="D_Loan__Prom62"/>
      <sheetName val="E_Bank_Loan62"/>
      <sheetName val="G_work_Cap62"/>
      <sheetName val="H_land_adv-dec62"/>
      <sheetName val="J_Con_WIP62"/>
      <sheetName val="detail_J62"/>
      <sheetName val="L_Oth_Co62"/>
      <sheetName val="K_fix_asst__62"/>
      <sheetName val="C_fix_asst-SDPL_62"/>
      <sheetName val="TBAL9697__group_wise__sdpl62"/>
      <sheetName val="inout_consol_okg62"/>
      <sheetName val="detail_OIP_(2)62"/>
      <sheetName val="D_fix_ysst_scdl_62"/>
      <sheetName val="cre`itors_tb_obpl62"/>
      <sheetName val="3AL9697_-group_wise__onpl62"/>
      <sheetName val="L_Oth_Bo61"/>
      <sheetName val="3‰AL9697_-group_wise__onpl61"/>
      <sheetName val="Civil_Boq61"/>
      <sheetName val="Staff_Acco_61"/>
      <sheetName val="SITE_OVERHEADS61"/>
      <sheetName val="PRECAST_lightconc-II59"/>
      <sheetName val="1__PayRec58"/>
      <sheetName val="Boq_Block_A61"/>
      <sheetName val="Cashflow_projection58"/>
      <sheetName val="Project-Material_61"/>
      <sheetName val="SPT_vs_PHI58"/>
      <sheetName val="key_dates58"/>
      <sheetName val="ino4t_conso,-nov58"/>
      <sheetName val="(nout_co,sol_(2)58"/>
      <sheetName val="Blr_hire58"/>
      <sheetName val="_bpl,oth_lia_58"/>
      <sheetName val="G_,and_adv_nce58"/>
      <sheetName val="I,Wip-ot__2)58"/>
      <sheetName val="det!il_WIP_(2)58"/>
      <sheetName val="de4ail_G-158"/>
      <sheetName val="sobha_mennn_ac58"/>
      <sheetName val="C_&amp;ix_asst58"/>
      <sheetName val="_x005f_x0003_dpl_oth_Lia`58"/>
      <sheetName val="TBAL9697__x005f_x000d_grotp_wise_58"/>
      <sheetName val="St_co_91_5lvl58"/>
      <sheetName val="3�AL9697_-group_wise__onpl61"/>
      <sheetName val="INPUT_SHEET58"/>
      <sheetName val="Stress_Calculation58"/>
      <sheetName val="Labor_abs-NMR58"/>
      <sheetName val="Sun_E_Type58"/>
      <sheetName val="CORPN_O?T58"/>
      <sheetName val="Fin_Sum58"/>
      <sheetName val="CORPN_O_x005f_x0000_T58"/>
      <sheetName val="TBAL9697__x000a_grotp_wise_58"/>
      <sheetName val="labour_coeff56"/>
      <sheetName val="Shuttering_Analysis56"/>
      <sheetName val="General_P+M56"/>
      <sheetName val="Curing_Analysis_56"/>
      <sheetName val="Concrete_P+M_(_RMC_)56"/>
      <sheetName val="P+M_(_SMC_)56"/>
      <sheetName val="P+M_-EW56"/>
      <sheetName val="P&amp;L_-_AD56"/>
      <sheetName val="SUPPLY_-Sanitary_Fixtures58"/>
      <sheetName val="ITEMS_FOR_CIVIL_TENDER58"/>
      <sheetName val="_x005f_x005f_x005f_x0003_dpl_oth_Lia`58"/>
      <sheetName val="TBAL9697__x005f_x005f_x005f_x000d_grotp_w58"/>
      <sheetName val="Fin__Assumpt__-_Sensitivities56"/>
      <sheetName val="LOAD_SHEET_56"/>
      <sheetName val="Fill_this_out_first___56"/>
      <sheetName val="Labour_productivity56"/>
      <sheetName val="RCC,Ret__Wall56"/>
      <sheetName val="CORPN_O58"/>
      <sheetName val="CORPN_O_T56"/>
      <sheetName val="Area_&amp;_Cate__Master56"/>
      <sheetName val="Bill_No_556"/>
      <sheetName val="11B_56"/>
      <sheetName val="Structure_Bills_Qty56"/>
      <sheetName val="DG_58"/>
      <sheetName val="BOQ_(2)56"/>
      <sheetName val="Fee_Rate_Summary56"/>
      <sheetName val="Name_List56"/>
      <sheetName val="Detail_1A56"/>
      <sheetName val="Sheet_156"/>
      <sheetName val="3BPA00132-5-3_W_plan_HVPNL56"/>
      <sheetName val="Mix_Design56"/>
      <sheetName val="DLC_lookups56"/>
      <sheetName val="Driveway_Beams56"/>
      <sheetName val="TBAL9697__x005f_x000a_grotp_wise_56"/>
      <sheetName val="Quote_Sheet56"/>
      <sheetName val="d-safe_DELUXE56"/>
      <sheetName val="Works_-_Quote_Sheet56"/>
      <sheetName val="IO_LIST56"/>
      <sheetName val="TBAL9697__x005f_x000d_grotp_wis56"/>
      <sheetName val="Cat_A_Change_Control56"/>
      <sheetName val="Break_up_Sheet56"/>
      <sheetName val="Summary_of_P_&amp;_M56"/>
      <sheetName val="ISO_Reconcilation_Statment56"/>
      <sheetName val="AVG_pur_rate56"/>
      <sheetName val="Break_Dw56"/>
      <sheetName val="LIST_OF_MAKES56"/>
      <sheetName val="Assumption_Inputs56"/>
      <sheetName val="Civil_Works56"/>
      <sheetName val="Form_656"/>
      <sheetName val="acevsSp_(ABC)56"/>
      <sheetName val="A_O_R_56"/>
      <sheetName val="CORPN_O_x005f_x005f_x005f_x0000_T56"/>
      <sheetName val="220_11__BS_56"/>
      <sheetName val="FITZ_MORT_9456"/>
      <sheetName val="Intro_56"/>
      <sheetName val="BLOCK-A_(MEA_SHEET)56"/>
      <sheetName val="NLD_-_Assum56"/>
      <sheetName val="Section_Catalogue56"/>
      <sheetName val="TB9798OBPL06_(2)50"/>
      <sheetName val="CORPN_OCT50"/>
      <sheetName val="inout_consol-nov50"/>
      <sheetName val="inout_consol_(2)50"/>
      <sheetName val="AS_ON_DT_EXPS_Mar50"/>
      <sheetName val="fa-pl_&amp;_mach-site50"/>
      <sheetName val="fa_off_eqp50"/>
      <sheetName val="fa_fur&amp;_fix50"/>
      <sheetName val="fa-pl_&amp;_mach-Off50"/>
      <sheetName val="B_Equity-sdpl_INC50"/>
      <sheetName val="inout_consol_wkg50"/>
      <sheetName val="inout_consol_WKNG50"/>
      <sheetName val="B_Sheet_9750"/>
      <sheetName val="P&amp;L_97_50"/>
      <sheetName val="B_Sheet_97-BEXP50"/>
      <sheetName val="P&amp;L_97_-BEXP50"/>
      <sheetName val="consol_flows50"/>
      <sheetName val="sdpl_oth_Liab50"/>
      <sheetName val="obpl-oth_liab50"/>
      <sheetName val="G_land_advance50"/>
      <sheetName val="I-Wip-ot_(2)50"/>
      <sheetName val="detail_WIP_(2)50"/>
      <sheetName val="detail_G-150"/>
      <sheetName val="sobha_menon_ac50"/>
      <sheetName val="pnc_ac50"/>
      <sheetName val="fix_-p_&amp;_M_-SCC50"/>
      <sheetName val="C_fix_asst50"/>
      <sheetName val="D_fix_asst_scdl_50"/>
      <sheetName val="creditors_tb_obpl50"/>
      <sheetName val="TBAL9697_-group_wise__sdpl60"/>
      <sheetName val="TBAL9697_-group_wise_50"/>
      <sheetName val="crs_-G-150"/>
      <sheetName val="TBAL9697_-group_wise__onpl50"/>
      <sheetName val="B_Sheet_97-OBPL50"/>
      <sheetName val="B_Sheet_97_sdpl50"/>
      <sheetName val="TBAL9697_-group_wise__sdpl250"/>
      <sheetName val="inout_consol_jan50"/>
      <sheetName val="consol_flow50"/>
      <sheetName val="D_Loan__Prom50"/>
      <sheetName val="E_Bank_Loan50"/>
      <sheetName val="G_work_Cap50"/>
      <sheetName val="H_land_adv-dec50"/>
      <sheetName val="J_Con_WIP50"/>
      <sheetName val="detail_J50"/>
      <sheetName val="L_Oth_Co50"/>
      <sheetName val="K_fix_asst__50"/>
      <sheetName val="C_fix_asst-SDPL_50"/>
      <sheetName val="TBAL9697__group_wise__sdpl50"/>
      <sheetName val="inout_consol_okg50"/>
      <sheetName val="detail_OIP_(2)50"/>
      <sheetName val="D_fix_ysst_scdl_50"/>
      <sheetName val="cre`itors_tb_obpl50"/>
      <sheetName val="3AL9697_-group_wise__onpl50"/>
      <sheetName val="L_Oth_Bo49"/>
      <sheetName val="3‰AL9697_-group_wise__onpl49"/>
      <sheetName val="Civil_Boq49"/>
      <sheetName val="Staff_Acco_49"/>
      <sheetName val="SITE_OVERHEADS49"/>
      <sheetName val="PRECAST_lightconc-II47"/>
      <sheetName val="1__PayRec46"/>
      <sheetName val="Boq_Block_A49"/>
      <sheetName val="Cashflow_projection46"/>
      <sheetName val="Project-Material_49"/>
      <sheetName val="SPT_vs_PHI46"/>
      <sheetName val="key_dates46"/>
      <sheetName val="ino4t_conso,-nov46"/>
      <sheetName val="(nout_co,sol_(2)46"/>
      <sheetName val="Blr_hire46"/>
      <sheetName val="_bpl,oth_lia_46"/>
      <sheetName val="G_,and_adv_nce46"/>
      <sheetName val="I,Wip-ot__2)46"/>
      <sheetName val="det!il_WIP_(2)46"/>
      <sheetName val="de4ail_G-146"/>
      <sheetName val="sobha_mennn_ac46"/>
      <sheetName val="C_&amp;ix_asst46"/>
      <sheetName val="_x005f_x0003_dpl_oth_Lia`46"/>
      <sheetName val="TBAL9697__x005f_x000d_grotp_wise_46"/>
      <sheetName val="St_co_91_5lvl46"/>
      <sheetName val="3�AL9697_-group_wise__onpl49"/>
      <sheetName val="INPUT_SHEET46"/>
      <sheetName val="Stress_Calculation46"/>
      <sheetName val="Labor_abs-NMR46"/>
      <sheetName val="Sun_E_Type46"/>
      <sheetName val="CORPN_O?T46"/>
      <sheetName val="Fin_Sum46"/>
      <sheetName val="CORPN_O_x005f_x0000_T46"/>
      <sheetName val="TBAL9697__x000a_grotp_wise_46"/>
      <sheetName val="labour_coeff44"/>
      <sheetName val="Shuttering_Analysis44"/>
      <sheetName val="General_P+M44"/>
      <sheetName val="Curing_Analysis_44"/>
      <sheetName val="Concrete_P+M_(_RMC_)44"/>
      <sheetName val="P+M_(_SMC_)44"/>
      <sheetName val="P+M_-EW44"/>
      <sheetName val="P&amp;L_-_AD44"/>
      <sheetName val="SUPPLY_-Sanitary_Fixtures46"/>
      <sheetName val="ITEMS_FOR_CIVIL_TENDER46"/>
      <sheetName val="_x005f_x005f_x005f_x0003_dpl_oth_Lia`46"/>
      <sheetName val="TBAL9697__x005f_x005f_x005f_x000d_grotp_w46"/>
      <sheetName val="Fin__Assumpt__-_Sensitivities44"/>
      <sheetName val="LOAD_SHEET_44"/>
      <sheetName val="Fill_this_out_first___44"/>
      <sheetName val="Labour_productivity44"/>
      <sheetName val="RCC,Ret__Wall44"/>
      <sheetName val="CORPN_O46"/>
      <sheetName val="CORPN_O_T44"/>
      <sheetName val="Area_&amp;_Cate__Master44"/>
      <sheetName val="Bill_No_544"/>
      <sheetName val="TBAL9697__grotp_wise_88"/>
      <sheetName val="11B_44"/>
      <sheetName val="Structure_Bills_Qty44"/>
      <sheetName val="DG_46"/>
      <sheetName val="BOQ_(2)44"/>
      <sheetName val="Fee_Rate_Summary44"/>
      <sheetName val="Name_List44"/>
      <sheetName val="Detail_1A44"/>
      <sheetName val="Sheet_144"/>
      <sheetName val="3BPA00132-5-3_W_plan_HVPNL44"/>
      <sheetName val="Mix_Design44"/>
      <sheetName val="DLC_lookups44"/>
      <sheetName val="Driveway_Beams44"/>
      <sheetName val="TBAL9697__x005f_x000a_grotp_wise_44"/>
      <sheetName val="Quote_Sheet44"/>
      <sheetName val="d-safe_DELUXE44"/>
      <sheetName val="Works_-_Quote_Sheet44"/>
      <sheetName val="IO_LIST44"/>
      <sheetName val="TBAL9697__x005f_x000d_grotp_wis44"/>
      <sheetName val="TBAL9697__grotp_wise_89"/>
      <sheetName val="Cat_A_Change_Control44"/>
      <sheetName val="Break_up_Sheet44"/>
      <sheetName val="Summary_of_P_&amp;_M44"/>
      <sheetName val="ISO_Reconcilation_Statment44"/>
      <sheetName val="AVG_pur_rate44"/>
      <sheetName val="Break_Dw44"/>
      <sheetName val="LIST_OF_MAKES44"/>
      <sheetName val="Assumption_Inputs44"/>
      <sheetName val="Civil_Works44"/>
      <sheetName val="Form_644"/>
      <sheetName val="acevsSp_(ABC)44"/>
      <sheetName val="A_O_R_44"/>
      <sheetName val="CORPN_O_x005f_x005f_x005f_x0000_T44"/>
      <sheetName val="220_11__BS_44"/>
      <sheetName val="FITZ_MORT_9444"/>
      <sheetName val="Intro_44"/>
      <sheetName val="BLOCK-A_(MEA_SHEET)44"/>
      <sheetName val="NLD_-_Assum44"/>
      <sheetName val="Section_Catalogue44"/>
      <sheetName val="TB9798OBPL06_(2)51"/>
      <sheetName val="CORPN_OCT51"/>
      <sheetName val="inout_consol-nov51"/>
      <sheetName val="inout_consol_(2)51"/>
      <sheetName val="AS_ON_DT_EXPS_Mar51"/>
      <sheetName val="fa-pl_&amp;_mach-site51"/>
      <sheetName val="fa_off_eqp51"/>
      <sheetName val="fa_fur&amp;_fix51"/>
      <sheetName val="fa-pl_&amp;_mach-Off51"/>
      <sheetName val="B_Equity-sdpl_INC51"/>
      <sheetName val="inout_consol_wkg51"/>
      <sheetName val="inout_consol_WKNG51"/>
      <sheetName val="B_Sheet_9751"/>
      <sheetName val="P&amp;L_97_51"/>
      <sheetName val="B_Sheet_97-BEXP51"/>
      <sheetName val="P&amp;L_97_-BEXP51"/>
      <sheetName val="consol_flows51"/>
      <sheetName val="sdpl_oth_Liab51"/>
      <sheetName val="obpl-oth_liab51"/>
      <sheetName val="G_land_advance51"/>
      <sheetName val="I-Wip-ot_(2)51"/>
      <sheetName val="detail_WIP_(2)51"/>
      <sheetName val="detail_G-151"/>
      <sheetName val="sobha_menon_ac51"/>
      <sheetName val="pnc_ac51"/>
      <sheetName val="fix_-p_&amp;_M_-SCC51"/>
      <sheetName val="C_fix_asst51"/>
      <sheetName val="D_fix_asst_scdl_51"/>
      <sheetName val="creditors_tb_obpl51"/>
      <sheetName val="TBAL9697_-group_wise__sdpl61"/>
      <sheetName val="TBAL9697_-group_wise_51"/>
      <sheetName val="crs_-G-151"/>
      <sheetName val="TBAL9697_-group_wise__onpl51"/>
      <sheetName val="B_Sheet_97-OBPL51"/>
      <sheetName val="B_Sheet_97_sdpl51"/>
      <sheetName val="TBAL9697_-group_wise__sdpl251"/>
      <sheetName val="inout_consol_jan51"/>
      <sheetName val="consol_flow51"/>
      <sheetName val="D_Loan__Prom51"/>
      <sheetName val="E_Bank_Loan51"/>
      <sheetName val="G_work_Cap51"/>
      <sheetName val="H_land_adv-dec51"/>
      <sheetName val="J_Con_WIP51"/>
      <sheetName val="detail_J51"/>
      <sheetName val="L_Oth_Co51"/>
      <sheetName val="K_fix_asst__51"/>
      <sheetName val="C_fix_asst-SDPL_51"/>
      <sheetName val="TBAL9697__group_wise__sdpl51"/>
      <sheetName val="inout_consol_okg51"/>
      <sheetName val="detail_OIP_(2)51"/>
      <sheetName val="D_fix_ysst_scdl_51"/>
      <sheetName val="cre`itors_tb_obpl51"/>
      <sheetName val="3AL9697_-group_wise__onpl51"/>
      <sheetName val="L_Oth_Bo50"/>
      <sheetName val="3‰AL9697_-group_wise__onpl50"/>
      <sheetName val="Civil_Boq50"/>
      <sheetName val="Staff_Acco_50"/>
      <sheetName val="SITE_OVERHEADS50"/>
      <sheetName val="PRECAST_lightconc-II48"/>
      <sheetName val="1__PayRec47"/>
      <sheetName val="Boq_Block_A50"/>
      <sheetName val="Cashflow_projection47"/>
      <sheetName val="Project-Material_50"/>
      <sheetName val="SPT_vs_PHI47"/>
      <sheetName val="key_dates47"/>
      <sheetName val="ino4t_conso,-nov47"/>
      <sheetName val="(nout_co,sol_(2)47"/>
      <sheetName val="Blr_hire47"/>
      <sheetName val="_bpl,oth_lia_47"/>
      <sheetName val="G_,and_adv_nce47"/>
      <sheetName val="I,Wip-ot__2)47"/>
      <sheetName val="det!il_WIP_(2)47"/>
      <sheetName val="de4ail_G-147"/>
      <sheetName val="sobha_mennn_ac47"/>
      <sheetName val="C_&amp;ix_asst47"/>
      <sheetName val="_x005f_x0003_dpl_oth_Lia`47"/>
      <sheetName val="TBAL9697__x005f_x000d_grotp_wise_47"/>
      <sheetName val="St_co_91_5lvl47"/>
      <sheetName val="3�AL9697_-group_wise__onpl50"/>
      <sheetName val="INPUT_SHEET47"/>
      <sheetName val="Stress_Calculation47"/>
      <sheetName val="Labor_abs-NMR47"/>
      <sheetName val="Sun_E_Type47"/>
      <sheetName val="CORPN_O?T47"/>
      <sheetName val="Fin_Sum47"/>
      <sheetName val="CORPN_O_x005f_x0000_T47"/>
      <sheetName val="TBAL9697__x000a_grotp_wise_47"/>
      <sheetName val="labour_coeff45"/>
      <sheetName val="Shuttering_Analysis45"/>
      <sheetName val="General_P+M45"/>
      <sheetName val="Curing_Analysis_45"/>
      <sheetName val="Concrete_P+M_(_RMC_)45"/>
      <sheetName val="P+M_(_SMC_)45"/>
      <sheetName val="P+M_-EW45"/>
      <sheetName val="P&amp;L_-_AD45"/>
      <sheetName val="SUPPLY_-Sanitary_Fixtures47"/>
      <sheetName val="ITEMS_FOR_CIVIL_TENDER47"/>
      <sheetName val="_x005f_x005f_x005f_x0003_dpl_oth_Lia`47"/>
      <sheetName val="TBAL9697__x005f_x005f_x005f_x000d_grotp_w47"/>
      <sheetName val="Fin__Assumpt__-_Sensitivities45"/>
      <sheetName val="LOAD_SHEET_45"/>
      <sheetName val="Fill_this_out_first___45"/>
      <sheetName val="Labour_productivity45"/>
      <sheetName val="RCC,Ret__Wall45"/>
      <sheetName val="CORPN_O47"/>
      <sheetName val="CORPN_O_T45"/>
      <sheetName val="Area_&amp;_Cate__Master45"/>
      <sheetName val="Bill_No_545"/>
      <sheetName val="TBAL9697__grotp_wise_90"/>
      <sheetName val="11B_45"/>
      <sheetName val="Structure_Bills_Qty45"/>
      <sheetName val="DG_47"/>
      <sheetName val="BOQ_(2)45"/>
      <sheetName val="Fee_Rate_Summary45"/>
      <sheetName val="Name_List45"/>
      <sheetName val="Detail_1A45"/>
      <sheetName val="Sheet_145"/>
      <sheetName val="3BPA00132-5-3_W_plan_HVPNL45"/>
      <sheetName val="Mix_Design45"/>
      <sheetName val="DLC_lookups45"/>
      <sheetName val="Driveway_Beams45"/>
      <sheetName val="TBAL9697__x005f_x000a_grotp_wise_45"/>
      <sheetName val="Quote_Sheet45"/>
      <sheetName val="d-safe_DELUXE45"/>
      <sheetName val="Works_-_Quote_Sheet45"/>
      <sheetName val="IO_LIST45"/>
      <sheetName val="TBAL9697__x005f_x000d_grotp_wis45"/>
      <sheetName val="Cat_A_Change_Control45"/>
      <sheetName val="Break_up_Sheet45"/>
      <sheetName val="Summary_of_P_&amp;_M45"/>
      <sheetName val="ISO_Reconcilation_Statment45"/>
      <sheetName val="AVG_pur_rate45"/>
      <sheetName val="Break_Dw45"/>
      <sheetName val="LIST_OF_MAKES45"/>
      <sheetName val="Assumption_Inputs45"/>
      <sheetName val="Civil_Works45"/>
      <sheetName val="Form_645"/>
      <sheetName val="acevsSp_(ABC)45"/>
      <sheetName val="A_O_R_45"/>
      <sheetName val="CORPN_O_x005f_x005f_x005f_x0000_T45"/>
      <sheetName val="220_11__BS_45"/>
      <sheetName val="FITZ_MORT_9445"/>
      <sheetName val="Intro_45"/>
      <sheetName val="BLOCK-A_(MEA_SHEET)45"/>
      <sheetName val="NLD_-_Assum45"/>
      <sheetName val="Section_Catalogue45"/>
      <sheetName val="TB9798OBPL06_(2)54"/>
      <sheetName val="CORPN_OCT54"/>
      <sheetName val="inout_consol-nov54"/>
      <sheetName val="inout_consol_(2)54"/>
      <sheetName val="AS_ON_DT_EXPS_Mar54"/>
      <sheetName val="fa-pl_&amp;_mach-site54"/>
      <sheetName val="fa_off_eqp54"/>
      <sheetName val="fa_fur&amp;_fix54"/>
      <sheetName val="fa-pl_&amp;_mach-Off54"/>
      <sheetName val="B_Equity-sdpl_INC54"/>
      <sheetName val="inout_consol_wkg54"/>
      <sheetName val="inout_consol_WKNG54"/>
      <sheetName val="B_Sheet_9754"/>
      <sheetName val="P&amp;L_97_54"/>
      <sheetName val="B_Sheet_97-BEXP54"/>
      <sheetName val="P&amp;L_97_-BEXP54"/>
      <sheetName val="consol_flows54"/>
      <sheetName val="sdpl_oth_Liab54"/>
      <sheetName val="obpl-oth_liab54"/>
      <sheetName val="G_land_advance54"/>
      <sheetName val="I-Wip-ot_(2)54"/>
      <sheetName val="detail_WIP_(2)54"/>
      <sheetName val="detail_G-154"/>
      <sheetName val="sobha_menon_ac54"/>
      <sheetName val="pnc_ac54"/>
      <sheetName val="fix_-p_&amp;_M_-SCC54"/>
      <sheetName val="C_fix_asst54"/>
      <sheetName val="D_fix_asst_scdl_54"/>
      <sheetName val="creditors_tb_obpl54"/>
      <sheetName val="TBAL9697_-group_wise__sdpl64"/>
      <sheetName val="TBAL9697_-group_wise_54"/>
      <sheetName val="crs_-G-154"/>
      <sheetName val="TBAL9697_-group_wise__onpl54"/>
      <sheetName val="B_Sheet_97-OBPL54"/>
      <sheetName val="B_Sheet_97_sdpl54"/>
      <sheetName val="TBAL9697_-group_wise__sdpl254"/>
      <sheetName val="inout_consol_jan54"/>
      <sheetName val="consol_flow54"/>
      <sheetName val="D_Loan__Prom54"/>
      <sheetName val="E_Bank_Loan54"/>
      <sheetName val="G_work_Cap54"/>
      <sheetName val="H_land_adv-dec54"/>
      <sheetName val="J_Con_WIP54"/>
      <sheetName val="detail_J54"/>
      <sheetName val="L_Oth_Co54"/>
      <sheetName val="K_fix_asst__54"/>
      <sheetName val="C_fix_asst-SDPL_54"/>
      <sheetName val="TBAL9697__group_wise__sdpl54"/>
      <sheetName val="inout_consol_okg54"/>
      <sheetName val="detail_OIP_(2)54"/>
      <sheetName val="D_fix_ysst_scdl_54"/>
      <sheetName val="cre`itors_tb_obpl54"/>
      <sheetName val="3AL9697_-group_wise__onpl54"/>
      <sheetName val="L_Oth_Bo53"/>
      <sheetName val="3‰AL9697_-group_wise__onpl53"/>
      <sheetName val="Civil_Boq53"/>
      <sheetName val="Staff_Acco_53"/>
      <sheetName val="SITE_OVERHEADS53"/>
      <sheetName val="PRECAST_lightconc-II51"/>
      <sheetName val="1__PayRec50"/>
      <sheetName val="Boq_Block_A53"/>
      <sheetName val="Cashflow_projection50"/>
      <sheetName val="Project-Material_53"/>
      <sheetName val="SPT_vs_PHI50"/>
      <sheetName val="key_dates50"/>
      <sheetName val="ino4t_conso,-nov50"/>
      <sheetName val="(nout_co,sol_(2)50"/>
      <sheetName val="Blr_hire50"/>
      <sheetName val="_bpl,oth_lia_50"/>
      <sheetName val="G_,and_adv_nce50"/>
      <sheetName val="I,Wip-ot__2)50"/>
      <sheetName val="det!il_WIP_(2)50"/>
      <sheetName val="de4ail_G-150"/>
      <sheetName val="sobha_mennn_ac50"/>
      <sheetName val="C_&amp;ix_asst50"/>
      <sheetName val="_x005f_x0003_dpl_oth_Lia`50"/>
      <sheetName val="TBAL9697__x005f_x000d_grotp_wise_50"/>
      <sheetName val="St_co_91_5lvl50"/>
      <sheetName val="3�AL9697_-group_wise__onpl53"/>
      <sheetName val="INPUT_SHEET50"/>
      <sheetName val="Stress_Calculation50"/>
      <sheetName val="Labor_abs-NMR50"/>
      <sheetName val="Sun_E_Type50"/>
      <sheetName val="CORPN_O?T50"/>
      <sheetName val="Fin_Sum50"/>
      <sheetName val="CORPN_O_x005f_x0000_T50"/>
      <sheetName val="TBAL9697__x000a_grotp_wise_50"/>
      <sheetName val="labour_coeff48"/>
      <sheetName val="Shuttering_Analysis48"/>
      <sheetName val="General_P+M48"/>
      <sheetName val="Curing_Analysis_48"/>
      <sheetName val="Concrete_P+M_(_RMC_)48"/>
      <sheetName val="P+M_(_SMC_)48"/>
      <sheetName val="P+M_-EW48"/>
      <sheetName val="P&amp;L_-_AD48"/>
      <sheetName val="SUPPLY_-Sanitary_Fixtures50"/>
      <sheetName val="ITEMS_FOR_CIVIL_TENDER50"/>
      <sheetName val="_x005f_x005f_x005f_x0003_dpl_oth_Lia`50"/>
      <sheetName val="TBAL9697__x005f_x005f_x005f_x000d_grotp_w50"/>
      <sheetName val="Fin__Assumpt__-_Sensitivities48"/>
      <sheetName val="LOAD_SHEET_48"/>
      <sheetName val="Fill_this_out_first___48"/>
      <sheetName val="Labour_productivity48"/>
      <sheetName val="RCC,Ret__Wall48"/>
      <sheetName val="CORPN_O50"/>
      <sheetName val="CORPN_O_T48"/>
      <sheetName val="Area_&amp;_Cate__Master48"/>
      <sheetName val="Bill_No_548"/>
      <sheetName val="TBAL9697__grotp_wise_96"/>
      <sheetName val="11B_48"/>
      <sheetName val="Structure_Bills_Qty48"/>
      <sheetName val="DG_50"/>
      <sheetName val="BOQ_(2)48"/>
      <sheetName val="Fee_Rate_Summary48"/>
      <sheetName val="Name_List48"/>
      <sheetName val="Detail_1A48"/>
      <sheetName val="Sheet_148"/>
      <sheetName val="3BPA00132-5-3_W_plan_HVPNL48"/>
      <sheetName val="Mix_Design48"/>
      <sheetName val="DLC_lookups48"/>
      <sheetName val="Driveway_Beams48"/>
      <sheetName val="TBAL9697__x005f_x000a_grotp_wise_48"/>
      <sheetName val="Quote_Sheet48"/>
      <sheetName val="d-safe_DELUXE48"/>
      <sheetName val="Works_-_Quote_Sheet48"/>
      <sheetName val="IO_LIST48"/>
      <sheetName val="TBAL9697__x005f_x000d_grotp_wis48"/>
      <sheetName val="TBAL9697__grotp_wise_97"/>
      <sheetName val="Cat_A_Change_Control48"/>
      <sheetName val="Break_up_Sheet48"/>
      <sheetName val="Summary_of_P_&amp;_M48"/>
      <sheetName val="ISO_Reconcilation_Statment48"/>
      <sheetName val="AVG_pur_rate48"/>
      <sheetName val="Break_Dw48"/>
      <sheetName val="LIST_OF_MAKES48"/>
      <sheetName val="Assumption_Inputs48"/>
      <sheetName val="Civil_Works48"/>
      <sheetName val="Form_648"/>
      <sheetName val="acevsSp_(ABC)48"/>
      <sheetName val="A_O_R_48"/>
      <sheetName val="CORPN_O_x005f_x005f_x005f_x0000_T48"/>
      <sheetName val="220_11__BS_48"/>
      <sheetName val="FITZ_MORT_9448"/>
      <sheetName val="Intro_48"/>
      <sheetName val="BLOCK-A_(MEA_SHEET)48"/>
      <sheetName val="NLD_-_Assum48"/>
      <sheetName val="Section_Catalogue48"/>
      <sheetName val="TB9798OBPL06_(2)52"/>
      <sheetName val="CORPN_OCT52"/>
      <sheetName val="inout_consol-nov52"/>
      <sheetName val="inout_consol_(2)52"/>
      <sheetName val="AS_ON_DT_EXPS_Mar52"/>
      <sheetName val="fa-pl_&amp;_mach-site52"/>
      <sheetName val="fa_off_eqp52"/>
      <sheetName val="fa_fur&amp;_fix52"/>
      <sheetName val="fa-pl_&amp;_mach-Off52"/>
      <sheetName val="B_Equity-sdpl_INC52"/>
      <sheetName val="inout_consol_wkg52"/>
      <sheetName val="inout_consol_WKNG52"/>
      <sheetName val="B_Sheet_9752"/>
      <sheetName val="P&amp;L_97_52"/>
      <sheetName val="B_Sheet_97-BEXP52"/>
      <sheetName val="P&amp;L_97_-BEXP52"/>
      <sheetName val="consol_flows52"/>
      <sheetName val="sdpl_oth_Liab52"/>
      <sheetName val="obpl-oth_liab52"/>
      <sheetName val="G_land_advance52"/>
      <sheetName val="I-Wip-ot_(2)52"/>
      <sheetName val="detail_WIP_(2)52"/>
      <sheetName val="detail_G-152"/>
      <sheetName val="sobha_menon_ac52"/>
      <sheetName val="pnc_ac52"/>
      <sheetName val="fix_-p_&amp;_M_-SCC52"/>
      <sheetName val="C_fix_asst52"/>
      <sheetName val="D_fix_asst_scdl_52"/>
      <sheetName val="creditors_tb_obpl52"/>
      <sheetName val="TBAL9697_-group_wise__sdpl62"/>
      <sheetName val="TBAL9697_-group_wise_52"/>
      <sheetName val="crs_-G-152"/>
      <sheetName val="TBAL9697_-group_wise__onpl52"/>
      <sheetName val="B_Sheet_97-OBPL52"/>
      <sheetName val="B_Sheet_97_sdpl52"/>
      <sheetName val="TBAL9697_-group_wise__sdpl252"/>
      <sheetName val="inout_consol_jan52"/>
      <sheetName val="consol_flow52"/>
      <sheetName val="D_Loan__Prom52"/>
      <sheetName val="E_Bank_Loan52"/>
      <sheetName val="G_work_Cap52"/>
      <sheetName val="H_land_adv-dec52"/>
      <sheetName val="J_Con_WIP52"/>
      <sheetName val="detail_J52"/>
      <sheetName val="L_Oth_Co52"/>
      <sheetName val="K_fix_asst__52"/>
      <sheetName val="C_fix_asst-SDPL_52"/>
      <sheetName val="TBAL9697__group_wise__sdpl52"/>
      <sheetName val="inout_consol_okg52"/>
      <sheetName val="detail_OIP_(2)52"/>
      <sheetName val="D_fix_ysst_scdl_52"/>
      <sheetName val="cre`itors_tb_obpl52"/>
      <sheetName val="3AL9697_-group_wise__onpl52"/>
      <sheetName val="L_Oth_Bo51"/>
      <sheetName val="3‰AL9697_-group_wise__onpl51"/>
      <sheetName val="Civil_Boq51"/>
      <sheetName val="Staff_Acco_51"/>
      <sheetName val="SITE_OVERHEADS51"/>
      <sheetName val="PRECAST_lightconc-II49"/>
      <sheetName val="1__PayRec48"/>
      <sheetName val="Boq_Block_A51"/>
      <sheetName val="Cashflow_projection48"/>
      <sheetName val="Project-Material_51"/>
      <sheetName val="SPT_vs_PHI48"/>
      <sheetName val="key_dates48"/>
      <sheetName val="ino4t_conso,-nov48"/>
      <sheetName val="(nout_co,sol_(2)48"/>
      <sheetName val="Blr_hire48"/>
      <sheetName val="_bpl,oth_lia_48"/>
      <sheetName val="G_,and_adv_nce48"/>
      <sheetName val="I,Wip-ot__2)48"/>
      <sheetName val="det!il_WIP_(2)48"/>
      <sheetName val="de4ail_G-148"/>
      <sheetName val="sobha_mennn_ac48"/>
      <sheetName val="C_&amp;ix_asst48"/>
      <sheetName val="_x005f_x0003_dpl_oth_Lia`48"/>
      <sheetName val="TBAL9697__x005f_x000d_grotp_wise_48"/>
      <sheetName val="St_co_91_5lvl48"/>
      <sheetName val="3�AL9697_-group_wise__onpl51"/>
      <sheetName val="INPUT_SHEET48"/>
      <sheetName val="Stress_Calculation48"/>
      <sheetName val="Labor_abs-NMR48"/>
      <sheetName val="Sun_E_Type48"/>
      <sheetName val="CORPN_O?T48"/>
      <sheetName val="Fin_Sum48"/>
      <sheetName val="CORPN_O_x005f_x0000_T48"/>
      <sheetName val="TBAL9697__x000a_grotp_wise_48"/>
      <sheetName val="labour_coeff46"/>
      <sheetName val="Shuttering_Analysis46"/>
      <sheetName val="General_P+M46"/>
      <sheetName val="Curing_Analysis_46"/>
      <sheetName val="Concrete_P+M_(_RMC_)46"/>
      <sheetName val="P+M_(_SMC_)46"/>
      <sheetName val="P+M_-EW46"/>
      <sheetName val="P&amp;L_-_AD46"/>
      <sheetName val="SUPPLY_-Sanitary_Fixtures48"/>
      <sheetName val="ITEMS_FOR_CIVIL_TENDER48"/>
      <sheetName val="_x005f_x005f_x005f_x0003_dpl_oth_Lia`48"/>
      <sheetName val="TBAL9697__x005f_x005f_x005f_x000d_grotp_w48"/>
      <sheetName val="Fin__Assumpt__-_Sensitivities46"/>
      <sheetName val="LOAD_SHEET_46"/>
      <sheetName val="Fill_this_out_first___46"/>
      <sheetName val="Labour_productivity46"/>
      <sheetName val="RCC,Ret__Wall46"/>
      <sheetName val="CORPN_O48"/>
      <sheetName val="CORPN_O_T46"/>
      <sheetName val="Area_&amp;_Cate__Master46"/>
      <sheetName val="Bill_No_546"/>
      <sheetName val="11B_46"/>
      <sheetName val="Structure_Bills_Qty46"/>
      <sheetName val="DG_48"/>
      <sheetName val="BOQ_(2)46"/>
      <sheetName val="Fee_Rate_Summary46"/>
      <sheetName val="Name_List46"/>
      <sheetName val="Detail_1A46"/>
      <sheetName val="Sheet_146"/>
      <sheetName val="3BPA00132-5-3_W_plan_HVPNL46"/>
      <sheetName val="Mix_Design46"/>
      <sheetName val="DLC_lookups46"/>
      <sheetName val="Driveway_Beams46"/>
      <sheetName val="TBAL9697__x005f_x000a_grotp_wise_46"/>
      <sheetName val="Quote_Sheet46"/>
      <sheetName val="d-safe_DELUXE46"/>
      <sheetName val="Works_-_Quote_Sheet46"/>
      <sheetName val="IO_LIST46"/>
      <sheetName val="TBAL9697__x005f_x000d_grotp_wis46"/>
      <sheetName val="Cat_A_Change_Control46"/>
      <sheetName val="Break_up_Sheet46"/>
      <sheetName val="Summary_of_P_&amp;_M46"/>
      <sheetName val="ISO_Reconcilation_Statment46"/>
      <sheetName val="AVG_pur_rate46"/>
      <sheetName val="Break_Dw46"/>
      <sheetName val="LIST_OF_MAKES46"/>
      <sheetName val="Assumption_Inputs46"/>
      <sheetName val="Civil_Works46"/>
      <sheetName val="Form_646"/>
      <sheetName val="acevsSp_(ABC)46"/>
      <sheetName val="A_O_R_46"/>
      <sheetName val="CORPN_O_x005f_x005f_x005f_x0000_T46"/>
      <sheetName val="220_11__BS_46"/>
      <sheetName val="FITZ_MORT_9446"/>
      <sheetName val="Intro_46"/>
      <sheetName val="BLOCK-A_(MEA_SHEET)46"/>
      <sheetName val="NLD_-_Assum46"/>
      <sheetName val="Section_Catalogue46"/>
      <sheetName val="TB9798OBPL06_(2)53"/>
      <sheetName val="CORPN_OCT53"/>
      <sheetName val="inout_consol-nov53"/>
      <sheetName val="inout_consol_(2)53"/>
      <sheetName val="AS_ON_DT_EXPS_Mar53"/>
      <sheetName val="fa-pl_&amp;_mach-site53"/>
      <sheetName val="fa_off_eqp53"/>
      <sheetName val="fa_fur&amp;_fix53"/>
      <sheetName val="fa-pl_&amp;_mach-Off53"/>
      <sheetName val="B_Equity-sdpl_INC53"/>
      <sheetName val="inout_consol_wkg53"/>
      <sheetName val="inout_consol_WKNG53"/>
      <sheetName val="B_Sheet_9753"/>
      <sheetName val="P&amp;L_97_53"/>
      <sheetName val="B_Sheet_97-BEXP53"/>
      <sheetName val="P&amp;L_97_-BEXP53"/>
      <sheetName val="consol_flows53"/>
      <sheetName val="sdpl_oth_Liab53"/>
      <sheetName val="obpl-oth_liab53"/>
      <sheetName val="G_land_advance53"/>
      <sheetName val="I-Wip-ot_(2)53"/>
      <sheetName val="detail_WIP_(2)53"/>
      <sheetName val="detail_G-153"/>
      <sheetName val="sobha_menon_ac53"/>
      <sheetName val="pnc_ac53"/>
      <sheetName val="fix_-p_&amp;_M_-SCC53"/>
      <sheetName val="C_fix_asst53"/>
      <sheetName val="D_fix_asst_scdl_53"/>
      <sheetName val="creditors_tb_obpl53"/>
      <sheetName val="TBAL9697_-group_wise__sdpl63"/>
      <sheetName val="TBAL9697_-group_wise_53"/>
      <sheetName val="crs_-G-153"/>
      <sheetName val="TBAL9697_-group_wise__onpl53"/>
      <sheetName val="B_Sheet_97-OBPL53"/>
      <sheetName val="B_Sheet_97_sdpl53"/>
      <sheetName val="TBAL9697_-group_wise__sdpl253"/>
      <sheetName val="inout_consol_jan53"/>
      <sheetName val="consol_flow53"/>
      <sheetName val="D_Loan__Prom53"/>
      <sheetName val="E_Bank_Loan53"/>
      <sheetName val="G_work_Cap53"/>
      <sheetName val="H_land_adv-dec53"/>
      <sheetName val="J_Con_WIP53"/>
      <sheetName val="detail_J53"/>
      <sheetName val="L_Oth_Co53"/>
      <sheetName val="K_fix_asst__53"/>
      <sheetName val="C_fix_asst-SDPL_53"/>
      <sheetName val="TBAL9697__group_wise__sdpl53"/>
      <sheetName val="inout_consol_okg53"/>
      <sheetName val="detail_OIP_(2)53"/>
      <sheetName val="D_fix_ysst_scdl_53"/>
      <sheetName val="cre`itors_tb_obpl53"/>
      <sheetName val="3AL9697_-group_wise__onpl53"/>
      <sheetName val="L_Oth_Bo52"/>
      <sheetName val="3‰AL9697_-group_wise__onpl52"/>
      <sheetName val="Civil_Boq52"/>
      <sheetName val="Staff_Acco_52"/>
      <sheetName val="SITE_OVERHEADS52"/>
      <sheetName val="PRECAST_lightconc-II50"/>
      <sheetName val="1__PayRec49"/>
      <sheetName val="Boq_Block_A52"/>
      <sheetName val="Cashflow_projection49"/>
      <sheetName val="Project-Material_52"/>
      <sheetName val="SPT_vs_PHI49"/>
      <sheetName val="key_dates49"/>
      <sheetName val="ino4t_conso,-nov49"/>
      <sheetName val="(nout_co,sol_(2)49"/>
      <sheetName val="Blr_hire49"/>
      <sheetName val="_bpl,oth_lia_49"/>
      <sheetName val="G_,and_adv_nce49"/>
      <sheetName val="I,Wip-ot__2)49"/>
      <sheetName val="det!il_WIP_(2)49"/>
      <sheetName val="de4ail_G-149"/>
      <sheetName val="sobha_mennn_ac49"/>
      <sheetName val="C_&amp;ix_asst49"/>
      <sheetName val="_x005f_x0003_dpl_oth_Lia`49"/>
      <sheetName val="TBAL9697__x005f_x000d_grotp_wise_49"/>
      <sheetName val="St_co_91_5lvl49"/>
      <sheetName val="3�AL9697_-group_wise__onpl52"/>
      <sheetName val="INPUT_SHEET49"/>
      <sheetName val="Stress_Calculation49"/>
      <sheetName val="Labor_abs-NMR49"/>
      <sheetName val="Sun_E_Type49"/>
      <sheetName val="CORPN_O?T49"/>
      <sheetName val="Fin_Sum49"/>
      <sheetName val="CORPN_O_x005f_x0000_T49"/>
      <sheetName val="TBAL9697__x000a_grotp_wise_49"/>
      <sheetName val="labour_coeff47"/>
      <sheetName val="Shuttering_Analysis47"/>
      <sheetName val="General_P+M47"/>
      <sheetName val="Curing_Analysis_47"/>
      <sheetName val="Concrete_P+M_(_RMC_)47"/>
      <sheetName val="P+M_(_SMC_)47"/>
      <sheetName val="P+M_-EW47"/>
      <sheetName val="P&amp;L_-_AD47"/>
      <sheetName val="SUPPLY_-Sanitary_Fixtures49"/>
      <sheetName val="ITEMS_FOR_CIVIL_TENDER49"/>
      <sheetName val="_x005f_x005f_x005f_x0003_dpl_oth_Lia`49"/>
      <sheetName val="TBAL9697__x005f_x005f_x005f_x000d_grotp_w49"/>
      <sheetName val="Fin__Assumpt__-_Sensitivities47"/>
      <sheetName val="LOAD_SHEET_47"/>
      <sheetName val="Fill_this_out_first___47"/>
      <sheetName val="Labour_productivity47"/>
      <sheetName val="RCC,Ret__Wall47"/>
      <sheetName val="CORPN_O49"/>
      <sheetName val="CORPN_O_T47"/>
      <sheetName val="Area_&amp;_Cate__Master47"/>
      <sheetName val="Bill_No_547"/>
      <sheetName val="11B_47"/>
      <sheetName val="Structure_Bills_Qty47"/>
      <sheetName val="DG_49"/>
      <sheetName val="BOQ_(2)47"/>
      <sheetName val="Fee_Rate_Summary47"/>
      <sheetName val="Name_List47"/>
      <sheetName val="Detail_1A47"/>
      <sheetName val="Sheet_147"/>
      <sheetName val="3BPA00132-5-3_W_plan_HVPNL47"/>
      <sheetName val="Mix_Design47"/>
      <sheetName val="DLC_lookups47"/>
      <sheetName val="Driveway_Beams47"/>
      <sheetName val="TBAL9697__x005f_x000a_grotp_wise_47"/>
      <sheetName val="Quote_Sheet47"/>
      <sheetName val="d-safe_DELUXE47"/>
      <sheetName val="Works_-_Quote_Sheet47"/>
      <sheetName val="IO_LIST47"/>
      <sheetName val="TBAL9697__x005f_x000d_grotp_wis47"/>
      <sheetName val="Cat_A_Change_Control47"/>
      <sheetName val="Break_up_Sheet47"/>
      <sheetName val="Summary_of_P_&amp;_M47"/>
      <sheetName val="ISO_Reconcilation_Statment47"/>
      <sheetName val="AVG_pur_rate47"/>
      <sheetName val="Break_Dw47"/>
      <sheetName val="LIST_OF_MAKES47"/>
      <sheetName val="Assumption_Inputs47"/>
      <sheetName val="Civil_Works47"/>
      <sheetName val="Form_647"/>
      <sheetName val="acevsSp_(ABC)47"/>
      <sheetName val="A_O_R_47"/>
      <sheetName val="CORPN_O_x005f_x005f_x005f_x0000_T47"/>
      <sheetName val="220_11__BS_47"/>
      <sheetName val="FITZ_MORT_9447"/>
      <sheetName val="Intro_47"/>
      <sheetName val="BLOCK-A_(MEA_SHEET)47"/>
      <sheetName val="NLD_-_Assum47"/>
      <sheetName val="Section_Catalogue47"/>
      <sheetName val="TB9798OBPL06_(2)55"/>
      <sheetName val="CORPN_OCT55"/>
      <sheetName val="inout_consol-nov55"/>
      <sheetName val="inout_consol_(2)55"/>
      <sheetName val="AS_ON_DT_EXPS_Mar55"/>
      <sheetName val="fa-pl_&amp;_mach-site55"/>
      <sheetName val="fa_off_eqp55"/>
      <sheetName val="fa_fur&amp;_fix55"/>
      <sheetName val="fa-pl_&amp;_mach-Off55"/>
      <sheetName val="B_Equity-sdpl_INC55"/>
      <sheetName val="inout_consol_wkg55"/>
      <sheetName val="inout_consol_WKNG55"/>
      <sheetName val="B_Sheet_9755"/>
      <sheetName val="P&amp;L_97_55"/>
      <sheetName val="B_Sheet_97-BEXP55"/>
      <sheetName val="P&amp;L_97_-BEXP55"/>
      <sheetName val="consol_flows55"/>
      <sheetName val="sdpl_oth_Liab55"/>
      <sheetName val="obpl-oth_liab55"/>
      <sheetName val="G_land_advance55"/>
      <sheetName val="I-Wip-ot_(2)55"/>
      <sheetName val="detail_WIP_(2)55"/>
      <sheetName val="detail_G-155"/>
      <sheetName val="sobha_menon_ac55"/>
      <sheetName val="pnc_ac55"/>
      <sheetName val="fix_-p_&amp;_M_-SCC55"/>
      <sheetName val="C_fix_asst55"/>
      <sheetName val="D_fix_asst_scdl_55"/>
      <sheetName val="creditors_tb_obpl55"/>
      <sheetName val="TBAL9697_-group_wise__sdpl65"/>
      <sheetName val="TBAL9697_-group_wise_55"/>
      <sheetName val="crs_-G-155"/>
      <sheetName val="TBAL9697_-group_wise__onpl55"/>
      <sheetName val="B_Sheet_97-OBPL55"/>
      <sheetName val="B_Sheet_97_sdpl55"/>
      <sheetName val="TBAL9697_-group_wise__sdpl255"/>
      <sheetName val="inout_consol_jan55"/>
      <sheetName val="consol_flow55"/>
      <sheetName val="D_Loan__Prom55"/>
      <sheetName val="E_Bank_Loan55"/>
      <sheetName val="G_work_Cap55"/>
      <sheetName val="H_land_adv-dec55"/>
      <sheetName val="J_Con_WIP55"/>
      <sheetName val="detail_J55"/>
      <sheetName val="L_Oth_Co55"/>
      <sheetName val="K_fix_asst__55"/>
      <sheetName val="C_fix_asst-SDPL_55"/>
      <sheetName val="TBAL9697__group_wise__sdpl55"/>
      <sheetName val="inout_consol_okg55"/>
      <sheetName val="detail_OIP_(2)55"/>
      <sheetName val="D_fix_ysst_scdl_55"/>
      <sheetName val="cre`itors_tb_obpl55"/>
      <sheetName val="3AL9697_-group_wise__onpl55"/>
      <sheetName val="L_Oth_Bo54"/>
      <sheetName val="3‰AL9697_-group_wise__onpl54"/>
      <sheetName val="Civil_Boq54"/>
      <sheetName val="Staff_Acco_54"/>
      <sheetName val="SITE_OVERHEADS54"/>
      <sheetName val="PRECAST_lightconc-II52"/>
      <sheetName val="1__PayRec51"/>
      <sheetName val="Boq_Block_A54"/>
      <sheetName val="Cashflow_projection51"/>
      <sheetName val="Project-Material_54"/>
      <sheetName val="SPT_vs_PHI51"/>
      <sheetName val="key_dates51"/>
      <sheetName val="ino4t_conso,-nov51"/>
      <sheetName val="(nout_co,sol_(2)51"/>
      <sheetName val="Blr_hire51"/>
      <sheetName val="_bpl,oth_lia_51"/>
      <sheetName val="G_,and_adv_nce51"/>
      <sheetName val="I,Wip-ot__2)51"/>
      <sheetName val="det!il_WIP_(2)51"/>
      <sheetName val="de4ail_G-151"/>
      <sheetName val="sobha_mennn_ac51"/>
      <sheetName val="C_&amp;ix_asst51"/>
      <sheetName val="_x005f_x0003_dpl_oth_Lia`51"/>
      <sheetName val="TBAL9697__x005f_x000d_grotp_wise_51"/>
      <sheetName val="St_co_91_5lvl51"/>
      <sheetName val="3�AL9697_-group_wise__onpl54"/>
      <sheetName val="INPUT_SHEET51"/>
      <sheetName val="Stress_Calculation51"/>
      <sheetName val="Labor_abs-NMR51"/>
      <sheetName val="Sun_E_Type51"/>
      <sheetName val="CORPN_O?T51"/>
      <sheetName val="Fin_Sum51"/>
      <sheetName val="CORPN_O_x005f_x0000_T51"/>
      <sheetName val="TBAL9697__x000a_grotp_wise_51"/>
      <sheetName val="labour_coeff49"/>
      <sheetName val="Shuttering_Analysis49"/>
      <sheetName val="General_P+M49"/>
      <sheetName val="Curing_Analysis_49"/>
      <sheetName val="Concrete_P+M_(_RMC_)49"/>
      <sheetName val="P+M_(_SMC_)49"/>
      <sheetName val="P+M_-EW49"/>
      <sheetName val="P&amp;L_-_AD49"/>
      <sheetName val="SUPPLY_-Sanitary_Fixtures51"/>
      <sheetName val="ITEMS_FOR_CIVIL_TENDER51"/>
      <sheetName val="_x005f_x005f_x005f_x0003_dpl_oth_Lia`51"/>
      <sheetName val="TBAL9697__x005f_x005f_x005f_x000d_grotp_w51"/>
      <sheetName val="Fin__Assumpt__-_Sensitivities49"/>
      <sheetName val="LOAD_SHEET_49"/>
      <sheetName val="Fill_this_out_first___49"/>
      <sheetName val="Labour_productivity49"/>
      <sheetName val="RCC,Ret__Wall49"/>
      <sheetName val="CORPN_O51"/>
      <sheetName val="CORPN_O_T49"/>
      <sheetName val="Area_&amp;_Cate__Master49"/>
      <sheetName val="Bill_No_549"/>
      <sheetName val="TBAL9697__grotp_wise_98"/>
      <sheetName val="11B_49"/>
      <sheetName val="Structure_Bills_Qty49"/>
      <sheetName val="DG_51"/>
      <sheetName val="BOQ_(2)49"/>
      <sheetName val="Fee_Rate_Summary49"/>
      <sheetName val="Name_List49"/>
      <sheetName val="Detail_1A49"/>
      <sheetName val="Sheet_149"/>
      <sheetName val="3BPA00132-5-3_W_plan_HVPNL49"/>
      <sheetName val="Mix_Design49"/>
      <sheetName val="DLC_lookups49"/>
      <sheetName val="Driveway_Beams49"/>
      <sheetName val="TBAL9697__x005f_x000a_grotp_wise_49"/>
      <sheetName val="Quote_Sheet49"/>
      <sheetName val="d-safe_DELUXE49"/>
      <sheetName val="Works_-_Quote_Sheet49"/>
      <sheetName val="IO_LIST49"/>
      <sheetName val="TBAL9697__x005f_x000d_grotp_wis49"/>
      <sheetName val="TBAL9697__grotp_wise_99"/>
      <sheetName val="Cat_A_Change_Control49"/>
      <sheetName val="Break_up_Sheet49"/>
      <sheetName val="Summary_of_P_&amp;_M49"/>
      <sheetName val="ISO_Reconcilation_Statment49"/>
      <sheetName val="AVG_pur_rate49"/>
      <sheetName val="Break_Dw49"/>
      <sheetName val="LIST_OF_MAKES49"/>
      <sheetName val="Assumption_Inputs49"/>
      <sheetName val="Civil_Works49"/>
      <sheetName val="Form_649"/>
      <sheetName val="acevsSp_(ABC)49"/>
      <sheetName val="A_O_R_49"/>
      <sheetName val="CORPN_O_x005f_x005f_x005f_x0000_T49"/>
      <sheetName val="220_11__BS_49"/>
      <sheetName val="FITZ_MORT_9449"/>
      <sheetName val="Intro_49"/>
      <sheetName val="BLOCK-A_(MEA_SHEET)49"/>
      <sheetName val="NLD_-_Assum49"/>
      <sheetName val="Section_Catalogue49"/>
      <sheetName val="TB9798OBPL06_(2)56"/>
      <sheetName val="CORPN_OCT56"/>
      <sheetName val="inout_consol-nov56"/>
      <sheetName val="inout_consol_(2)56"/>
      <sheetName val="AS_ON_DT_EXPS_Mar56"/>
      <sheetName val="fa-pl_&amp;_mach-site56"/>
      <sheetName val="fa_off_eqp56"/>
      <sheetName val="fa_fur&amp;_fix56"/>
      <sheetName val="fa-pl_&amp;_mach-Off56"/>
      <sheetName val="B_Equity-sdpl_INC56"/>
      <sheetName val="inout_consol_wkg56"/>
      <sheetName val="inout_consol_WKNG56"/>
      <sheetName val="B_Sheet_9756"/>
      <sheetName val="P&amp;L_97_56"/>
      <sheetName val="B_Sheet_97-BEXP56"/>
      <sheetName val="P&amp;L_97_-BEXP56"/>
      <sheetName val="consol_flows56"/>
      <sheetName val="sdpl_oth_Liab56"/>
      <sheetName val="obpl-oth_liab56"/>
      <sheetName val="G_land_advance56"/>
      <sheetName val="I-Wip-ot_(2)56"/>
      <sheetName val="detail_WIP_(2)56"/>
      <sheetName val="detail_G-156"/>
      <sheetName val="sobha_menon_ac56"/>
      <sheetName val="pnc_ac56"/>
      <sheetName val="fix_-p_&amp;_M_-SCC56"/>
      <sheetName val="C_fix_asst56"/>
      <sheetName val="D_fix_asst_scdl_56"/>
      <sheetName val="creditors_tb_obpl56"/>
      <sheetName val="TBAL9697_-group_wise__sdpl66"/>
      <sheetName val="TBAL9697_-group_wise_56"/>
      <sheetName val="crs_-G-156"/>
      <sheetName val="TBAL9697_-group_wise__onpl56"/>
      <sheetName val="B_Sheet_97-OBPL56"/>
      <sheetName val="B_Sheet_97_sdpl56"/>
      <sheetName val="TBAL9697_-group_wise__sdpl256"/>
      <sheetName val="inout_consol_jan56"/>
      <sheetName val="consol_flow56"/>
      <sheetName val="D_Loan__Prom56"/>
      <sheetName val="E_Bank_Loan56"/>
      <sheetName val="G_work_Cap56"/>
      <sheetName val="H_land_adv-dec56"/>
      <sheetName val="J_Con_WIP56"/>
      <sheetName val="detail_J56"/>
      <sheetName val="L_Oth_Co56"/>
      <sheetName val="K_fix_asst__56"/>
      <sheetName val="C_fix_asst-SDPL_56"/>
      <sheetName val="TBAL9697__group_wise__sdpl56"/>
      <sheetName val="inout_consol_okg56"/>
      <sheetName val="detail_OIP_(2)56"/>
      <sheetName val="D_fix_ysst_scdl_56"/>
      <sheetName val="cre`itors_tb_obpl56"/>
      <sheetName val="3AL9697_-group_wise__onpl56"/>
      <sheetName val="L_Oth_Bo55"/>
      <sheetName val="3‰AL9697_-group_wise__onpl55"/>
      <sheetName val="Civil_Boq55"/>
      <sheetName val="Staff_Acco_55"/>
      <sheetName val="SITE_OVERHEADS55"/>
      <sheetName val="PRECAST_lightconc-II53"/>
      <sheetName val="1__PayRec52"/>
      <sheetName val="Boq_Block_A55"/>
      <sheetName val="Cashflow_projection52"/>
      <sheetName val="Project-Material_55"/>
      <sheetName val="SPT_vs_PHI52"/>
      <sheetName val="key_dates52"/>
      <sheetName val="ino4t_conso,-nov52"/>
      <sheetName val="(nout_co,sol_(2)52"/>
      <sheetName val="Blr_hire52"/>
      <sheetName val="_bpl,oth_lia_52"/>
      <sheetName val="G_,and_adv_nce52"/>
      <sheetName val="I,Wip-ot__2)52"/>
      <sheetName val="det!il_WIP_(2)52"/>
      <sheetName val="de4ail_G-152"/>
      <sheetName val="sobha_mennn_ac52"/>
      <sheetName val="C_&amp;ix_asst52"/>
      <sheetName val="_x005f_x0003_dpl_oth_Lia`52"/>
      <sheetName val="TBAL9697__x005f_x000d_grotp_wise_52"/>
      <sheetName val="St_co_91_5lvl52"/>
      <sheetName val="3�AL9697_-group_wise__onpl55"/>
      <sheetName val="INPUT_SHEET52"/>
      <sheetName val="Stress_Calculation52"/>
      <sheetName val="Labor_abs-NMR52"/>
      <sheetName val="Sun_E_Type52"/>
      <sheetName val="CORPN_O?T52"/>
      <sheetName val="Fin_Sum52"/>
      <sheetName val="CORPN_O_x005f_x0000_T52"/>
      <sheetName val="TBAL9697__x000a_grotp_wise_52"/>
      <sheetName val="labour_coeff50"/>
      <sheetName val="Shuttering_Analysis50"/>
      <sheetName val="General_P+M50"/>
      <sheetName val="Curing_Analysis_50"/>
      <sheetName val="Concrete_P+M_(_RMC_)50"/>
      <sheetName val="P+M_(_SMC_)50"/>
      <sheetName val="P+M_-EW50"/>
      <sheetName val="P&amp;L_-_AD50"/>
      <sheetName val="SUPPLY_-Sanitary_Fixtures52"/>
      <sheetName val="ITEMS_FOR_CIVIL_TENDER52"/>
      <sheetName val="_x005f_x005f_x005f_x0003_dpl_oth_Lia`52"/>
      <sheetName val="TBAL9697__x005f_x005f_x005f_x000d_grotp_w52"/>
      <sheetName val="Fin__Assumpt__-_Sensitivities50"/>
      <sheetName val="LOAD_SHEET_50"/>
      <sheetName val="Fill_this_out_first___50"/>
      <sheetName val="Labour_productivity50"/>
      <sheetName val="RCC,Ret__Wall50"/>
      <sheetName val="CORPN_O52"/>
      <sheetName val="CORPN_O_T50"/>
      <sheetName val="Area_&amp;_Cate__Master50"/>
      <sheetName val="Bill_No_550"/>
      <sheetName val="TBAL9697__grotp_wise_100"/>
      <sheetName val="11B_50"/>
      <sheetName val="Structure_Bills_Qty50"/>
      <sheetName val="DG_52"/>
      <sheetName val="BOQ_(2)50"/>
      <sheetName val="Fee_Rate_Summary50"/>
      <sheetName val="Name_List50"/>
      <sheetName val="Detail_1A50"/>
      <sheetName val="Sheet_150"/>
      <sheetName val="3BPA00132-5-3_W_plan_HVPNL50"/>
      <sheetName val="Mix_Design50"/>
      <sheetName val="DLC_lookups50"/>
      <sheetName val="Driveway_Beams50"/>
      <sheetName val="TBAL9697__x005f_x000a_grotp_wise_50"/>
      <sheetName val="Quote_Sheet50"/>
      <sheetName val="d-safe_DELUXE50"/>
      <sheetName val="Works_-_Quote_Sheet50"/>
      <sheetName val="IO_LIST50"/>
      <sheetName val="TBAL9697__x005f_x000d_grotp_wis50"/>
      <sheetName val="Cat_A_Change_Control50"/>
      <sheetName val="Break_up_Sheet50"/>
      <sheetName val="Summary_of_P_&amp;_M50"/>
      <sheetName val="ISO_Reconcilation_Statment50"/>
      <sheetName val="AVG_pur_rate50"/>
      <sheetName val="Break_Dw50"/>
      <sheetName val="LIST_OF_MAKES50"/>
      <sheetName val="Assumption_Inputs50"/>
      <sheetName val="Civil_Works50"/>
      <sheetName val="Form_650"/>
      <sheetName val="acevsSp_(ABC)50"/>
      <sheetName val="A_O_R_50"/>
      <sheetName val="CORPN_O_x005f_x005f_x005f_x0000_T50"/>
      <sheetName val="220_11__BS_50"/>
      <sheetName val="FITZ_MORT_9450"/>
      <sheetName val="Intro_50"/>
      <sheetName val="BLOCK-A_(MEA_SHEET)50"/>
      <sheetName val="NLD_-_Assum50"/>
      <sheetName val="Section_Catalogue50"/>
      <sheetName val="TB9798OBPL06_(2)57"/>
      <sheetName val="CORPN_OCT57"/>
      <sheetName val="inout_consol-nov57"/>
      <sheetName val="inout_consol_(2)57"/>
      <sheetName val="AS_ON_DT_EXPS_Mar57"/>
      <sheetName val="fa-pl_&amp;_mach-site57"/>
      <sheetName val="fa_off_eqp57"/>
      <sheetName val="fa_fur&amp;_fix57"/>
      <sheetName val="fa-pl_&amp;_mach-Off57"/>
      <sheetName val="B_Equity-sdpl_INC57"/>
      <sheetName val="inout_consol_wkg57"/>
      <sheetName val="inout_consol_WKNG57"/>
      <sheetName val="B_Sheet_9757"/>
      <sheetName val="P&amp;L_97_57"/>
      <sheetName val="B_Sheet_97-BEXP57"/>
      <sheetName val="P&amp;L_97_-BEXP57"/>
      <sheetName val="consol_flows57"/>
      <sheetName val="sdpl_oth_Liab57"/>
      <sheetName val="obpl-oth_liab57"/>
      <sheetName val="G_land_advance57"/>
      <sheetName val="I-Wip-ot_(2)57"/>
      <sheetName val="detail_WIP_(2)57"/>
      <sheetName val="detail_G-157"/>
      <sheetName val="sobha_menon_ac57"/>
      <sheetName val="pnc_ac57"/>
      <sheetName val="fix_-p_&amp;_M_-SCC57"/>
      <sheetName val="C_fix_asst57"/>
      <sheetName val="D_fix_asst_scdl_57"/>
      <sheetName val="creditors_tb_obpl57"/>
      <sheetName val="TBAL9697_-group_wise__sdpl67"/>
      <sheetName val="TBAL9697_-group_wise_57"/>
      <sheetName val="crs_-G-157"/>
      <sheetName val="TBAL9697_-group_wise__onpl57"/>
      <sheetName val="B_Sheet_97-OBPL57"/>
      <sheetName val="B_Sheet_97_sdpl57"/>
      <sheetName val="TBAL9697_-group_wise__sdpl257"/>
      <sheetName val="inout_consol_jan57"/>
      <sheetName val="consol_flow57"/>
      <sheetName val="D_Loan__Prom57"/>
      <sheetName val="E_Bank_Loan57"/>
      <sheetName val="G_work_Cap57"/>
      <sheetName val="H_land_adv-dec57"/>
      <sheetName val="J_Con_WIP57"/>
      <sheetName val="detail_J57"/>
      <sheetName val="L_Oth_Co57"/>
      <sheetName val="K_fix_asst__57"/>
      <sheetName val="C_fix_asst-SDPL_57"/>
      <sheetName val="TBAL9697__group_wise__sdpl57"/>
      <sheetName val="inout_consol_okg57"/>
      <sheetName val="detail_OIP_(2)57"/>
      <sheetName val="D_fix_ysst_scdl_57"/>
      <sheetName val="cre`itors_tb_obpl57"/>
      <sheetName val="3AL9697_-group_wise__onpl57"/>
      <sheetName val="L_Oth_Bo56"/>
      <sheetName val="3‰AL9697_-group_wise__onpl56"/>
      <sheetName val="Civil_Boq56"/>
      <sheetName val="Staff_Acco_56"/>
      <sheetName val="SITE_OVERHEADS56"/>
      <sheetName val="PRECAST_lightconc-II54"/>
      <sheetName val="1__PayRec53"/>
      <sheetName val="Boq_Block_A56"/>
      <sheetName val="Cashflow_projection53"/>
      <sheetName val="Project-Material_56"/>
      <sheetName val="SPT_vs_PHI53"/>
      <sheetName val="key_dates53"/>
      <sheetName val="ino4t_conso,-nov53"/>
      <sheetName val="(nout_co,sol_(2)53"/>
      <sheetName val="Blr_hire53"/>
      <sheetName val="_bpl,oth_lia_53"/>
      <sheetName val="G_,and_adv_nce53"/>
      <sheetName val="I,Wip-ot__2)53"/>
      <sheetName val="det!il_WIP_(2)53"/>
      <sheetName val="de4ail_G-153"/>
      <sheetName val="sobha_mennn_ac53"/>
      <sheetName val="C_&amp;ix_asst53"/>
      <sheetName val="_x005f_x0003_dpl_oth_Lia`53"/>
      <sheetName val="TBAL9697__x005f_x000d_grotp_wise_53"/>
      <sheetName val="St_co_91_5lvl53"/>
      <sheetName val="3�AL9697_-group_wise__onpl56"/>
      <sheetName val="INPUT_SHEET53"/>
      <sheetName val="Stress_Calculation53"/>
      <sheetName val="Labor_abs-NMR53"/>
      <sheetName val="Sun_E_Type53"/>
      <sheetName val="CORPN_O?T53"/>
      <sheetName val="Fin_Sum53"/>
      <sheetName val="CORPN_O_x005f_x0000_T53"/>
      <sheetName val="TBAL9697__x000a_grotp_wise_53"/>
      <sheetName val="labour_coeff51"/>
      <sheetName val="Shuttering_Analysis51"/>
      <sheetName val="General_P+M51"/>
      <sheetName val="Curing_Analysis_51"/>
      <sheetName val="Concrete_P+M_(_RMC_)51"/>
      <sheetName val="P+M_(_SMC_)51"/>
      <sheetName val="P+M_-EW51"/>
      <sheetName val="P&amp;L_-_AD51"/>
      <sheetName val="SUPPLY_-Sanitary_Fixtures53"/>
      <sheetName val="ITEMS_FOR_CIVIL_TENDER53"/>
      <sheetName val="_x005f_x005f_x005f_x0003_dpl_oth_Lia`53"/>
      <sheetName val="TBAL9697__x005f_x005f_x005f_x000d_grotp_w53"/>
      <sheetName val="Fin__Assumpt__-_Sensitivities51"/>
      <sheetName val="LOAD_SHEET_51"/>
      <sheetName val="Fill_this_out_first___51"/>
      <sheetName val="Labour_productivity51"/>
      <sheetName val="RCC,Ret__Wall51"/>
      <sheetName val="CORPN_O53"/>
      <sheetName val="CORPN_O_T51"/>
      <sheetName val="Area_&amp;_Cate__Master51"/>
      <sheetName val="Bill_No_551"/>
      <sheetName val="11B_51"/>
      <sheetName val="Structure_Bills_Qty51"/>
      <sheetName val="DG_53"/>
      <sheetName val="BOQ_(2)51"/>
      <sheetName val="Fee_Rate_Summary51"/>
      <sheetName val="Name_List51"/>
      <sheetName val="Detail_1A51"/>
      <sheetName val="Sheet_151"/>
      <sheetName val="3BPA00132-5-3_W_plan_HVPNL51"/>
      <sheetName val="Mix_Design51"/>
      <sheetName val="DLC_lookups51"/>
      <sheetName val="Driveway_Beams51"/>
      <sheetName val="TBAL9697__x005f_x000a_grotp_wise_51"/>
      <sheetName val="Quote_Sheet51"/>
      <sheetName val="d-safe_DELUXE51"/>
      <sheetName val="Works_-_Quote_Sheet51"/>
      <sheetName val="IO_LIST51"/>
      <sheetName val="TBAL9697__x005f_x000d_grotp_wis51"/>
      <sheetName val="Cat_A_Change_Control51"/>
      <sheetName val="Break_up_Sheet51"/>
      <sheetName val="Summary_of_P_&amp;_M51"/>
      <sheetName val="ISO_Reconcilation_Statment51"/>
      <sheetName val="AVG_pur_rate51"/>
      <sheetName val="Break_Dw51"/>
      <sheetName val="LIST_OF_MAKES51"/>
      <sheetName val="Assumption_Inputs51"/>
      <sheetName val="Civil_Works51"/>
      <sheetName val="Form_651"/>
      <sheetName val="acevsSp_(ABC)51"/>
      <sheetName val="A_O_R_51"/>
      <sheetName val="CORPN_O_x005f_x005f_x005f_x0000_T51"/>
      <sheetName val="220_11__BS_51"/>
      <sheetName val="FITZ_MORT_9451"/>
      <sheetName val="Intro_51"/>
      <sheetName val="BLOCK-A_(MEA_SHEET)51"/>
      <sheetName val="NLD_-_Assum51"/>
      <sheetName val="Section_Catalogue51"/>
      <sheetName val="TB9798OBPL06_(2)58"/>
      <sheetName val="CORPN_OCT58"/>
      <sheetName val="inout_consol-nov58"/>
      <sheetName val="inout_consol_(2)58"/>
      <sheetName val="AS_ON_DT_EXPS_Mar58"/>
      <sheetName val="fa-pl_&amp;_mach-site58"/>
      <sheetName val="fa_off_eqp58"/>
      <sheetName val="fa_fur&amp;_fix58"/>
      <sheetName val="fa-pl_&amp;_mach-Off58"/>
      <sheetName val="B_Equity-sdpl_INC58"/>
      <sheetName val="inout_consol_wkg58"/>
      <sheetName val="inout_consol_WKNG58"/>
      <sheetName val="B_Sheet_9758"/>
      <sheetName val="P&amp;L_97_58"/>
      <sheetName val="B_Sheet_97-BEXP58"/>
      <sheetName val="P&amp;L_97_-BEXP58"/>
      <sheetName val="consol_flows58"/>
      <sheetName val="sdpl_oth_Liab58"/>
      <sheetName val="obpl-oth_liab58"/>
      <sheetName val="G_land_advance58"/>
      <sheetName val="I-Wip-ot_(2)58"/>
      <sheetName val="detail_WIP_(2)58"/>
      <sheetName val="detail_G-158"/>
      <sheetName val="sobha_menon_ac58"/>
      <sheetName val="pnc_ac58"/>
      <sheetName val="fix_-p_&amp;_M_-SCC58"/>
      <sheetName val="C_fix_asst58"/>
      <sheetName val="D_fix_asst_scdl_58"/>
      <sheetName val="creditors_tb_obpl58"/>
      <sheetName val="TBAL9697_-group_wise__sdpl68"/>
      <sheetName val="TBAL9697_-group_wise_58"/>
      <sheetName val="crs_-G-158"/>
      <sheetName val="TBAL9697_-group_wise__onpl58"/>
      <sheetName val="B_Sheet_97-OBPL58"/>
      <sheetName val="B_Sheet_97_sdpl58"/>
      <sheetName val="TBAL9697_-group_wise__sdpl258"/>
      <sheetName val="inout_consol_jan58"/>
      <sheetName val="consol_flow58"/>
      <sheetName val="D_Loan__Prom58"/>
      <sheetName val="E_Bank_Loan58"/>
      <sheetName val="G_work_Cap58"/>
      <sheetName val="H_land_adv-dec58"/>
      <sheetName val="J_Con_WIP58"/>
      <sheetName val="detail_J58"/>
      <sheetName val="L_Oth_Co58"/>
      <sheetName val="K_fix_asst__58"/>
      <sheetName val="C_fix_asst-SDPL_58"/>
      <sheetName val="TBAL9697__group_wise__sdpl58"/>
      <sheetName val="inout_consol_okg58"/>
      <sheetName val="detail_OIP_(2)58"/>
      <sheetName val="D_fix_ysst_scdl_58"/>
      <sheetName val="cre`itors_tb_obpl58"/>
      <sheetName val="3AL9697_-group_wise__onpl58"/>
      <sheetName val="L_Oth_Bo57"/>
      <sheetName val="3‰AL9697_-group_wise__onpl57"/>
      <sheetName val="Civil_Boq57"/>
      <sheetName val="Staff_Acco_57"/>
      <sheetName val="SITE_OVERHEADS57"/>
      <sheetName val="PRECAST_lightconc-II55"/>
      <sheetName val="1__PayRec54"/>
      <sheetName val="Boq_Block_A57"/>
      <sheetName val="Cashflow_projection54"/>
      <sheetName val="Project-Material_57"/>
      <sheetName val="SPT_vs_PHI54"/>
      <sheetName val="key_dates54"/>
      <sheetName val="ino4t_conso,-nov54"/>
      <sheetName val="(nout_co,sol_(2)54"/>
      <sheetName val="Blr_hire54"/>
      <sheetName val="_bpl,oth_lia_54"/>
      <sheetName val="G_,and_adv_nce54"/>
      <sheetName val="I,Wip-ot__2)54"/>
      <sheetName val="det!il_WIP_(2)54"/>
      <sheetName val="de4ail_G-154"/>
      <sheetName val="sobha_mennn_ac54"/>
      <sheetName val="C_&amp;ix_asst54"/>
      <sheetName val="_x005f_x0003_dpl_oth_Lia`54"/>
      <sheetName val="TBAL9697__x005f_x000d_grotp_wise_54"/>
      <sheetName val="St_co_91_5lvl54"/>
      <sheetName val="3�AL9697_-group_wise__onpl57"/>
      <sheetName val="INPUT_SHEET54"/>
      <sheetName val="Stress_Calculation54"/>
      <sheetName val="Labor_abs-NMR54"/>
      <sheetName val="Sun_E_Type54"/>
      <sheetName val="CORPN_O?T54"/>
      <sheetName val="Fin_Sum54"/>
      <sheetName val="CORPN_O_x005f_x0000_T54"/>
      <sheetName val="TBAL9697__x000a_grotp_wise_54"/>
      <sheetName val="labour_coeff52"/>
      <sheetName val="Shuttering_Analysis52"/>
      <sheetName val="General_P+M52"/>
      <sheetName val="Curing_Analysis_52"/>
      <sheetName val="Concrete_P+M_(_RMC_)52"/>
      <sheetName val="P+M_(_SMC_)52"/>
      <sheetName val="P+M_-EW52"/>
      <sheetName val="P&amp;L_-_AD52"/>
      <sheetName val="SUPPLY_-Sanitary_Fixtures54"/>
      <sheetName val="ITEMS_FOR_CIVIL_TENDER54"/>
      <sheetName val="_x005f_x005f_x005f_x0003_dpl_oth_Lia`54"/>
      <sheetName val="TBAL9697__x005f_x005f_x005f_x000d_grotp_w54"/>
      <sheetName val="Fin__Assumpt__-_Sensitivities52"/>
      <sheetName val="LOAD_SHEET_52"/>
      <sheetName val="Fill_this_out_first___52"/>
      <sheetName val="Labour_productivity52"/>
      <sheetName val="RCC,Ret__Wall52"/>
      <sheetName val="CORPN_O54"/>
      <sheetName val="CORPN_O_T52"/>
      <sheetName val="Area_&amp;_Cate__Master52"/>
      <sheetName val="Bill_No_552"/>
      <sheetName val="11B_52"/>
      <sheetName val="Structure_Bills_Qty52"/>
      <sheetName val="DG_54"/>
      <sheetName val="BOQ_(2)52"/>
      <sheetName val="Fee_Rate_Summary52"/>
      <sheetName val="Name_List52"/>
      <sheetName val="Detail_1A52"/>
      <sheetName val="Sheet_152"/>
      <sheetName val="3BPA00132-5-3_W_plan_HVPNL52"/>
      <sheetName val="Mix_Design52"/>
      <sheetName val="DLC_lookups52"/>
      <sheetName val="Driveway_Beams52"/>
      <sheetName val="TBAL9697__x005f_x000a_grotp_wise_52"/>
      <sheetName val="Quote_Sheet52"/>
      <sheetName val="d-safe_DELUXE52"/>
      <sheetName val="Works_-_Quote_Sheet52"/>
      <sheetName val="IO_LIST52"/>
      <sheetName val="TBAL9697__x005f_x000d_grotp_wis52"/>
      <sheetName val="Cat_A_Change_Control52"/>
      <sheetName val="Break_up_Sheet52"/>
      <sheetName val="Summary_of_P_&amp;_M52"/>
      <sheetName val="ISO_Reconcilation_Statment52"/>
      <sheetName val="AVG_pur_rate52"/>
      <sheetName val="Break_Dw52"/>
      <sheetName val="LIST_OF_MAKES52"/>
      <sheetName val="Assumption_Inputs52"/>
      <sheetName val="Civil_Works52"/>
      <sheetName val="Form_652"/>
      <sheetName val="acevsSp_(ABC)52"/>
      <sheetName val="A_O_R_52"/>
      <sheetName val="CORPN_O_x005f_x005f_x005f_x0000_T52"/>
      <sheetName val="220_11__BS_52"/>
      <sheetName val="FITZ_MORT_9452"/>
      <sheetName val="Intro_52"/>
      <sheetName val="BLOCK-A_(MEA_SHEET)52"/>
      <sheetName val="NLD_-_Assum52"/>
      <sheetName val="Section_Catalogue52"/>
      <sheetName val="TB9798OBPL06_(2)59"/>
      <sheetName val="CORPN_OCT59"/>
      <sheetName val="inout_consol-nov59"/>
      <sheetName val="inout_consol_(2)59"/>
      <sheetName val="AS_ON_DT_EXPS_Mar59"/>
      <sheetName val="fa-pl_&amp;_mach-site59"/>
      <sheetName val="fa_off_eqp59"/>
      <sheetName val="fa_fur&amp;_fix59"/>
      <sheetName val="fa-pl_&amp;_mach-Off59"/>
      <sheetName val="B_Equity-sdpl_INC59"/>
      <sheetName val="inout_consol_wkg59"/>
      <sheetName val="inout_consol_WKNG59"/>
      <sheetName val="B_Sheet_9759"/>
      <sheetName val="P&amp;L_97_59"/>
      <sheetName val="B_Sheet_97-BEXP59"/>
      <sheetName val="P&amp;L_97_-BEXP59"/>
      <sheetName val="consol_flows59"/>
      <sheetName val="sdpl_oth_Liab59"/>
      <sheetName val="obpl-oth_liab59"/>
      <sheetName val="G_land_advance59"/>
      <sheetName val="I-Wip-ot_(2)59"/>
      <sheetName val="detail_WIP_(2)59"/>
      <sheetName val="detail_G-159"/>
      <sheetName val="sobha_menon_ac59"/>
      <sheetName val="pnc_ac59"/>
      <sheetName val="fix_-p_&amp;_M_-SCC59"/>
      <sheetName val="C_fix_asst59"/>
      <sheetName val="D_fix_asst_scdl_59"/>
      <sheetName val="creditors_tb_obpl59"/>
      <sheetName val="TBAL9697_-group_wise__sdpl69"/>
      <sheetName val="TBAL9697_-group_wise_59"/>
      <sheetName val="crs_-G-159"/>
      <sheetName val="TBAL9697_-group_wise__onpl59"/>
      <sheetName val="B_Sheet_97-OBPL59"/>
      <sheetName val="B_Sheet_97_sdpl59"/>
      <sheetName val="TBAL9697_-group_wise__sdpl259"/>
      <sheetName val="inout_consol_jan59"/>
      <sheetName val="consol_flow59"/>
      <sheetName val="D_Loan__Prom59"/>
      <sheetName val="E_Bank_Loan59"/>
      <sheetName val="G_work_Cap59"/>
      <sheetName val="H_land_adv-dec59"/>
      <sheetName val="J_Con_WIP59"/>
      <sheetName val="detail_J59"/>
      <sheetName val="L_Oth_Co59"/>
      <sheetName val="K_fix_asst__59"/>
      <sheetName val="C_fix_asst-SDPL_59"/>
      <sheetName val="TBAL9697__group_wise__sdpl59"/>
      <sheetName val="inout_consol_okg59"/>
      <sheetName val="detail_OIP_(2)59"/>
      <sheetName val="D_fix_ysst_scdl_59"/>
      <sheetName val="cre`itors_tb_obpl59"/>
      <sheetName val="3AL9697_-group_wise__onpl59"/>
      <sheetName val="L_Oth_Bo58"/>
      <sheetName val="3‰AL9697_-group_wise__onpl58"/>
      <sheetName val="Civil_Boq58"/>
      <sheetName val="Staff_Acco_58"/>
      <sheetName val="SITE_OVERHEADS58"/>
      <sheetName val="PRECAST_lightconc-II56"/>
      <sheetName val="1__PayRec55"/>
      <sheetName val="Boq_Block_A58"/>
      <sheetName val="Cashflow_projection55"/>
      <sheetName val="Project-Material_58"/>
      <sheetName val="SPT_vs_PHI55"/>
      <sheetName val="key_dates55"/>
      <sheetName val="ino4t_conso,-nov55"/>
      <sheetName val="(nout_co,sol_(2)55"/>
      <sheetName val="Blr_hire55"/>
      <sheetName val="_bpl,oth_lia_55"/>
      <sheetName val="G_,and_adv_nce55"/>
      <sheetName val="I,Wip-ot__2)55"/>
      <sheetName val="det!il_WIP_(2)55"/>
      <sheetName val="de4ail_G-155"/>
      <sheetName val="sobha_mennn_ac55"/>
      <sheetName val="C_&amp;ix_asst55"/>
      <sheetName val="_x005f_x0003_dpl_oth_Lia`55"/>
      <sheetName val="TBAL9697__x005f_x000d_grotp_wise_55"/>
      <sheetName val="St_co_91_5lvl55"/>
      <sheetName val="3�AL9697_-group_wise__onpl58"/>
      <sheetName val="INPUT_SHEET55"/>
      <sheetName val="Stress_Calculation55"/>
      <sheetName val="Labor_abs-NMR55"/>
      <sheetName val="Sun_E_Type55"/>
      <sheetName val="CORPN_O?T55"/>
      <sheetName val="Fin_Sum55"/>
      <sheetName val="CORPN_O_x005f_x0000_T55"/>
      <sheetName val="TBAL9697__x000a_grotp_wise_55"/>
      <sheetName val="labour_coeff53"/>
      <sheetName val="Shuttering_Analysis53"/>
      <sheetName val="General_P+M53"/>
      <sheetName val="Curing_Analysis_53"/>
      <sheetName val="Concrete_P+M_(_RMC_)53"/>
      <sheetName val="P+M_(_SMC_)53"/>
      <sheetName val="P+M_-EW53"/>
      <sheetName val="P&amp;L_-_AD53"/>
      <sheetName val="SUPPLY_-Sanitary_Fixtures55"/>
      <sheetName val="ITEMS_FOR_CIVIL_TENDER55"/>
      <sheetName val="_x005f_x005f_x005f_x0003_dpl_oth_Lia`55"/>
      <sheetName val="TBAL9697__x005f_x005f_x005f_x000d_grotp_w55"/>
      <sheetName val="Fin__Assumpt__-_Sensitivities53"/>
      <sheetName val="LOAD_SHEET_53"/>
      <sheetName val="Fill_this_out_first___53"/>
      <sheetName val="Labour_productivity53"/>
      <sheetName val="RCC,Ret__Wall53"/>
      <sheetName val="CORPN_O55"/>
      <sheetName val="CORPN_O_T53"/>
      <sheetName val="Area_&amp;_Cate__Master53"/>
      <sheetName val="Bill_No_553"/>
      <sheetName val="TBAL9697__grotp_wise_106"/>
      <sheetName val="11B_53"/>
      <sheetName val="Structure_Bills_Qty53"/>
      <sheetName val="DG_55"/>
      <sheetName val="BOQ_(2)53"/>
      <sheetName val="Fee_Rate_Summary53"/>
      <sheetName val="Name_List53"/>
      <sheetName val="Detail_1A53"/>
      <sheetName val="Sheet_153"/>
      <sheetName val="3BPA00132-5-3_W_plan_HVPNL53"/>
      <sheetName val="Mix_Design53"/>
      <sheetName val="DLC_lookups53"/>
      <sheetName val="Driveway_Beams53"/>
      <sheetName val="TBAL9697__x005f_x000a_grotp_wise_53"/>
      <sheetName val="Quote_Sheet53"/>
      <sheetName val="d-safe_DELUXE53"/>
      <sheetName val="Works_-_Quote_Sheet53"/>
      <sheetName val="IO_LIST53"/>
      <sheetName val="TBAL9697__x005f_x000d_grotp_wis53"/>
      <sheetName val="TBAL9697__grotp_wise_107"/>
      <sheetName val="Cat_A_Change_Control53"/>
      <sheetName val="Break_up_Sheet53"/>
      <sheetName val="Summary_of_P_&amp;_M53"/>
      <sheetName val="ISO_Reconcilation_Statment53"/>
      <sheetName val="AVG_pur_rate53"/>
      <sheetName val="Break_Dw53"/>
      <sheetName val="LIST_OF_MAKES53"/>
      <sheetName val="Assumption_Inputs53"/>
      <sheetName val="Civil_Works53"/>
      <sheetName val="Form_653"/>
      <sheetName val="acevsSp_(ABC)53"/>
      <sheetName val="A_O_R_53"/>
      <sheetName val="CORPN_O_x005f_x005f_x005f_x0000_T53"/>
      <sheetName val="220_11__BS_53"/>
      <sheetName val="FITZ_MORT_9453"/>
      <sheetName val="Intro_53"/>
      <sheetName val="BLOCK-A_(MEA_SHEET)53"/>
      <sheetName val="NLD_-_Assum53"/>
      <sheetName val="Section_Catalogue53"/>
      <sheetName val="TB9798OBPL06_(2)61"/>
      <sheetName val="CORPN_OCT61"/>
      <sheetName val="inout_consol-nov61"/>
      <sheetName val="inout_consol_(2)61"/>
      <sheetName val="AS_ON_DT_EXPS_Mar61"/>
      <sheetName val="fa-pl_&amp;_mach-site61"/>
      <sheetName val="fa_off_eqp61"/>
      <sheetName val="fa_fur&amp;_fix61"/>
      <sheetName val="fa-pl_&amp;_mach-Off61"/>
      <sheetName val="B_Equity-sdpl_INC61"/>
      <sheetName val="inout_consol_wkg61"/>
      <sheetName val="inout_consol_WKNG61"/>
      <sheetName val="B_Sheet_9761"/>
      <sheetName val="P&amp;L_97_61"/>
      <sheetName val="B_Sheet_97-BEXP61"/>
      <sheetName val="P&amp;L_97_-BEXP61"/>
      <sheetName val="consol_flows61"/>
      <sheetName val="sdpl_oth_Liab61"/>
      <sheetName val="obpl-oth_liab61"/>
      <sheetName val="G_land_advance61"/>
      <sheetName val="I-Wip-ot_(2)61"/>
      <sheetName val="detail_WIP_(2)61"/>
      <sheetName val="detail_G-161"/>
      <sheetName val="sobha_menon_ac61"/>
      <sheetName val="pnc_ac61"/>
      <sheetName val="fix_-p_&amp;_M_-SCC61"/>
      <sheetName val="C_fix_asst61"/>
      <sheetName val="D_fix_asst_scdl_61"/>
      <sheetName val="creditors_tb_obpl61"/>
      <sheetName val="TBAL9697_-group_wise__sdpl71"/>
      <sheetName val="TBAL9697_-group_wise_61"/>
      <sheetName val="crs_-G-161"/>
      <sheetName val="TBAL9697_-group_wise__onpl61"/>
      <sheetName val="B_Sheet_97-OBPL61"/>
      <sheetName val="B_Sheet_97_sdpl61"/>
      <sheetName val="TBAL9697_-group_wise__sdpl261"/>
      <sheetName val="inout_consol_jan61"/>
      <sheetName val="consol_flow61"/>
      <sheetName val="D_Loan__Prom61"/>
      <sheetName val="E_Bank_Loan61"/>
      <sheetName val="G_work_Cap61"/>
      <sheetName val="H_land_adv-dec61"/>
      <sheetName val="J_Con_WIP61"/>
      <sheetName val="detail_J61"/>
      <sheetName val="L_Oth_Co61"/>
      <sheetName val="K_fix_asst__61"/>
      <sheetName val="C_fix_asst-SDPL_61"/>
      <sheetName val="TBAL9697__group_wise__sdpl61"/>
      <sheetName val="inout_consol_okg61"/>
      <sheetName val="detail_OIP_(2)61"/>
      <sheetName val="D_fix_ysst_scdl_61"/>
      <sheetName val="cre`itors_tb_obpl61"/>
      <sheetName val="3AL9697_-group_wise__onpl61"/>
      <sheetName val="L_Oth_Bo60"/>
      <sheetName val="3‰AL9697_-group_wise__onpl60"/>
      <sheetName val="Civil_Boq60"/>
      <sheetName val="Staff_Acco_60"/>
      <sheetName val="SITE_OVERHEADS60"/>
      <sheetName val="PRECAST_lightconc-II58"/>
      <sheetName val="1__PayRec57"/>
      <sheetName val="Boq_Block_A60"/>
      <sheetName val="Cashflow_projection57"/>
      <sheetName val="Project-Material_60"/>
      <sheetName val="SPT_vs_PHI57"/>
      <sheetName val="key_dates57"/>
      <sheetName val="ino4t_conso,-nov57"/>
      <sheetName val="(nout_co,sol_(2)57"/>
      <sheetName val="Blr_hire57"/>
      <sheetName val="_bpl,oth_lia_57"/>
      <sheetName val="G_,and_adv_nce57"/>
      <sheetName val="I,Wip-ot__2)57"/>
      <sheetName val="det!il_WIP_(2)57"/>
      <sheetName val="de4ail_G-157"/>
      <sheetName val="sobha_mennn_ac57"/>
      <sheetName val="C_&amp;ix_asst57"/>
      <sheetName val="_x005f_x0003_dpl_oth_Lia`57"/>
      <sheetName val="TBAL9697__x005f_x000d_grotp_wise_57"/>
      <sheetName val="St_co_91_5lvl57"/>
      <sheetName val="3�AL9697_-group_wise__onpl60"/>
      <sheetName val="INPUT_SHEET57"/>
      <sheetName val="Stress_Calculation57"/>
      <sheetName val="Labor_abs-NMR57"/>
      <sheetName val="Sun_E_Type57"/>
      <sheetName val="CORPN_O?T57"/>
      <sheetName val="Fin_Sum57"/>
      <sheetName val="CORPN_O_x005f_x0000_T57"/>
      <sheetName val="TBAL9697__x000a_grotp_wise_57"/>
      <sheetName val="labour_coeff55"/>
      <sheetName val="Shuttering_Analysis55"/>
      <sheetName val="General_P+M55"/>
      <sheetName val="Curing_Analysis_55"/>
      <sheetName val="Concrete_P+M_(_RMC_)55"/>
      <sheetName val="P+M_(_SMC_)55"/>
      <sheetName val="P+M_-EW55"/>
      <sheetName val="P&amp;L_-_AD55"/>
      <sheetName val="SUPPLY_-Sanitary_Fixtures57"/>
      <sheetName val="ITEMS_FOR_CIVIL_TENDER57"/>
      <sheetName val="_x005f_x005f_x005f_x0003_dpl_oth_Lia`57"/>
      <sheetName val="TBAL9697__x005f_x005f_x005f_x000d_grotp_w57"/>
      <sheetName val="Fin__Assumpt__-_Sensitivities55"/>
      <sheetName val="LOAD_SHEET_55"/>
      <sheetName val="Fill_this_out_first___55"/>
      <sheetName val="Labour_productivity55"/>
      <sheetName val="RCC,Ret__Wall55"/>
      <sheetName val="CORPN_O57"/>
      <sheetName val="CORPN_O_T55"/>
      <sheetName val="Area_&amp;_Cate__Master55"/>
      <sheetName val="Bill_No_555"/>
      <sheetName val="11B_55"/>
      <sheetName val="Structure_Bills_Qty55"/>
      <sheetName val="DG_57"/>
      <sheetName val="BOQ_(2)55"/>
      <sheetName val="Fee_Rate_Summary55"/>
      <sheetName val="Name_List55"/>
      <sheetName val="Detail_1A55"/>
      <sheetName val="Sheet_155"/>
      <sheetName val="3BPA00132-5-3_W_plan_HVPNL55"/>
      <sheetName val="Mix_Design55"/>
      <sheetName val="DLC_lookups55"/>
      <sheetName val="Driveway_Beams55"/>
      <sheetName val="TBAL9697__x005f_x000a_grotp_wise_55"/>
      <sheetName val="Quote_Sheet55"/>
      <sheetName val="d-safe_DELUXE55"/>
      <sheetName val="Works_-_Quote_Sheet55"/>
      <sheetName val="IO_LIST55"/>
      <sheetName val="TBAL9697__x005f_x000d_grotp_wis55"/>
      <sheetName val="Cat_A_Change_Control55"/>
      <sheetName val="Break_up_Sheet55"/>
      <sheetName val="Summary_of_P_&amp;_M55"/>
      <sheetName val="ISO_Reconcilation_Statment55"/>
      <sheetName val="AVG_pur_rate55"/>
      <sheetName val="Break_Dw55"/>
      <sheetName val="LIST_OF_MAKES55"/>
      <sheetName val="Assumption_Inputs55"/>
      <sheetName val="Civil_Works55"/>
      <sheetName val="Form_655"/>
      <sheetName val="acevsSp_(ABC)55"/>
      <sheetName val="A_O_R_55"/>
      <sheetName val="CORPN_O_x005f_x005f_x005f_x0000_T55"/>
      <sheetName val="220_11__BS_55"/>
      <sheetName val="FITZ_MORT_9455"/>
      <sheetName val="Intro_55"/>
      <sheetName val="BLOCK-A_(MEA_SHEET)55"/>
      <sheetName val="NLD_-_Assum55"/>
      <sheetName val="Section_Catalogue55"/>
      <sheetName val="TB9798OBPL06_(2)60"/>
      <sheetName val="CORPN_OCT60"/>
      <sheetName val="inout_consol-nov60"/>
      <sheetName val="inout_consol_(2)60"/>
      <sheetName val="AS_ON_DT_EXPS_Mar60"/>
      <sheetName val="fa-pl_&amp;_mach-site60"/>
      <sheetName val="fa_off_eqp60"/>
      <sheetName val="fa_fur&amp;_fix60"/>
      <sheetName val="fa-pl_&amp;_mach-Off60"/>
      <sheetName val="B_Equity-sdpl_INC60"/>
      <sheetName val="inout_consol_wkg60"/>
      <sheetName val="inout_consol_WKNG60"/>
      <sheetName val="B_Sheet_9760"/>
      <sheetName val="P&amp;L_97_60"/>
      <sheetName val="B_Sheet_97-BEXP60"/>
      <sheetName val="P&amp;L_97_-BEXP60"/>
      <sheetName val="consol_flows60"/>
      <sheetName val="sdpl_oth_Liab60"/>
      <sheetName val="obpl-oth_liab60"/>
      <sheetName val="G_land_advance60"/>
      <sheetName val="I-Wip-ot_(2)60"/>
      <sheetName val="detail_WIP_(2)60"/>
      <sheetName val="detail_G-160"/>
      <sheetName val="sobha_menon_ac60"/>
      <sheetName val="pnc_ac60"/>
      <sheetName val="fix_-p_&amp;_M_-SCC60"/>
      <sheetName val="C_fix_asst60"/>
      <sheetName val="D_fix_asst_scdl_60"/>
      <sheetName val="creditors_tb_obpl60"/>
      <sheetName val="TBAL9697_-group_wise__sdpl70"/>
      <sheetName val="TBAL9697_-group_wise_60"/>
      <sheetName val="crs_-G-160"/>
      <sheetName val="TBAL9697_-group_wise__onpl60"/>
      <sheetName val="B_Sheet_97-OBPL60"/>
      <sheetName val="B_Sheet_97_sdpl60"/>
      <sheetName val="TBAL9697_-group_wise__sdpl260"/>
      <sheetName val="inout_consol_jan60"/>
      <sheetName val="consol_flow60"/>
      <sheetName val="D_Loan__Prom60"/>
      <sheetName val="E_Bank_Loan60"/>
      <sheetName val="G_work_Cap60"/>
      <sheetName val="H_land_adv-dec60"/>
      <sheetName val="J_Con_WIP60"/>
      <sheetName val="detail_J60"/>
      <sheetName val="L_Oth_Co60"/>
      <sheetName val="K_fix_asst__60"/>
      <sheetName val="C_fix_asst-SDPL_60"/>
      <sheetName val="TBAL9697__group_wise__sdpl60"/>
      <sheetName val="inout_consol_okg60"/>
      <sheetName val="detail_OIP_(2)60"/>
      <sheetName val="D_fix_ysst_scdl_60"/>
      <sheetName val="cre`itors_tb_obpl60"/>
      <sheetName val="3AL9697_-group_wise__onpl60"/>
      <sheetName val="L_Oth_Bo59"/>
      <sheetName val="3‰AL9697_-group_wise__onpl59"/>
      <sheetName val="Civil_Boq59"/>
      <sheetName val="Staff_Acco_59"/>
      <sheetName val="SITE_OVERHEADS59"/>
      <sheetName val="PRECAST_lightconc-II57"/>
      <sheetName val="1__PayRec56"/>
      <sheetName val="Boq_Block_A59"/>
      <sheetName val="Cashflow_projection56"/>
      <sheetName val="Project-Material_59"/>
      <sheetName val="SPT_vs_PHI56"/>
      <sheetName val="key_dates56"/>
      <sheetName val="ino4t_conso,-nov56"/>
      <sheetName val="(nout_co,sol_(2)56"/>
      <sheetName val="Blr_hire56"/>
      <sheetName val="_bpl,oth_lia_56"/>
      <sheetName val="G_,and_adv_nce56"/>
      <sheetName val="I,Wip-ot__2)56"/>
      <sheetName val="det!il_WIP_(2)56"/>
      <sheetName val="de4ail_G-156"/>
      <sheetName val="sobha_mennn_ac56"/>
      <sheetName val="C_&amp;ix_asst56"/>
      <sheetName val="_x005f_x0003_dpl_oth_Lia`56"/>
      <sheetName val="TBAL9697__x005f_x000d_grotp_wise_56"/>
      <sheetName val="St_co_91_5lvl56"/>
      <sheetName val="3�AL9697_-group_wise__onpl59"/>
      <sheetName val="INPUT_SHEET56"/>
      <sheetName val="Stress_Calculation56"/>
      <sheetName val="Labor_abs-NMR56"/>
      <sheetName val="Sun_E_Type56"/>
      <sheetName val="CORPN_O?T56"/>
      <sheetName val="Fin_Sum56"/>
      <sheetName val="CORPN_O_x005f_x0000_T56"/>
      <sheetName val="TBAL9697__x000a_grotp_wise_56"/>
      <sheetName val="labour_coeff54"/>
      <sheetName val="Shuttering_Analysis54"/>
      <sheetName val="General_P+M54"/>
      <sheetName val="Curing_Analysis_54"/>
      <sheetName val="Concrete_P+M_(_RMC_)54"/>
      <sheetName val="P+M_(_SMC_)54"/>
      <sheetName val="P+M_-EW54"/>
      <sheetName val="P&amp;L_-_AD54"/>
      <sheetName val="SUPPLY_-Sanitary_Fixtures56"/>
      <sheetName val="ITEMS_FOR_CIVIL_TENDER56"/>
      <sheetName val="_x005f_x005f_x005f_x0003_dpl_oth_Lia`56"/>
      <sheetName val="TBAL9697__x005f_x005f_x005f_x000d_grotp_w56"/>
      <sheetName val="Fin__Assumpt__-_Sensitivities54"/>
      <sheetName val="LOAD_SHEET_54"/>
      <sheetName val="Fill_this_out_first___54"/>
      <sheetName val="Labour_productivity54"/>
      <sheetName val="RCC,Ret__Wall54"/>
      <sheetName val="CORPN_O56"/>
      <sheetName val="CORPN_O_T54"/>
      <sheetName val="Area_&amp;_Cate__Master54"/>
      <sheetName val="Bill_No_554"/>
      <sheetName val="TBAL9697__grotp_wise_108"/>
      <sheetName val="11B_54"/>
      <sheetName val="Structure_Bills_Qty54"/>
      <sheetName val="DG_56"/>
      <sheetName val="BOQ_(2)54"/>
      <sheetName val="Fee_Rate_Summary54"/>
      <sheetName val="Name_List54"/>
      <sheetName val="Detail_1A54"/>
      <sheetName val="Sheet_154"/>
      <sheetName val="3BPA00132-5-3_W_plan_HVPNL54"/>
      <sheetName val="Mix_Design54"/>
      <sheetName val="DLC_lookups54"/>
      <sheetName val="Driveway_Beams54"/>
      <sheetName val="TBAL9697__x005f_x000a_grotp_wise_54"/>
      <sheetName val="Quote_Sheet54"/>
      <sheetName val="d-safe_DELUXE54"/>
      <sheetName val="Works_-_Quote_Sheet54"/>
      <sheetName val="IO_LIST54"/>
      <sheetName val="TBAL9697__x005f_x000d_grotp_wis54"/>
      <sheetName val="TBAL9697__grotp_wise_109"/>
      <sheetName val="Cat_A_Change_Control54"/>
      <sheetName val="Break_up_Sheet54"/>
      <sheetName val="Summary_of_P_&amp;_M54"/>
      <sheetName val="ISO_Reconcilation_Statment54"/>
      <sheetName val="AVG_pur_rate54"/>
      <sheetName val="Break_Dw54"/>
      <sheetName val="LIST_OF_MAKES54"/>
      <sheetName val="Assumption_Inputs54"/>
      <sheetName val="Civil_Works54"/>
      <sheetName val="Form_654"/>
      <sheetName val="acevsSp_(ABC)54"/>
      <sheetName val="A_O_R_54"/>
      <sheetName val="CORPN_O_x005f_x005f_x005f_x0000_T54"/>
      <sheetName val="220_11__BS_54"/>
      <sheetName val="FITZ_MORT_9454"/>
      <sheetName val="Intro_54"/>
      <sheetName val="BLOCK-A_(MEA_SHEET)54"/>
      <sheetName val="NLD_-_Assum54"/>
      <sheetName val="Section_Catalogue54"/>
      <sheetName val="TB9798OBPL06_(2)63"/>
      <sheetName val="CORPN_OCT63"/>
      <sheetName val="inout_consol-nov63"/>
      <sheetName val="inout_consol_(2)63"/>
      <sheetName val="AS_ON_DT_EXPS_Mar63"/>
      <sheetName val="fa-pl_&amp;_mach-site63"/>
      <sheetName val="fa_off_eqp63"/>
      <sheetName val="fa_fur&amp;_fix63"/>
      <sheetName val="fa-pl_&amp;_mach-Off63"/>
      <sheetName val="B_Equity-sdpl_INC63"/>
      <sheetName val="inout_consol_wkg63"/>
      <sheetName val="inout_consol_WKNG63"/>
      <sheetName val="B_Sheet_9763"/>
      <sheetName val="P&amp;L_97_63"/>
      <sheetName val="B_Sheet_97-BEXP63"/>
      <sheetName val="P&amp;L_97_-BEXP63"/>
      <sheetName val="consol_flows63"/>
      <sheetName val="sdpl_oth_Liab63"/>
      <sheetName val="obpl-oth_liab63"/>
      <sheetName val="G_land_advance63"/>
      <sheetName val="I-Wip-ot_(2)63"/>
      <sheetName val="detail_WIP_(2)63"/>
      <sheetName val="detail_G-163"/>
      <sheetName val="sobha_menon_ac63"/>
      <sheetName val="pnc_ac63"/>
      <sheetName val="fix_-p_&amp;_M_-SCC63"/>
      <sheetName val="C_fix_asst63"/>
      <sheetName val="D_fix_asst_scdl_63"/>
      <sheetName val="creditors_tb_obpl63"/>
      <sheetName val="TBAL9697_-group_wise__sdpl73"/>
      <sheetName val="TBAL9697_-group_wise_63"/>
      <sheetName val="crs_-G-163"/>
      <sheetName val="TBAL9697_-group_wise__onpl63"/>
      <sheetName val="B_Sheet_97-OBPL63"/>
      <sheetName val="B_Sheet_97_sdpl63"/>
      <sheetName val="TBAL9697_-group_wise__sdpl263"/>
      <sheetName val="inout_consol_jan63"/>
      <sheetName val="consol_flow63"/>
      <sheetName val="D_Loan__Prom63"/>
      <sheetName val="E_Bank_Loan63"/>
      <sheetName val="G_work_Cap63"/>
      <sheetName val="H_land_adv-dec63"/>
      <sheetName val="J_Con_WIP63"/>
      <sheetName val="detail_J63"/>
      <sheetName val="L_Oth_Co63"/>
      <sheetName val="K_fix_asst__63"/>
      <sheetName val="C_fix_asst-SDPL_63"/>
      <sheetName val="TBAL9697__group_wise__sdpl63"/>
      <sheetName val="inout_consol_okg63"/>
      <sheetName val="detail_OIP_(2)63"/>
      <sheetName val="D_fix_ysst_scdl_63"/>
      <sheetName val="cre`itors_tb_obpl63"/>
      <sheetName val="3AL9697_-group_wise__onpl63"/>
      <sheetName val="L_Oth_Bo62"/>
      <sheetName val="3‰AL9697_-group_wise__onpl62"/>
      <sheetName val="Civil_Boq62"/>
      <sheetName val="Staff_Acco_62"/>
      <sheetName val="SITE_OVERHEADS62"/>
      <sheetName val="PRECAST_lightconc-II60"/>
      <sheetName val="1__PayRec59"/>
      <sheetName val="Boq_Block_A62"/>
      <sheetName val="Cashflow_projection59"/>
      <sheetName val="Project-Material_62"/>
      <sheetName val="SPT_vs_PHI59"/>
      <sheetName val="key_dates59"/>
      <sheetName val="ino4t_conso,-nov59"/>
      <sheetName val="(nout_co,sol_(2)59"/>
      <sheetName val="Blr_hire59"/>
      <sheetName val="_bpl,oth_lia_59"/>
      <sheetName val="G_,and_adv_nce59"/>
      <sheetName val="I,Wip-ot__2)59"/>
      <sheetName val="det!il_WIP_(2)59"/>
      <sheetName val="de4ail_G-159"/>
      <sheetName val="sobha_mennn_ac59"/>
      <sheetName val="C_&amp;ix_asst59"/>
      <sheetName val="_x005f_x0003_dpl_oth_Lia`59"/>
      <sheetName val="TBAL9697__x005f_x000d_grotp_wise_59"/>
      <sheetName val="St_co_91_5lvl59"/>
      <sheetName val="3�AL9697_-group_wise__onpl62"/>
      <sheetName val="INPUT_SHEET59"/>
      <sheetName val="Stress_Calculation59"/>
      <sheetName val="Labor_abs-NMR59"/>
      <sheetName val="Sun_E_Type59"/>
      <sheetName val="CORPN_O?T59"/>
      <sheetName val="Fin_Sum59"/>
      <sheetName val="CORPN_O_x005f_x0000_T59"/>
      <sheetName val="TBAL9697__x000a_grotp_wise_59"/>
      <sheetName val="labour_coeff57"/>
      <sheetName val="Shuttering_Analysis57"/>
      <sheetName val="General_P+M57"/>
      <sheetName val="Curing_Analysis_57"/>
      <sheetName val="Concrete_P+M_(_RMC_)57"/>
      <sheetName val="P+M_(_SMC_)57"/>
      <sheetName val="P+M_-EW57"/>
      <sheetName val="P&amp;L_-_AD57"/>
      <sheetName val="SUPPLY_-Sanitary_Fixtures59"/>
      <sheetName val="ITEMS_FOR_CIVIL_TENDER59"/>
      <sheetName val="_x005f_x005f_x005f_x0003_dpl_oth_Lia`59"/>
      <sheetName val="TBAL9697__x005f_x005f_x005f_x000d_grotp_w59"/>
      <sheetName val="Fin__Assumpt__-_Sensitivities57"/>
      <sheetName val="LOAD_SHEET_57"/>
      <sheetName val="Fill_this_out_first___57"/>
      <sheetName val="Labour_productivity57"/>
      <sheetName val="RCC,Ret__Wall57"/>
      <sheetName val="CORPN_O59"/>
      <sheetName val="CORPN_O_T57"/>
      <sheetName val="Area_&amp;_Cate__Master57"/>
      <sheetName val="Bill_No_557"/>
      <sheetName val="11B_57"/>
      <sheetName val="Structure_Bills_Qty57"/>
      <sheetName val="DG_59"/>
      <sheetName val="BOQ_(2)57"/>
      <sheetName val="Fee_Rate_Summary57"/>
      <sheetName val="Name_List57"/>
      <sheetName val="Detail_1A57"/>
      <sheetName val="Sheet_157"/>
      <sheetName val="3BPA00132-5-3_W_plan_HVPNL57"/>
      <sheetName val="Mix_Design57"/>
      <sheetName val="DLC_lookups57"/>
      <sheetName val="Driveway_Beams57"/>
      <sheetName val="TBAL9697__x005f_x000a_grotp_wise_57"/>
      <sheetName val="Quote_Sheet57"/>
      <sheetName val="d-safe_DELUXE57"/>
      <sheetName val="Works_-_Quote_Sheet57"/>
      <sheetName val="IO_LIST57"/>
      <sheetName val="TBAL9697__x005f_x000d_grotp_wis57"/>
      <sheetName val="Cat_A_Change_Control57"/>
      <sheetName val="Break_up_Sheet57"/>
      <sheetName val="Summary_of_P_&amp;_M57"/>
      <sheetName val="ISO_Reconcilation_Statment57"/>
      <sheetName val="AVG_pur_rate57"/>
      <sheetName val="Break_Dw57"/>
      <sheetName val="LIST_OF_MAKES57"/>
      <sheetName val="Assumption_Inputs57"/>
      <sheetName val="Civil_Works57"/>
      <sheetName val="Form_657"/>
      <sheetName val="acevsSp_(ABC)57"/>
      <sheetName val="A_O_R_57"/>
      <sheetName val="CORPN_O_x005f_x005f_x005f_x0000_T57"/>
      <sheetName val="220_11__BS_57"/>
      <sheetName val="FITZ_MORT_9457"/>
      <sheetName val="Intro_57"/>
      <sheetName val="BLOCK-A_(MEA_SHEET)57"/>
      <sheetName val="NLD_-_Assum57"/>
      <sheetName val="Section_Catalogue57"/>
      <sheetName val="TB9798OBPL06_(2)64"/>
      <sheetName val="CORPN_OCT64"/>
      <sheetName val="inout_consol-nov64"/>
      <sheetName val="inout_consol_(2)64"/>
      <sheetName val="AS_ON_DT_EXPS_Mar64"/>
      <sheetName val="fa-pl_&amp;_mach-site64"/>
      <sheetName val="fa_off_eqp64"/>
      <sheetName val="fa_fur&amp;_fix64"/>
      <sheetName val="fa-pl_&amp;_mach-Off64"/>
      <sheetName val="B_Equity-sdpl_INC64"/>
      <sheetName val="inout_consol_wkg64"/>
      <sheetName val="inout_consol_WKNG64"/>
      <sheetName val="B_Sheet_9764"/>
      <sheetName val="P&amp;L_97_64"/>
      <sheetName val="B_Sheet_97-BEXP64"/>
      <sheetName val="P&amp;L_97_-BEXP64"/>
      <sheetName val="consol_flows64"/>
      <sheetName val="sdpl_oth_Liab64"/>
      <sheetName val="obpl-oth_liab64"/>
      <sheetName val="G_land_advance64"/>
      <sheetName val="I-Wip-ot_(2)64"/>
      <sheetName val="detail_WIP_(2)64"/>
      <sheetName val="detail_G-164"/>
      <sheetName val="sobha_menon_ac64"/>
      <sheetName val="pnc_ac64"/>
      <sheetName val="fix_-p_&amp;_M_-SCC64"/>
      <sheetName val="C_fix_asst64"/>
      <sheetName val="D_fix_asst_scdl_64"/>
      <sheetName val="creditors_tb_obpl64"/>
      <sheetName val="TBAL9697_-group_wise__sdpl74"/>
      <sheetName val="TBAL9697_-group_wise_64"/>
      <sheetName val="crs_-G-164"/>
      <sheetName val="TBAL9697_-group_wise__onpl64"/>
      <sheetName val="B_Sheet_97-OBPL64"/>
      <sheetName val="B_Sheet_97_sdpl64"/>
      <sheetName val="TBAL9697_-group_wise__sdpl264"/>
      <sheetName val="inout_consol_jan64"/>
      <sheetName val="consol_flow64"/>
      <sheetName val="D_Loan__Prom64"/>
      <sheetName val="E_Bank_Loan64"/>
      <sheetName val="G_work_Cap64"/>
      <sheetName val="H_land_adv-dec64"/>
      <sheetName val="J_Con_WIP64"/>
      <sheetName val="detail_J64"/>
      <sheetName val="L_Oth_Co64"/>
      <sheetName val="K_fix_asst__64"/>
      <sheetName val="C_fix_asst-SDPL_64"/>
      <sheetName val="TBAL9697__group_wise__sdpl64"/>
      <sheetName val="inout_consol_okg64"/>
      <sheetName val="detail_OIP_(2)64"/>
      <sheetName val="D_fix_ysst_scdl_64"/>
      <sheetName val="cre`itors_tb_obpl64"/>
      <sheetName val="3AL9697_-group_wise__onpl64"/>
      <sheetName val="L_Oth_Bo63"/>
      <sheetName val="3‰AL9697_-group_wise__onpl63"/>
      <sheetName val="Civil_Boq63"/>
      <sheetName val="Staff_Acco_63"/>
      <sheetName val="SITE_OVERHEADS63"/>
      <sheetName val="PRECAST_lightconc-II61"/>
      <sheetName val="1__PayRec60"/>
      <sheetName val="Boq_Block_A63"/>
      <sheetName val="Cashflow_projection60"/>
      <sheetName val="Project-Material_63"/>
      <sheetName val="SPT_vs_PHI60"/>
      <sheetName val="key_dates60"/>
      <sheetName val="ino4t_conso,-nov60"/>
      <sheetName val="(nout_co,sol_(2)60"/>
      <sheetName val="Blr_hire60"/>
      <sheetName val="_bpl,oth_lia_60"/>
      <sheetName val="G_,and_adv_nce60"/>
      <sheetName val="I,Wip-ot__2)60"/>
      <sheetName val="det!il_WIP_(2)60"/>
      <sheetName val="de4ail_G-160"/>
      <sheetName val="sobha_mennn_ac60"/>
      <sheetName val="C_&amp;ix_asst60"/>
      <sheetName val="_x005f_x0003_dpl_oth_Lia`60"/>
      <sheetName val="TBAL9697__x005f_x000d_grotp_wise_60"/>
      <sheetName val="St_co_91_5lvl60"/>
      <sheetName val="3�AL9697_-group_wise__onpl63"/>
      <sheetName val="INPUT_SHEET60"/>
      <sheetName val="Stress_Calculation60"/>
      <sheetName val="Labor_abs-NMR60"/>
      <sheetName val="Sun_E_Type60"/>
      <sheetName val="CORPN_O?T60"/>
      <sheetName val="Fin_Sum60"/>
      <sheetName val="CORPN_O_x005f_x0000_T60"/>
      <sheetName val="TBAL9697__x000a_grotp_wise_60"/>
      <sheetName val="labour_coeff58"/>
      <sheetName val="Shuttering_Analysis58"/>
      <sheetName val="General_P+M58"/>
      <sheetName val="Curing_Analysis_58"/>
      <sheetName val="Concrete_P+M_(_RMC_)58"/>
      <sheetName val="P+M_(_SMC_)58"/>
      <sheetName val="P+M_-EW58"/>
      <sheetName val="P&amp;L_-_AD58"/>
      <sheetName val="SUPPLY_-Sanitary_Fixtures60"/>
      <sheetName val="ITEMS_FOR_CIVIL_TENDER60"/>
      <sheetName val="_x005f_x005f_x005f_x0003_dpl_oth_Lia`60"/>
      <sheetName val="TBAL9697__x005f_x005f_x005f_x000d_grotp_w60"/>
      <sheetName val="Fin__Assumpt__-_Sensitivities58"/>
      <sheetName val="LOAD_SHEET_58"/>
      <sheetName val="Fill_this_out_first___58"/>
      <sheetName val="Labour_productivity58"/>
      <sheetName val="RCC,Ret__Wall58"/>
      <sheetName val="CORPN_O60"/>
      <sheetName val="CORPN_O_T58"/>
      <sheetName val="Area_&amp;_Cate__Master58"/>
      <sheetName val="Bill_No_558"/>
      <sheetName val="11B_58"/>
      <sheetName val="Structure_Bills_Qty58"/>
      <sheetName val="DG_60"/>
      <sheetName val="BOQ_(2)58"/>
      <sheetName val="Fee_Rate_Summary58"/>
      <sheetName val="Name_List58"/>
      <sheetName val="Detail_1A58"/>
      <sheetName val="Sheet_158"/>
      <sheetName val="3BPA00132-5-3_W_plan_HVPNL58"/>
      <sheetName val="Mix_Design58"/>
      <sheetName val="DLC_lookups58"/>
      <sheetName val="Driveway_Beams58"/>
      <sheetName val="TBAL9697__x005f_x000a_grotp_wise_58"/>
      <sheetName val="Quote_Sheet58"/>
      <sheetName val="d-safe_DELUXE58"/>
      <sheetName val="Works_-_Quote_Sheet58"/>
      <sheetName val="IO_LIST58"/>
      <sheetName val="TBAL9697__x005f_x000d_grotp_wis58"/>
      <sheetName val="Cat_A_Change_Control58"/>
      <sheetName val="Break_up_Sheet58"/>
      <sheetName val="Summary_of_P_&amp;_M58"/>
      <sheetName val="ISO_Reconcilation_Statment58"/>
      <sheetName val="AVG_pur_rate58"/>
      <sheetName val="Break_Dw58"/>
      <sheetName val="LIST_OF_MAKES58"/>
      <sheetName val="Assumption_Inputs58"/>
      <sheetName val="Civil_Works58"/>
      <sheetName val="Form_658"/>
      <sheetName val="acevsSp_(ABC)58"/>
      <sheetName val="A_O_R_58"/>
      <sheetName val="CORPN_O_x005f_x005f_x005f_x0000_T58"/>
      <sheetName val="220_11__BS_58"/>
      <sheetName val="FITZ_MORT_9458"/>
      <sheetName val="Intro_58"/>
      <sheetName val="BLOCK-A_(MEA_SHEET)58"/>
      <sheetName val="NLD_-_Assum58"/>
      <sheetName val="Section_Catalogue58"/>
      <sheetName val="TB9798OBPL06_(2)65"/>
      <sheetName val="CORPN_OCT65"/>
      <sheetName val="inout_consol-nov65"/>
      <sheetName val="inout_consol_(2)65"/>
      <sheetName val="AS_ON_DT_EXPS_Mar65"/>
      <sheetName val="fa-pl_&amp;_mach-site65"/>
      <sheetName val="fa_off_eqp65"/>
      <sheetName val="fa_fur&amp;_fix65"/>
      <sheetName val="fa-pl_&amp;_mach-Off65"/>
      <sheetName val="B_Equity-sdpl_INC65"/>
      <sheetName val="inout_consol_wkg65"/>
      <sheetName val="inout_consol_WKNG65"/>
      <sheetName val="B_Sheet_9765"/>
      <sheetName val="P&amp;L_97_65"/>
      <sheetName val="B_Sheet_97-BEXP65"/>
      <sheetName val="P&amp;L_97_-BEXP65"/>
      <sheetName val="consol_flows65"/>
      <sheetName val="sdpl_oth_Liab65"/>
      <sheetName val="obpl-oth_liab65"/>
      <sheetName val="G_land_advance65"/>
      <sheetName val="I-Wip-ot_(2)65"/>
      <sheetName val="detail_WIP_(2)65"/>
      <sheetName val="detail_G-165"/>
      <sheetName val="sobha_menon_ac65"/>
      <sheetName val="pnc_ac65"/>
      <sheetName val="fix_-p_&amp;_M_-SCC65"/>
      <sheetName val="C_fix_asst65"/>
      <sheetName val="D_fix_asst_scdl_65"/>
      <sheetName val="creditors_tb_obpl65"/>
      <sheetName val="TBAL9697_-group_wise__sdpl75"/>
      <sheetName val="TBAL9697_-group_wise_65"/>
      <sheetName val="crs_-G-165"/>
      <sheetName val="TBAL9697_-group_wise__onpl65"/>
      <sheetName val="B_Sheet_97-OBPL65"/>
      <sheetName val="B_Sheet_97_sdpl65"/>
      <sheetName val="TBAL9697_-group_wise__sdpl265"/>
      <sheetName val="inout_consol_jan65"/>
      <sheetName val="consol_flow65"/>
      <sheetName val="D_Loan__Prom65"/>
      <sheetName val="E_Bank_Loan65"/>
      <sheetName val="G_work_Cap65"/>
      <sheetName val="H_land_adv-dec65"/>
      <sheetName val="J_Con_WIP65"/>
      <sheetName val="detail_J65"/>
      <sheetName val="L_Oth_Co65"/>
      <sheetName val="K_fix_asst__65"/>
      <sheetName val="C_fix_asst-SDPL_65"/>
      <sheetName val="TBAL9697__group_wise__sdpl65"/>
      <sheetName val="inout_consol_okg65"/>
      <sheetName val="detail_OIP_(2)65"/>
      <sheetName val="D_fix_ysst_scdl_65"/>
      <sheetName val="cre`itors_tb_obpl65"/>
      <sheetName val="3AL9697_-group_wise__onpl65"/>
      <sheetName val="L_Oth_Bo64"/>
      <sheetName val="3‰AL9697_-group_wise__onpl64"/>
      <sheetName val="Civil_Boq64"/>
      <sheetName val="Staff_Acco_64"/>
      <sheetName val="SITE_OVERHEADS64"/>
      <sheetName val="PRECAST_lightconc-II62"/>
      <sheetName val="1__PayRec61"/>
      <sheetName val="Boq_Block_A64"/>
      <sheetName val="Cashflow_projection61"/>
      <sheetName val="Project-Material_64"/>
      <sheetName val="SPT_vs_PHI61"/>
      <sheetName val="key_dates61"/>
      <sheetName val="ino4t_conso,-nov61"/>
      <sheetName val="(nout_co,sol_(2)61"/>
      <sheetName val="Blr_hire61"/>
      <sheetName val="_bpl,oth_lia_61"/>
      <sheetName val="G_,and_adv_nce61"/>
      <sheetName val="I,Wip-ot__2)61"/>
      <sheetName val="det!il_WIP_(2)61"/>
      <sheetName val="de4ail_G-161"/>
      <sheetName val="sobha_mennn_ac61"/>
      <sheetName val="C_&amp;ix_asst61"/>
      <sheetName val="_x005f_x0003_dpl_oth_Lia`61"/>
      <sheetName val="TBAL9697__x005f_x000d_grotp_wise_61"/>
      <sheetName val="St_co_91_5lvl61"/>
      <sheetName val="3�AL9697_-group_wise__onpl64"/>
      <sheetName val="INPUT_SHEET61"/>
      <sheetName val="Stress_Calculation61"/>
      <sheetName val="Labor_abs-NMR61"/>
      <sheetName val="Sun_E_Type61"/>
      <sheetName val="CORPN_O?T61"/>
      <sheetName val="Fin_Sum61"/>
      <sheetName val="CORPN_O_x005f_x0000_T61"/>
      <sheetName val="TBAL9697__x000a_grotp_wise_61"/>
      <sheetName val="labour_coeff59"/>
      <sheetName val="Shuttering_Analysis59"/>
      <sheetName val="General_P+M59"/>
      <sheetName val="Curing_Analysis_59"/>
      <sheetName val="Concrete_P+M_(_RMC_)59"/>
      <sheetName val="P+M_(_SMC_)59"/>
      <sheetName val="P+M_-EW59"/>
      <sheetName val="P&amp;L_-_AD59"/>
      <sheetName val="SUPPLY_-Sanitary_Fixtures61"/>
      <sheetName val="ITEMS_FOR_CIVIL_TENDER61"/>
      <sheetName val="_x005f_x005f_x005f_x0003_dpl_oth_Lia`61"/>
      <sheetName val="TBAL9697__x005f_x005f_x005f_x000d_grotp_w61"/>
      <sheetName val="Fin__Assumpt__-_Sensitivities59"/>
      <sheetName val="LOAD_SHEET_59"/>
      <sheetName val="Fill_this_out_first___59"/>
      <sheetName val="Labour_productivity59"/>
      <sheetName val="RCC,Ret__Wall59"/>
      <sheetName val="CORPN_O61"/>
      <sheetName val="CORPN_O_T59"/>
      <sheetName val="Area_&amp;_Cate__Master59"/>
      <sheetName val="Bill_No_559"/>
      <sheetName val="11B_59"/>
      <sheetName val="Structure_Bills_Qty59"/>
      <sheetName val="DG_61"/>
      <sheetName val="BOQ_(2)59"/>
      <sheetName val="Fee_Rate_Summary59"/>
      <sheetName val="Name_List59"/>
      <sheetName val="Detail_1A59"/>
      <sheetName val="Sheet_159"/>
      <sheetName val="3BPA00132-5-3_W_plan_HVPNL59"/>
      <sheetName val="Mix_Design59"/>
      <sheetName val="DLC_lookups59"/>
      <sheetName val="Driveway_Beams59"/>
      <sheetName val="TBAL9697__x005f_x000a_grotp_wise_59"/>
      <sheetName val="Quote_Sheet59"/>
      <sheetName val="d-safe_DELUXE59"/>
      <sheetName val="Works_-_Quote_Sheet59"/>
      <sheetName val="IO_LIST59"/>
      <sheetName val="TBAL9697__x005f_x000d_grotp_wis59"/>
      <sheetName val="Cat_A_Change_Control59"/>
      <sheetName val="Break_up_Sheet59"/>
      <sheetName val="Summary_of_P_&amp;_M59"/>
      <sheetName val="ISO_Reconcilation_Statment59"/>
      <sheetName val="AVG_pur_rate59"/>
      <sheetName val="Break_Dw59"/>
      <sheetName val="LIST_OF_MAKES59"/>
      <sheetName val="Assumption_Inputs59"/>
      <sheetName val="Civil_Works59"/>
      <sheetName val="Form_659"/>
      <sheetName val="acevsSp_(ABC)59"/>
      <sheetName val="A_O_R_59"/>
      <sheetName val="CORPN_O_x005f_x005f_x005f_x0000_T59"/>
      <sheetName val="220_11__BS_59"/>
      <sheetName val="FITZ_MORT_9459"/>
      <sheetName val="Intro_59"/>
      <sheetName val="BLOCK-A_(MEA_SHEET)59"/>
      <sheetName val="NLD_-_Assum59"/>
      <sheetName val="Section_Catalogue59"/>
      <sheetName val="TB9798OBPL06_(2)66"/>
      <sheetName val="CORPN_OCT66"/>
      <sheetName val="inout_consol-nov66"/>
      <sheetName val="inout_consol_(2)66"/>
      <sheetName val="AS_ON_DT_EXPS_Mar66"/>
      <sheetName val="fa-pl_&amp;_mach-site66"/>
      <sheetName val="fa_off_eqp66"/>
      <sheetName val="fa_fur&amp;_fix66"/>
      <sheetName val="fa-pl_&amp;_mach-Off66"/>
      <sheetName val="B_Equity-sdpl_INC66"/>
      <sheetName val="inout_consol_wkg66"/>
      <sheetName val="inout_consol_WKNG66"/>
      <sheetName val="B_Sheet_9766"/>
      <sheetName val="P&amp;L_97_66"/>
      <sheetName val="B_Sheet_97-BEXP66"/>
      <sheetName val="P&amp;L_97_-BEXP66"/>
      <sheetName val="consol_flows66"/>
      <sheetName val="sdpl_oth_Liab66"/>
      <sheetName val="obpl-oth_liab66"/>
      <sheetName val="G_land_advance66"/>
      <sheetName val="I-Wip-ot_(2)66"/>
      <sheetName val="detail_WIP_(2)66"/>
      <sheetName val="detail_G-166"/>
      <sheetName val="sobha_menon_ac66"/>
      <sheetName val="pnc_ac66"/>
      <sheetName val="fix_-p_&amp;_M_-SCC66"/>
      <sheetName val="C_fix_asst66"/>
      <sheetName val="D_fix_asst_scdl_66"/>
      <sheetName val="creditors_tb_obpl66"/>
      <sheetName val="TBAL9697_-group_wise__sdpl76"/>
      <sheetName val="TBAL9697_-group_wise_66"/>
      <sheetName val="crs_-G-166"/>
      <sheetName val="TBAL9697_-group_wise__onpl66"/>
      <sheetName val="B_Sheet_97-OBPL66"/>
      <sheetName val="B_Sheet_97_sdpl66"/>
      <sheetName val="TBAL9697_-group_wise__sdpl266"/>
      <sheetName val="inout_consol_jan66"/>
      <sheetName val="consol_flow66"/>
      <sheetName val="D_Loan__Prom66"/>
      <sheetName val="E_Bank_Loan66"/>
      <sheetName val="G_work_Cap66"/>
      <sheetName val="H_land_adv-dec66"/>
      <sheetName val="J_Con_WIP66"/>
      <sheetName val="detail_J66"/>
      <sheetName val="L_Oth_Co66"/>
      <sheetName val="K_fix_asst__66"/>
      <sheetName val="C_fix_asst-SDPL_66"/>
      <sheetName val="TBAL9697__group_wise__sdpl66"/>
      <sheetName val="inout_consol_okg66"/>
      <sheetName val="detail_OIP_(2)66"/>
      <sheetName val="D_fix_ysst_scdl_66"/>
      <sheetName val="cre`itors_tb_obpl66"/>
      <sheetName val="3AL9697_-group_wise__onpl66"/>
      <sheetName val="L_Oth_Bo65"/>
      <sheetName val="3‰AL9697_-group_wise__onpl65"/>
      <sheetName val="Civil_Boq65"/>
      <sheetName val="Staff_Acco_65"/>
      <sheetName val="SITE_OVERHEADS65"/>
      <sheetName val="PRECAST_lightconc-II63"/>
      <sheetName val="1__PayRec62"/>
      <sheetName val="Boq_Block_A65"/>
      <sheetName val="Cashflow_projection62"/>
      <sheetName val="Project-Material_65"/>
      <sheetName val="SPT_vs_PHI62"/>
      <sheetName val="key_dates62"/>
      <sheetName val="ino4t_conso,-nov62"/>
      <sheetName val="(nout_co,sol_(2)62"/>
      <sheetName val="Blr_hire62"/>
      <sheetName val="_bpl,oth_lia_62"/>
      <sheetName val="G_,and_adv_nce62"/>
      <sheetName val="I,Wip-ot__2)62"/>
      <sheetName val="det!il_WIP_(2)62"/>
      <sheetName val="de4ail_G-162"/>
      <sheetName val="sobha_mennn_ac62"/>
      <sheetName val="C_&amp;ix_asst62"/>
      <sheetName val="_x005f_x0003_dpl_oth_Lia`62"/>
      <sheetName val="TBAL9697__x005f_x000d_grotp_wise_62"/>
      <sheetName val="St_co_91_5lvl62"/>
      <sheetName val="3�AL9697_-group_wise__onpl65"/>
      <sheetName val="INPUT_SHEET62"/>
      <sheetName val="Stress_Calculation62"/>
      <sheetName val="Labor_abs-NMR62"/>
      <sheetName val="Sun_E_Type62"/>
      <sheetName val="CORPN_O?T62"/>
      <sheetName val="Fin_Sum62"/>
      <sheetName val="CORPN_O_x005f_x0000_T62"/>
      <sheetName val="TBAL9697__x000a_grotp_wise_62"/>
      <sheetName val="labour_coeff60"/>
      <sheetName val="Shuttering_Analysis60"/>
      <sheetName val="General_P+M60"/>
      <sheetName val="Curing_Analysis_60"/>
      <sheetName val="Concrete_P+M_(_RMC_)60"/>
      <sheetName val="P+M_(_SMC_)60"/>
      <sheetName val="P+M_-EW60"/>
      <sheetName val="P&amp;L_-_AD60"/>
      <sheetName val="SUPPLY_-Sanitary_Fixtures62"/>
      <sheetName val="ITEMS_FOR_CIVIL_TENDER62"/>
      <sheetName val="_x005f_x005f_x005f_x0003_dpl_oth_Lia`62"/>
      <sheetName val="TBAL9697__x005f_x005f_x005f_x000d_grotp_w62"/>
      <sheetName val="Fin__Assumpt__-_Sensitivities60"/>
      <sheetName val="LOAD_SHEET_60"/>
      <sheetName val="Fill_this_out_first___60"/>
      <sheetName val="Labour_productivity60"/>
      <sheetName val="RCC,Ret__Wall60"/>
      <sheetName val="CORPN_O62"/>
      <sheetName val="CORPN_O_T60"/>
      <sheetName val="Area_&amp;_Cate__Master60"/>
      <sheetName val="Bill_No_560"/>
      <sheetName val="TBAL9697__grotp_wise_120"/>
      <sheetName val="11B_60"/>
      <sheetName val="Structure_Bills_Qty60"/>
      <sheetName val="DG_62"/>
      <sheetName val="BOQ_(2)60"/>
      <sheetName val="Fee_Rate_Summary60"/>
      <sheetName val="Name_List60"/>
      <sheetName val="Detail_1A60"/>
      <sheetName val="Sheet_160"/>
      <sheetName val="3BPA00132-5-3_W_plan_HVPNL60"/>
      <sheetName val="Mix_Design60"/>
      <sheetName val="DLC_lookups60"/>
      <sheetName val="Driveway_Beams60"/>
      <sheetName val="TBAL9697__x005f_x000a_grotp_wise_60"/>
      <sheetName val="Quote_Sheet60"/>
      <sheetName val="d-safe_DELUXE60"/>
      <sheetName val="Works_-_Quote_Sheet60"/>
      <sheetName val="IO_LIST60"/>
      <sheetName val="TBAL9697__x005f_x000d_grotp_wis60"/>
      <sheetName val="Cat_A_Change_Control60"/>
      <sheetName val="Break_up_Sheet60"/>
      <sheetName val="Summary_of_P_&amp;_M60"/>
      <sheetName val="ISO_Reconcilation_Statment60"/>
      <sheetName val="AVG_pur_rate60"/>
      <sheetName val="Break_Dw60"/>
      <sheetName val="LIST_OF_MAKES60"/>
      <sheetName val="Assumption_Inputs60"/>
      <sheetName val="Civil_Works60"/>
      <sheetName val="Form_660"/>
      <sheetName val="acevsSp_(ABC)60"/>
      <sheetName val="A_O_R_60"/>
      <sheetName val="CORPN_O_x005f_x005f_x005f_x0000_T60"/>
      <sheetName val="220_11__BS_60"/>
      <sheetName val="FITZ_MORT_9460"/>
      <sheetName val="Intro_60"/>
      <sheetName val="BLOCK-A_(MEA_SHEET)60"/>
      <sheetName val="NLD_-_Assum60"/>
      <sheetName val="Section_Catalogue60"/>
      <sheetName val="Detailed Summary (4)"/>
      <sheetName val="BS"/>
      <sheetName val="bs BP 04 SA"/>
      <sheetName val="Col up to plinth"/>
      <sheetName val="Footing"/>
      <sheetName val="int. pla."/>
      <sheetName val="Break_Up (bc)"/>
      <sheetName val="Break_Up (bc1)"/>
      <sheetName val="Break_Up (bc2)"/>
      <sheetName val="A.O.R r1"/>
      <sheetName val="A.O.R r1Str"/>
      <sheetName val="HPL"/>
      <sheetName val="Order Info"/>
      <sheetName val="OHT_Abs"/>
      <sheetName val="Micro"/>
      <sheetName val="Macro"/>
      <sheetName val="Scaff-Rose"/>
      <sheetName val="Inputs"/>
      <sheetName val="1st -vpd"/>
      <sheetName val="HEAD"/>
      <sheetName val="sheeet7"/>
      <sheetName val="재1"/>
      <sheetName val="KALK"/>
      <sheetName val="Cal"/>
      <sheetName val="Voucher"/>
      <sheetName val="Sum"/>
      <sheetName val="Input Data"/>
      <sheetName val="Calculation"/>
      <sheetName val="MLCP Connection Details"/>
      <sheetName val="BBS"/>
      <sheetName val="Flooring"/>
      <sheetName val="ELEC_BOQ"/>
      <sheetName val="RCC"/>
      <sheetName val="MERGED CODES &amp; NAMES"/>
      <sheetName val="TYPES"/>
      <sheetName val="INPUT (BPL)"/>
      <sheetName val="LINKS"/>
      <sheetName val="Legend"/>
      <sheetName val="Combined Results "/>
      <sheetName val="Loan Schedule"/>
      <sheetName val="Bed Class"/>
      <sheetName val="Cd"/>
      <sheetName val="P3"/>
      <sheetName val="BS8007"/>
      <sheetName val="EA Sheet"/>
      <sheetName val="Sales"/>
      <sheetName val="Calcs"/>
      <sheetName val="macros"/>
      <sheetName val="Sch4_14"/>
      <sheetName val="Sch1_3"/>
      <sheetName val="GM 000"/>
      <sheetName val="csdim"/>
      <sheetName val="cdsload"/>
      <sheetName val="chsload"/>
      <sheetName val="CLAMP"/>
      <sheetName val="cvsload"/>
      <sheetName val="pipe"/>
      <sheetName val="GM_000"/>
      <sheetName val="Table 4"/>
      <sheetName val="Table 5"/>
      <sheetName val="Table 2"/>
      <sheetName val="Table 27"/>
      <sheetName val="M- Rate"/>
      <sheetName val="ONE TIME"/>
      <sheetName val="Site Infrastructure"/>
      <sheetName val="Transfer"/>
      <sheetName val="New C PM"/>
      <sheetName val="Controls"/>
      <sheetName val="Rates"/>
      <sheetName val="Client Addresses"/>
      <sheetName val="New May"/>
      <sheetName val="TB MAR2004"/>
      <sheetName val="Staffing Sheet"/>
      <sheetName val="Data Elements-Staffing"/>
      <sheetName val="Basement Budget"/>
      <sheetName val="Insts"/>
      <sheetName val="BHANDUP"/>
      <sheetName val="4K - (6a) Non Manual Breakdown"/>
      <sheetName val="Internet"/>
      <sheetName val="Commodity Plan Front Block"/>
      <sheetName val="Commodity Plan Rear Block"/>
      <sheetName val="WXY"/>
      <sheetName val="99 조정금액"/>
      <sheetName val="Boq_ structure "/>
      <sheetName val="Category A - No Material"/>
      <sheetName val="Category B - Major Works"/>
      <sheetName val="Category C - Minor Works"/>
      <sheetName val="zone-8"/>
      <sheetName val="MHNO_LEV"/>
      <sheetName val="girder"/>
      <sheetName val="coa_ramco_168"/>
      <sheetName val="Publicbuilding"/>
      <sheetName val="Summ"/>
      <sheetName val="Fossil_DCF"/>
      <sheetName val="Ass4"/>
      <sheetName val="DCF"/>
      <sheetName val="Key Ass"/>
      <sheetName val="Hardware"/>
      <sheetName val="TBAL9697 _grotp wis"/>
      <sheetName val="Item-_Compact"/>
      <sheetName val="Detail_P&amp;L1"/>
      <sheetName val="Assumption_Sheet"/>
      <sheetName val="Material&amp;equipment"/>
      <sheetName val="2.0 Floor Area Summary"/>
      <sheetName val="TBAL9697__x000d_grotp_wi2"/>
      <sheetName val="TBAL9697__x000d_grotp_wi4"/>
      <sheetName val="TBAL9697__x000d_grotp_wi3"/>
      <sheetName val="TBAL9697__x000d_grotp_wi5"/>
      <sheetName val="TBAL9697__x000d_grotp_wi6"/>
      <sheetName val="TBAL9697__x000d_grotp_wi7"/>
      <sheetName val="TBAL9697__x000d_grotp_wi8"/>
      <sheetName val="TBAL9697__x000d_grotp_wi9"/>
      <sheetName val="TBAL9697__x000d_grotp_w10"/>
      <sheetName val="TBAL9697__x000d_grotp_w16"/>
      <sheetName val="TBAL9697__x000d_grotp_w12"/>
      <sheetName val="TBAL9697__x000d_grotp_w11"/>
      <sheetName val="TBAL9697__x000d_grotp_w13"/>
      <sheetName val="TBAL9697__x000d_grotp_w14"/>
      <sheetName val="TBAL9697__x000d_grotp_w15"/>
      <sheetName val="TBAL9697__x000d_grotp_w22"/>
      <sheetName val="TBAL9697__x000d_grotp_w17"/>
      <sheetName val="TBAL9697__x000d_grotp_w18"/>
      <sheetName val="TBAL9697__x000d_grotp_w19"/>
      <sheetName val="TBAL9697__x000d_grotp_w20"/>
      <sheetName val="TBAL9697__x000d_grotp_w21"/>
      <sheetName val="TBAL9697__x000d_grotp_w23"/>
      <sheetName val="TBAL9697__x000d_grotp_w24"/>
      <sheetName val="TBAL9697__x000d_grotp_w25"/>
      <sheetName val="TBAL9697__x000d_grotp_w26"/>
      <sheetName val="_x0003_dpl_ot"/>
      <sheetName val="TBAL9697__x02"/>
      <sheetName val="TBAL9697__x01"/>
      <sheetName val="TBAL9697__x03"/>
      <sheetName val="TBAL9697__x04"/>
      <sheetName val="TBAL9697__x05"/>
      <sheetName val="TBAL9697__x06"/>
      <sheetName val="TBAL9697__x07"/>
      <sheetName val="TBAL9697__x08"/>
      <sheetName val="TBAL9697__x14"/>
      <sheetName val="TBAL9697__x10"/>
      <sheetName val="TBAL9697__x09"/>
      <sheetName val="TBAL9697__x11"/>
      <sheetName val="TBAL9697__x12"/>
      <sheetName val="TBAL9697__x13"/>
      <sheetName val="TBAL9697__x20"/>
      <sheetName val="TBAL9697__x15"/>
      <sheetName val="TBAL9697__x16"/>
      <sheetName val="TBAL9697__x17"/>
      <sheetName val="TBAL9697__x18"/>
      <sheetName val="TBAL9697__x19"/>
      <sheetName val="TBAL9697__x21"/>
      <sheetName val="TBAL9697__x22"/>
      <sheetName val="TBAL9697__x23"/>
      <sheetName val="TBAL9697__x24"/>
      <sheetName val="Annexue B"/>
      <sheetName val="Lowside"/>
      <sheetName val="IT-Fri Base"/>
      <sheetName val="CMISFA"/>
      <sheetName val="00acttbl"/>
      <sheetName val="PSrpt25"/>
      <sheetName val="00budtbl"/>
      <sheetName val="Table"/>
      <sheetName val="Q3"/>
      <sheetName val="Capital Structure"/>
      <sheetName val="BASIC MATERIALS"/>
      <sheetName val="TBAL9697__x005f_x000a_grotp_wi1"/>
      <sheetName val="CORPN_O_x005f_x005f_x0001"/>
      <sheetName val="foot-slab reinft"/>
      <sheetName val="G_1_obpl_x005f_x005f_x005f_x005f_x000"/>
      <sheetName val="TBAL9697 _x005f_x005f_x005f_x005f_x00"/>
      <sheetName val="TBL9798_x005f_x005f_x005f_x005f_x0010"/>
      <sheetName val="CORPN O_x005f_x005f_x005f_x005f_x0000"/>
      <sheetName val="G_1_obpl_x005f_x005f_x005f_x005f_x005"/>
      <sheetName val="_x005f_x005f_x005f_x005f_x005f_x005f_x005f_x005f_"/>
      <sheetName val="TBAL9697__x005f_x005f_x005f_x005f_x00"/>
      <sheetName val="CORPN_O_x005f_x005f_x005f_x005f_x0000"/>
      <sheetName val="TBL9798_x005f_x005f_x005f_x005f_x005f"/>
      <sheetName val="CORPN O_x005f_x005f_x005f_x005f_x005f"/>
      <sheetName val="TBAL9697__x005f_x005f_x005f_x005f_x02"/>
      <sheetName val="TBAL9697__x005f_x005f_x005f_x005f_x01"/>
      <sheetName val="TBAL9697__x005f_x005f_x005f_x005f_x03"/>
      <sheetName val="TBAL9697__x005f_x005f_x005f_x005f_x04"/>
      <sheetName val="TBAL9697__x005f_x005f_x005f_x005f_x05"/>
      <sheetName val="TBAL9697__x005f_x005f_x005f_x005f_x06"/>
      <sheetName val="TBAL9697__x005f_x005f_x005f_x005f_x07"/>
      <sheetName val="TBAL9697__x005f_x005f_x005f_x005f_x08"/>
      <sheetName val="TBAL9697__x005f_x005f_x005f_x005f_x14"/>
      <sheetName val="TBAL9697__x005f_x005f_x005f_x005f_x10"/>
      <sheetName val="TBAL9697__x005f_x005f_x005f_x005f_x09"/>
      <sheetName val="TBAL9697__x005f_x005f_x005f_x005f_x11"/>
      <sheetName val="TBAL9697__x005f_x005f_x005f_x005f_x12"/>
      <sheetName val="TBAL9697__x005f_x005f_x005f_x005f_x13"/>
      <sheetName val="TBAL9697__x005f_x005f_x005f_x005f_x20"/>
      <sheetName val="TBAL9697__x005f_x005f_x005f_x005f_x15"/>
      <sheetName val="TBAL9697__x005f_x005f_x005f_x005f_x16"/>
      <sheetName val="TBAL9697__x005f_x005f_x005f_x005f_x17"/>
      <sheetName val="TBAL9697__x005f_x005f_x005f_x005f_x18"/>
      <sheetName val="TBAL9697__x005f_x005f_x005f_x005f_x19"/>
      <sheetName val="TBAL9697__x005f_x005f_x005f_x005f_x21"/>
      <sheetName val="TBAL9697__x005f_x005f_x005f_x005f_x22"/>
      <sheetName val="TBAL9697__x005f_x005f_x005f_x005f_x23"/>
      <sheetName val="TBAL9697__x005f_x005f_x005f_x005f_x24"/>
      <sheetName val="CORPN_O_x005f_x005f_x005f_x005f_x005f_x005f_x005f"/>
      <sheetName val="fa-pl &amp; myy_x005f_x005f_x005f_x000b__x005f_x005f_"/>
      <sheetName val="TBAL9697__x005f_x005f_x005f_x005f_x001"/>
      <sheetName val="Beam-Schedule-1"/>
      <sheetName val="Final"/>
      <sheetName val="water prop."/>
      <sheetName val="beam"/>
      <sheetName val="cALC"/>
      <sheetName val="UK"/>
      <sheetName val="CASH-FLOW"/>
      <sheetName val="Tie Beam Steel-R0-1"/>
      <sheetName val="Hypothèses"/>
      <sheetName val="switch"/>
      <sheetName val="Staff Acco_"/>
      <sheetName val="PB WORK"/>
      <sheetName val="TB9798OBPL06_(2)67"/>
      <sheetName val="CORPN_OCT67"/>
      <sheetName val="inout_consol-nov67"/>
      <sheetName val="inout_consol_(2)67"/>
      <sheetName val="AS_ON_DT_EXPS_Mar67"/>
      <sheetName val="fa-pl_&amp;_mach-site67"/>
      <sheetName val="fa_off_eqp67"/>
      <sheetName val="fa_fur&amp;_fix67"/>
      <sheetName val="fa-pl_&amp;_mach-Off67"/>
      <sheetName val="B_Equity-sdpl_INC67"/>
      <sheetName val="inout_consol_wkg67"/>
      <sheetName val="inout_consol_WKNG67"/>
      <sheetName val="B_Sheet_9767"/>
      <sheetName val="P&amp;L_97_67"/>
      <sheetName val="B_Sheet_97-BEXP67"/>
      <sheetName val="P&amp;L_97_-BEXP67"/>
      <sheetName val="consol_flows67"/>
      <sheetName val="sdpl_oth_Liab67"/>
      <sheetName val="obpl-oth_liab67"/>
      <sheetName val="G_land_advance67"/>
      <sheetName val="I-Wip-ot_(2)67"/>
      <sheetName val="detail_WIP_(2)67"/>
      <sheetName val="detail_G-167"/>
      <sheetName val="sobha_menon_ac67"/>
      <sheetName val="pnc_ac67"/>
      <sheetName val="fix_-p_&amp;_M_-SCC67"/>
      <sheetName val="C_fix_asst67"/>
      <sheetName val="D_fix_asst_scdl_67"/>
      <sheetName val="creditors_tb_obpl67"/>
      <sheetName val="TBAL9697_-group_wise__sdpl77"/>
      <sheetName val="TBAL9697_-group_wise_67"/>
      <sheetName val="crs_-G-167"/>
      <sheetName val="TBAL9697_-group_wise__onpl67"/>
      <sheetName val="B_Sheet_97-OBPL67"/>
      <sheetName val="B_Sheet_97_sdpl67"/>
      <sheetName val="TBAL9697_-group_wise__sdpl267"/>
      <sheetName val="inout_consol_jan67"/>
      <sheetName val="consol_flow67"/>
      <sheetName val="D_Loan__Prom67"/>
      <sheetName val="E_Bank_Loan67"/>
      <sheetName val="G_work_Cap67"/>
      <sheetName val="H_land_adv-dec67"/>
      <sheetName val="J_Con_WIP67"/>
      <sheetName val="detail_J67"/>
      <sheetName val="L_Oth_Co67"/>
      <sheetName val="K_fix_asst__67"/>
      <sheetName val="C_fix_asst-SDPL_67"/>
      <sheetName val="TBAL9697__group_wise__sdpl67"/>
      <sheetName val="inout_consol_okg67"/>
      <sheetName val="detail_OIP_(2)67"/>
      <sheetName val="D_fix_ysst_scdl_67"/>
      <sheetName val="cre`itors_tb_obpl67"/>
      <sheetName val="3AL9697_-group_wise__onpl67"/>
      <sheetName val="3‰AL9697_-group_wise__onpl66"/>
      <sheetName val="L_Oth_Bo66"/>
      <sheetName val="Civil_Boq66"/>
      <sheetName val="Staff_Acco_66"/>
      <sheetName val="SITE_OVERHEADS66"/>
      <sheetName val="PRECAST_lightconc-II64"/>
      <sheetName val="3�AL9697_-group_wise__onpl66"/>
      <sheetName val="Cashflow_projection63"/>
      <sheetName val="Boq_Block_A66"/>
      <sheetName val="1__PayRec63"/>
      <sheetName val="Project-Material_66"/>
      <sheetName val="SPT_vs_PHI63"/>
      <sheetName val="key_dates63"/>
      <sheetName val="dpl_oth_Lia`32"/>
      <sheetName val="_bpl,oth_lia_63"/>
      <sheetName val="G_,and_adv_nce63"/>
      <sheetName val="I,Wip-ot__2)63"/>
      <sheetName val="det!il_WIP_(2)63"/>
      <sheetName val="de4ail_G-163"/>
      <sheetName val="sobha_mennn_ac63"/>
      <sheetName val="C_&amp;ix_asst63"/>
      <sheetName val="_x005f_x0003_dpl_oth_Lia`63"/>
      <sheetName val="TBAL9697__x005f_x000d_grotp_wise_63"/>
      <sheetName val="St_co_91_5lvl63"/>
      <sheetName val="CORPN_OT31"/>
      <sheetName val="ino4t_conso,-nov63"/>
      <sheetName val="(nout_co,sol_(2)63"/>
      <sheetName val="Blr_hire63"/>
      <sheetName val="INPUT_SHEET63"/>
      <sheetName val="Stress_Calculation63"/>
      <sheetName val="CORPN_O63"/>
      <sheetName val="CORPN_O_T61"/>
      <sheetName val="DG_63"/>
      <sheetName val="CORPN_O?T63"/>
      <sheetName val="TBAL9697__x000a_grotp_wise_63"/>
      <sheetName val="Labor_abs-NMR63"/>
      <sheetName val="Sun_E_Type63"/>
      <sheetName val="Fin_Sum63"/>
      <sheetName val="CORPN_O_x005f_x0000_T63"/>
      <sheetName val="SUPPLY_-Sanitary_Fixtures63"/>
      <sheetName val="ITEMS_FOR_CIVIL_TENDER63"/>
      <sheetName val="labour_coeff61"/>
      <sheetName val="Shuttering_Analysis61"/>
      <sheetName val="General_P+M61"/>
      <sheetName val="Curing_Analysis_61"/>
      <sheetName val="Concrete_P+M_(_RMC_)61"/>
      <sheetName val="P+M_(_SMC_)61"/>
      <sheetName val="P+M_-EW61"/>
      <sheetName val="Quote_Sheet61"/>
      <sheetName val="d-safe_DELUXE61"/>
      <sheetName val="DLC_lookups61"/>
      <sheetName val="Works_-_Quote_Sheet61"/>
      <sheetName val="IO_LIST61"/>
      <sheetName val="_x005f_x005f_x005f_x0003_dpl_oth_Lia`63"/>
      <sheetName val="TBAL9697__x005f_x005f_x005f_x000d_grotp_w63"/>
      <sheetName val="TBAL9697__x005f_x000d_grotp_wis61"/>
      <sheetName val="TBAL9697__grotp_wise_130"/>
      <sheetName val="P&amp;L_-_AD61"/>
      <sheetName val="Fin__Assumpt__-_Sensitivities61"/>
      <sheetName val="LOAD_SHEET_61"/>
      <sheetName val="Fill_this_out_first___61"/>
      <sheetName val="Labour_productivity61"/>
      <sheetName val="RCC,Ret__Wall61"/>
      <sheetName val="Area_&amp;_Cate__Master61"/>
      <sheetName val="TBAL9697__x005f_x000a_grotp_wise_61"/>
      <sheetName val="TBAL9697__grotp_wise_137"/>
      <sheetName val="Bill_No_561"/>
      <sheetName val="11B_61"/>
      <sheetName val="BOQ_(2)61"/>
      <sheetName val="Driveway_Beams61"/>
      <sheetName val="Detail_1A61"/>
      <sheetName val="Fee_Rate_Summary61"/>
      <sheetName val="Name_List61"/>
      <sheetName val="Structure_Bills_Qty61"/>
      <sheetName val="Break_Dw61"/>
      <sheetName val="Sheet_161"/>
      <sheetName val="3BPA00132-5-3_W_plan_HVPNL61"/>
      <sheetName val="Mix_Design61"/>
      <sheetName val="CORPN_O_x005f_x005f_x005f_x0000_T61"/>
      <sheetName val="220_11__BS_61"/>
      <sheetName val="Cat_A_Change_Control61"/>
      <sheetName val="Break_up_Sheet61"/>
      <sheetName val="Summary_of_P_&amp;_M61"/>
      <sheetName val="FITZ_MORT_9461"/>
      <sheetName val="ISO_Reconcilation_Statment61"/>
      <sheetName val="AVG_pur_rate61"/>
      <sheetName val="tie_beam14"/>
      <sheetName val="LIST_OF_MAKES61"/>
      <sheetName val="Civil_Works61"/>
      <sheetName val="BLOCK-A_(MEA_SHEET)61"/>
      <sheetName val="Form_661"/>
      <sheetName val="acevsSp_(ABC)61"/>
      <sheetName val="A_O_R_61"/>
      <sheetName val="Intro_61"/>
      <sheetName val="NLD_-_Assum61"/>
      <sheetName val="Cash_Flow_Input_Data_ISC33"/>
      <sheetName val="DETAILED__BOQ31"/>
      <sheetName val="TBAL9697__x005f_x005f_x005f_x005f_x005f_x005f_x33"/>
      <sheetName val="CABLE_DATA31"/>
      <sheetName val="Assumption_Inputs61"/>
      <sheetName val="Section_Catalogue61"/>
      <sheetName val="Mat_-Rates31"/>
      <sheetName val="Legal_Risk_Analysis31"/>
      <sheetName val="Tender_Summary14"/>
      <sheetName val="Site_Dev_BOQ7"/>
      <sheetName val="Cost_summary6"/>
      <sheetName val="TBAL9697__grotp_wise_138"/>
      <sheetName val="TBAL9697__grotp_wise_139"/>
      <sheetName val="INDIGINEOUS_ITEMS_14"/>
      <sheetName val="Deduction_of_assets10"/>
      <sheetName val="Excess_Calc6"/>
      <sheetName val="PO_Payroll6"/>
      <sheetName val="BOQ_6"/>
      <sheetName val="Detail_In_Door_Stad6"/>
      <sheetName val="TBAL9697__x005f_x005f_x005f_x000a_grotp_wi6"/>
      <sheetName val="CORPN_O_x005f_x005f_x005f_x005f_x005f_x005f_x0006"/>
      <sheetName val="final_abstract6"/>
      <sheetName val="COP_Final6"/>
      <sheetName val="Elect_7"/>
      <sheetName val="TBAL9697__grotp_wise_227"/>
      <sheetName val="TBAL9697__grotp_wise_416"/>
      <sheetName val="TBAL9697__grotp_wise_316"/>
      <sheetName val="TBAL9697__grotp_wise_514"/>
      <sheetName val="TBAL9697__grotp_wise_612"/>
      <sheetName val="TBAL9697__grotp_wise_711"/>
      <sheetName val="TBAL9697__grotp_wise_811"/>
      <sheetName val="TBAL9697__grotp_wise_911"/>
      <sheetName val="TBAL9697__grotp_wise_1011"/>
      <sheetName val="TBAL9697__grotp_wise_167"/>
      <sheetName val="TBAL9697__grotp_wise_1210"/>
      <sheetName val="TBAL9697__grotp_wise_1111"/>
      <sheetName val="TBAL9697__grotp_wise_1310"/>
      <sheetName val="TBAL9697__grotp_wise_147"/>
      <sheetName val="TBAL9697__grotp_wise_157"/>
      <sheetName val="TBAL9697__grotp_wise_228"/>
      <sheetName val="TBAL9697__grotp_wise_177"/>
      <sheetName val="TBAL9697__grotp_wise_187"/>
      <sheetName val="TBAL9697__grotp_wise_197"/>
      <sheetName val="TBAL9697__grotp_wise_207"/>
      <sheetName val="TBAL9697__grotp_wise_2111"/>
      <sheetName val="TBAL9697__grotp_wise_237"/>
      <sheetName val="TBAL9697__grotp_wise_247"/>
      <sheetName val="Gen_Info6"/>
      <sheetName val="Main_Gate_House6"/>
      <sheetName val="AutoOpen_Stub_Data6"/>
      <sheetName val="SPILL_OVER6"/>
      <sheetName val="Pacakges_split6"/>
      <sheetName val="Debits_as_on_12_04_086"/>
      <sheetName val="Meas_-Hotel_Part6"/>
      <sheetName val="Data_sheet6"/>
      <sheetName val="Per_Unit6"/>
      <sheetName val="Material_6"/>
      <sheetName val="Extra_Item6"/>
      <sheetName val="Labour_&amp;_Plant6"/>
      <sheetName val="Labor_abs-PW6"/>
      <sheetName val="General_input6"/>
      <sheetName val="6_056"/>
      <sheetName val="Abstract_Sheet6"/>
      <sheetName val="Boq-_Civil6"/>
      <sheetName val="BASIC_RATES6"/>
      <sheetName val="lineby_line_consolidation6"/>
      <sheetName val="Lintel_Beam_104_70_(GF)__6"/>
      <sheetName val="TBAL9697__x005f_x005f_x007"/>
      <sheetName val="Contract_Night_Staff6"/>
      <sheetName val="Contract_Day_Staff6"/>
      <sheetName val="Day_Shift6"/>
      <sheetName val="Night_Shift6"/>
      <sheetName val="Base_Assumptions6"/>
      <sheetName val="_COP_100%6"/>
      <sheetName val="_6"/>
      <sheetName val="CORPN_O_x005f_x005f_x00006"/>
      <sheetName val="TBAL9697__x005f_x000a_grotp_wis6"/>
      <sheetName val="TBAL9697__grotp_wise_257"/>
      <sheetName val="TBAL9697__grotp_wise_267"/>
      <sheetName val="TBAL9697_-group_wise_sdpl6"/>
      <sheetName val="Rate_analysis5"/>
      <sheetName val="Approved_MTD_Proj_#'s5"/>
      <sheetName val="9__Package_split_-_Cost_5"/>
      <sheetName val="Project_Budget_Worksheet5"/>
      <sheetName val="CORPN_O_x005f_x005f_x005f5"/>
      <sheetName val="Area_Statement6"/>
      <sheetName val="Risk_Analysis6"/>
      <sheetName val="Rate_Analysis_5"/>
      <sheetName val="CORPN_O_x005f6"/>
      <sheetName val="Material_Rate5"/>
      <sheetName val="Bill_3_-_Site_Works5"/>
      <sheetName val="appendix_2_5_final_accounts5"/>
      <sheetName val="indices_2"/>
      <sheetName val="Material_List_5"/>
      <sheetName val="SITE_DEVELOPMENT5"/>
      <sheetName val="Building_15"/>
      <sheetName val="Lead_(Final)5"/>
      <sheetName val="Pile_cap2"/>
      <sheetName val="M_S_2"/>
      <sheetName val="schedule_nos5"/>
      <sheetName val="Customize_Your_Purchase_Order5"/>
      <sheetName val="fa-pl_&amp;_myy_x005f_x000b__x005f_x000b__x05"/>
      <sheetName val="CFForecast_detail5"/>
      <sheetName val="Service_Function5"/>
      <sheetName val="Basic_Rate5"/>
      <sheetName val="INFLUENCES_ON_GM5"/>
      <sheetName val="Load_Details(B2)5"/>
      <sheetName val="BS_-_L+OE5"/>
      <sheetName val="Sheet3_(2)2"/>
      <sheetName val="Bill_12"/>
      <sheetName val="Bill_22"/>
      <sheetName val="Bill_32"/>
      <sheetName val="Bill_42"/>
      <sheetName val="Bill_52"/>
      <sheetName val="Bill_62"/>
      <sheetName val="Bill_72"/>
      <sheetName val="소상_&quot;1&quot;2"/>
      <sheetName val="Cost_Basis2"/>
      <sheetName val="beam-reinft-IIInd_floor5"/>
      <sheetName val="CPT_POST_UPLOAD2"/>
      <sheetName val="KQ_Cost_Controlling2"/>
      <sheetName val="KQ_Appropriation2"/>
      <sheetName val="TBAL9697__grotp_wise_276"/>
      <sheetName val="TBAL9697__grotp_wis27"/>
      <sheetName val="class_&amp;_category2"/>
      <sheetName val="code_Control_Sheet2"/>
      <sheetName val="2_civil-RA2"/>
      <sheetName val="fa-pl_&amp;_myy_x005f_x000b__2"/>
      <sheetName val="SCHEDULE_OF_RATES1"/>
      <sheetName val="Mat_Cost2"/>
      <sheetName val="Invested_capital_VDF1"/>
      <sheetName val="PV_of_Op_Leases_VDF1"/>
      <sheetName val="BOQ_Distribution5"/>
      <sheetName val="TBAL9697__x000a_grotp_wis31"/>
      <sheetName val="TBAL9697__x006"/>
      <sheetName val="CORPN_O_x00005"/>
      <sheetName val="GR_slab-reinft5"/>
      <sheetName val="Indirect_expenses5"/>
      <sheetName val="Sheet_25"/>
      <sheetName val="Risk_Assmnt5"/>
      <sheetName val="AoR_Finishing5"/>
      <sheetName val="Cost_Index2"/>
      <sheetName val="BEAM_SCH1"/>
      <sheetName val="SLAB__SCH_1"/>
      <sheetName val="Beam_at_Ground_flr_lvl(Steel)1"/>
      <sheetName val="Main_Assump_1"/>
      <sheetName val="P_&amp;_M5"/>
      <sheetName val="MS_Items5"/>
      <sheetName val="Input_&amp;_Calculations1"/>
      <sheetName val="PA-_Consutant_1"/>
      <sheetName val="TBAL9697__grotp_wis28"/>
      <sheetName val="DDETABLE_5"/>
      <sheetName val="TAX_INCOME2"/>
      <sheetName val="Depart_Budget2"/>
      <sheetName val="CC_June2"/>
      <sheetName val="Detail_P&amp;L2"/>
      <sheetName val="Assumption_Sheet1"/>
      <sheetName val="New_Construction1"/>
      <sheetName val="Layer_Table1"/>
      <sheetName val="Bill_1-BOQ-Civil_Works1"/>
      <sheetName val="Customize_Your_Invoice1"/>
      <sheetName val="CIVIL_BOQ_(Final)1"/>
      <sheetName val="Loan_Amortization_Schedule1"/>
      <sheetName val="Bill-5_21"/>
      <sheetName val="Bill-9_11"/>
      <sheetName val="Bill-6_1_1-6_1_31"/>
      <sheetName val="Basic_rate_summary1"/>
      <sheetName val="Basic_rate_calculations1"/>
      <sheetName val="organi_synthesis_lab1"/>
      <sheetName val="Rates_7-201"/>
      <sheetName val="Boq_(Main_Building)1"/>
      <sheetName val="CORPN_O_x005f_x005f_x005f_x005f_x005f_x005f_x0051"/>
      <sheetName val="Overall_Summary1"/>
      <sheetName val="Summary_CFA_total_-_CP1_&amp;_CP21"/>
      <sheetName val="TBAL9697__grotp_wise_292"/>
      <sheetName val="TBAL9697__grotp_wise_282"/>
      <sheetName val="TBAL9697__grotp_wise_302"/>
      <sheetName val="S-MMS_without_TFA1"/>
      <sheetName val="TBAL9697__x000a_grotp_wi1"/>
      <sheetName val="dpl_oth_Lia`30"/>
      <sheetName val="CORPN_OT29"/>
      <sheetName val="dpl_oth_Lia`29"/>
      <sheetName val="dpl_oth_Lia`31"/>
      <sheetName val="CORPN_OT30"/>
      <sheetName val="Labor_Rates1"/>
      <sheetName val="Capex_Estimates1"/>
      <sheetName val="General_Assumptions1"/>
      <sheetName val="Sqn-Abs(G+6)_1"/>
      <sheetName val="WO-Abs_(G+2)_6_DUs1"/>
      <sheetName val="Air-Abs(G+6)_23_DUs1"/>
      <sheetName val="5__EA1"/>
      <sheetName val="GUT_(2)1"/>
      <sheetName val="MB_Prod1"/>
      <sheetName val="Key_Ass1"/>
      <sheetName val="bs_BP_04_SA1"/>
      <sheetName val="Col_up_to_plinth1"/>
      <sheetName val="int__pla_1"/>
      <sheetName val="R_MTL1"/>
      <sheetName val="RA_Bill_summary_til_Apr191"/>
      <sheetName val="APTIDCO_CV_A_SCOPE1"/>
      <sheetName val="Manpower_Histogram1"/>
      <sheetName val="TBAL9697__grotp_wis110"/>
      <sheetName val="TBAL9697__grotp_wis29"/>
      <sheetName val="TBAL9697__grotp_wis32"/>
      <sheetName val="TBAL9697__grotp_wis42"/>
      <sheetName val="TBAL9697__grotp_wis52"/>
      <sheetName val="TBAL9697__grotp_wis61"/>
      <sheetName val="TBAL9697__grotp_wis71"/>
      <sheetName val="TBAL9697__grotp_wis81"/>
      <sheetName val="TBAL9697__grotp_wis141"/>
      <sheetName val="TBAL9697__grotp_wis101"/>
      <sheetName val="TBAL9697__grotp_wis91"/>
      <sheetName val="TBAL9697__grotp_wis112"/>
      <sheetName val="TBAL9697__grotp_wis121"/>
      <sheetName val="TBAL9697__grotp_wis131"/>
      <sheetName val="TBAL9697__grotp_wis201"/>
      <sheetName val="TBAL9697__grotp_wis151"/>
      <sheetName val="TBAL9697__grotp_wis161"/>
      <sheetName val="TBAL9697__grotp_wis171"/>
      <sheetName val="TBAL9697__grotp_wis181"/>
      <sheetName val="TBAL9697__grotp_wis191"/>
      <sheetName val="TBAL9697__grotp_wis212"/>
      <sheetName val="TBAL9697__grotp_wis221"/>
      <sheetName val="TBAL9697__grotp_wis231"/>
      <sheetName val="TBAL9697__grotp_wis241"/>
      <sheetName val="TBAL9697__grotp_wis251"/>
      <sheetName val="Item-_Compact1"/>
      <sheetName val="PB_WORK1"/>
      <sheetName val="Detailed_Summary_(4)1"/>
      <sheetName val="Basement_Budget1"/>
      <sheetName val="TBAL9697__x000a_grotp_wi2"/>
      <sheetName val="TBAL9697__x000a_grotp_wi4"/>
      <sheetName val="TBAL9697__x000a_grotp_wi3"/>
      <sheetName val="TBAL9697__x000a_grotp_wi5"/>
      <sheetName val="TBAL9697__x000a_grotp_wi6"/>
      <sheetName val="TBAL9697__x000a_grotp_wi7"/>
      <sheetName val="TBAL9697__x000a_grotp_wi8"/>
      <sheetName val="TBAL9697__x000a_grotp_wi9"/>
      <sheetName val="TBAL9697__x000a_grotp_w10"/>
      <sheetName val="TBAL9697__x000a_grotp_w16"/>
      <sheetName val="TBAL9697__x000a_grotp_w12"/>
      <sheetName val="TBAL9697__x000a_grotp_w11"/>
      <sheetName val="TBAL9697__x000a_grotp_w13"/>
      <sheetName val="TBAL9697__x000a_grotp_w14"/>
      <sheetName val="TBAL9697__x000a_grotp_w15"/>
      <sheetName val="TBAL9697__x000a_grotp_w22"/>
      <sheetName val="TBAL9697__x000a_grotp_w17"/>
      <sheetName val="TBAL9697__x000a_grotp_w18"/>
      <sheetName val="TBAL9697__x000a_grotp_w19"/>
      <sheetName val="TBAL9697__x000a_grotp_w20"/>
      <sheetName val="TBAL9697__x000a_grotp_w21"/>
      <sheetName val="TBAL9697__x000a_grotp_w23"/>
      <sheetName val="TBAL9697__x000a_grotp_w24"/>
      <sheetName val="TBAL9697__x000a_grotp_w25"/>
      <sheetName val="TBAL9697__x000a_grotp_w26"/>
      <sheetName val="dpl_ot"/>
      <sheetName val="TBAL9697__grotp_wis30"/>
      <sheetName val="TBAL9697__grotp_wise_126"/>
      <sheetName val="tie_beam13"/>
      <sheetName val="Cash_Flow_Input_Data_ISC32"/>
      <sheetName val="DETAILED__BOQ30"/>
      <sheetName val="TBAL9697__x005f_x005f_x005f_x005f_x005f_x005f_x32"/>
      <sheetName val="CABLE_DATA30"/>
      <sheetName val="Mat_-Rates30"/>
      <sheetName val="Legal_Risk_Analysis30"/>
      <sheetName val="Tender_Summary13"/>
      <sheetName val="Site_Dev_BOQ6"/>
      <sheetName val="Cost_summary5"/>
      <sheetName val="TBAL9697__grotp_wise_127"/>
      <sheetName val="TBAL9697__grotp_wise_128"/>
      <sheetName val="INDIGINEOUS_ITEMS_13"/>
      <sheetName val="Deduction_of_assets9"/>
      <sheetName val="Excess_Calc5"/>
      <sheetName val="PO_Payroll5"/>
      <sheetName val="BOQ_5"/>
      <sheetName val="Detail_In_Door_Stad5"/>
      <sheetName val="TBAL9697__x005f_x005f_x005f_x000a_grotp_wi5"/>
      <sheetName val="CORPN_O_x005f_x005f_x005f_x005f_x005f_x005f_x0005"/>
      <sheetName val="final_abstract5"/>
      <sheetName val="COP_Final5"/>
      <sheetName val="Elect_6"/>
      <sheetName val="TBAL9697__grotp_wise_220"/>
      <sheetName val="TBAL9697__grotp_wise_415"/>
      <sheetName val="TBAL9697__grotp_wise_315"/>
      <sheetName val="TBAL9697__grotp_wise_513"/>
      <sheetName val="TBAL9697__grotp_wise_611"/>
      <sheetName val="TBAL9697__grotp_wise_710"/>
      <sheetName val="TBAL9697__grotp_wise_810"/>
      <sheetName val="TBAL9697__grotp_wise_910"/>
      <sheetName val="TBAL9697__grotp_wise_1010"/>
      <sheetName val="TBAL9697__grotp_wise_166"/>
      <sheetName val="TBAL9697__grotp_wise_129"/>
      <sheetName val="TBAL9697__grotp_wise_1110"/>
      <sheetName val="TBAL9697__grotp_wise_136"/>
      <sheetName val="TBAL9697__grotp_wise_146"/>
      <sheetName val="TBAL9697__grotp_wise_156"/>
      <sheetName val="TBAL9697__grotp_wise_226"/>
      <sheetName val="TBAL9697__grotp_wise_176"/>
      <sheetName val="TBAL9697__grotp_wise_186"/>
      <sheetName val="TBAL9697__grotp_wise_196"/>
      <sheetName val="TBAL9697__grotp_wise_206"/>
      <sheetName val="TBAL9697__grotp_wise_2110"/>
      <sheetName val="TBAL9697__grotp_wise_236"/>
      <sheetName val="TBAL9697__grotp_wise_246"/>
      <sheetName val="Gen_Info5"/>
      <sheetName val="Main_Gate_House5"/>
      <sheetName val="AutoOpen_Stub_Data5"/>
      <sheetName val="SPILL_OVER5"/>
      <sheetName val="Pacakges_split5"/>
      <sheetName val="Debits_as_on_12_04_085"/>
      <sheetName val="Meas_-Hotel_Part5"/>
      <sheetName val="Data_sheet5"/>
      <sheetName val="Per_Unit5"/>
      <sheetName val="Material_5"/>
      <sheetName val="Extra_Item5"/>
      <sheetName val="Labour_&amp;_Plant5"/>
      <sheetName val="Labor_abs-PW5"/>
      <sheetName val="General_input5"/>
      <sheetName val="6_055"/>
      <sheetName val="Abstract_Sheet5"/>
      <sheetName val="Boq-_Civil5"/>
      <sheetName val="BASIC_RATES5"/>
      <sheetName val="lineby_line_consolidation5"/>
      <sheetName val="Lintel_Beam_104_70_(GF)__5"/>
      <sheetName val="TBAL9697__x005f_x005f_x006"/>
      <sheetName val="Contract_Night_Staff5"/>
      <sheetName val="Contract_Day_Staff5"/>
      <sheetName val="Day_Shift5"/>
      <sheetName val="Night_Shift5"/>
      <sheetName val="Base_Assumptions5"/>
      <sheetName val="_COP_100%5"/>
      <sheetName val="_5"/>
      <sheetName val="CORPN_O_x005f_x005f_x00005"/>
      <sheetName val="TBAL9697__x005f_x000a_grotp_wis5"/>
      <sheetName val="TBAL9697__grotp_wise_256"/>
      <sheetName val="TBAL9697__grotp_wise_266"/>
      <sheetName val="TBAL9697_-group_wise_sdpl5"/>
      <sheetName val="Rate_analysis4"/>
      <sheetName val="Approved_MTD_Proj_#'s4"/>
      <sheetName val="9__Package_split_-_Cost_4"/>
      <sheetName val="Project_Budget_Worksheet4"/>
      <sheetName val="CORPN_O_x005f_x005f_x005f4"/>
      <sheetName val="Area_Statement5"/>
      <sheetName val="Risk_Analysis5"/>
      <sheetName val="Rate_Analysis_4"/>
      <sheetName val="CORPN_O_x005f5"/>
      <sheetName val="Material_Rate4"/>
      <sheetName val="Bill_3_-_Site_Works4"/>
      <sheetName val="appendix_2_5_final_accounts4"/>
      <sheetName val="indices_1"/>
      <sheetName val="Material_List_4"/>
      <sheetName val="SITE_DEVELOPMENT4"/>
      <sheetName val="Building_14"/>
      <sheetName val="Lead_(Final)4"/>
      <sheetName val="Pile_cap1"/>
      <sheetName val="M_S_1"/>
      <sheetName val="schedule_nos4"/>
      <sheetName val="Customize_Your_Purchase_Order4"/>
      <sheetName val="fa-pl_&amp;_myy_x005f_x000b__x005f_x000b__x04"/>
      <sheetName val="CFForecast_detail4"/>
      <sheetName val="Service_Function4"/>
      <sheetName val="Basic_Rate4"/>
      <sheetName val="INFLUENCES_ON_GM4"/>
      <sheetName val="Load_Details(B2)4"/>
      <sheetName val="BS_-_L+OE4"/>
      <sheetName val="Sheet3_(2)1"/>
      <sheetName val="Bill_11"/>
      <sheetName val="Bill_21"/>
      <sheetName val="Bill_31"/>
      <sheetName val="Bill_41"/>
      <sheetName val="Bill_51"/>
      <sheetName val="Bill_61"/>
      <sheetName val="Bill_71"/>
      <sheetName val="소상_&quot;1&quot;1"/>
      <sheetName val="Cost_Basis1"/>
      <sheetName val="beam-reinft-IIInd_floor4"/>
      <sheetName val="CPT_POST_UPLOAD1"/>
      <sheetName val="KQ_Cost_Controlling1"/>
      <sheetName val="KQ_Appropriation1"/>
      <sheetName val="TBAL9697__grotp_wise_275"/>
      <sheetName val="TBAL9697__grotp_wis4"/>
      <sheetName val="class_&amp;_category1"/>
      <sheetName val="code_Control_Sheet1"/>
      <sheetName val="2_civil-RA1"/>
      <sheetName val="fa-pl_&amp;_myy_x005f_x000b__1"/>
      <sheetName val="SCHEDULE_OF_RATES"/>
      <sheetName val="Mat_Cost1"/>
      <sheetName val="Invested_capital_VDF"/>
      <sheetName val="PV_of_Op_Leases_VDF"/>
      <sheetName val="BOQ_Distribution4"/>
      <sheetName val="TBAL9697__x000a_grotp_wis30"/>
      <sheetName val="TBAL9697__x005"/>
      <sheetName val="CORPN_O_x00004"/>
      <sheetName val="GR_slab-reinft4"/>
      <sheetName val="Indirect_expenses4"/>
      <sheetName val="Sheet_24"/>
      <sheetName val="Risk_Assmnt4"/>
      <sheetName val="AoR_Finishing4"/>
      <sheetName val="Cost_Index1"/>
      <sheetName val="BEAM_SCH"/>
      <sheetName val="SLAB__SCH_"/>
      <sheetName val="Beam_at_Ground_flr_lvl(Steel)"/>
      <sheetName val="Main_Assump_"/>
      <sheetName val="P_&amp;_M4"/>
      <sheetName val="MS_Items4"/>
      <sheetName val="Input_&amp;_Calculations"/>
      <sheetName val="PA-_Consutant_"/>
      <sheetName val="TBAL9697__grotp_wis5"/>
      <sheetName val="DDETABLE_4"/>
      <sheetName val="TAX_INCOME1"/>
      <sheetName val="Depart_Budget1"/>
      <sheetName val="CC_June1"/>
      <sheetName val="New_Construction"/>
      <sheetName val="Layer_Table"/>
      <sheetName val="Bill_1-BOQ-Civil_Works"/>
      <sheetName val="Customize_Your_Invoice"/>
      <sheetName val="CIVIL_BOQ_(Final)"/>
      <sheetName val="Loan_Amortization_Schedule"/>
      <sheetName val="Bill-5_2"/>
      <sheetName val="Bill-9_1"/>
      <sheetName val="Bill-6_1_1-6_1_3"/>
      <sheetName val="Basic_rate_summary"/>
      <sheetName val="Basic_rate_calculations"/>
      <sheetName val="organi_synthesis_lab"/>
      <sheetName val="Rates_7-20"/>
      <sheetName val="Boq_(Main_Building)"/>
      <sheetName val="Overall_Summary"/>
      <sheetName val="Summary_CFA_total_-_CP1_&amp;_CP2"/>
      <sheetName val="TBAL9697__grotp_wise_291"/>
      <sheetName val="TBAL9697__grotp_wise_281"/>
      <sheetName val="TBAL9697__grotp_wise_301"/>
      <sheetName val="S-MMS_without_TFA"/>
      <sheetName val="Labor_Rates"/>
      <sheetName val="Capex_Estimates"/>
      <sheetName val="General_Assumptions"/>
      <sheetName val="Sqn-Abs(G+6)_"/>
      <sheetName val="WO-Abs_(G+2)_6_DUs"/>
      <sheetName val="Air-Abs(G+6)_23_DUs"/>
      <sheetName val="5__EA"/>
      <sheetName val="GUT_(2)"/>
      <sheetName val="MB_Prod"/>
      <sheetName val="Key_Ass"/>
      <sheetName val="bs_BP_04_SA"/>
      <sheetName val="Col_up_to_plinth"/>
      <sheetName val="int__pla_"/>
      <sheetName val="R_MTL"/>
      <sheetName val="RA_Bill_summary_til_Apr19"/>
      <sheetName val="APTIDCO_CV_A_SCOPE"/>
      <sheetName val="Manpower_Histogram"/>
      <sheetName val="TBAL9697__grotp_wis11"/>
      <sheetName val="TBAL9697__grotp_wis21"/>
      <sheetName val="TBAL9697__grotp_wis31"/>
      <sheetName val="TBAL9697__grotp_wis41"/>
      <sheetName val="TBAL9697__grotp_wis51"/>
      <sheetName val="TBAL9697__grotp_wis6"/>
      <sheetName val="TBAL9697__grotp_wis7"/>
      <sheetName val="TBAL9697__grotp_wis8"/>
      <sheetName val="TBAL9697__grotp_wis14"/>
      <sheetName val="TBAL9697__grotp_wis10"/>
      <sheetName val="TBAL9697__grotp_wis9"/>
      <sheetName val="TBAL9697__grotp_wis111"/>
      <sheetName val="TBAL9697__grotp_wis12"/>
      <sheetName val="TBAL9697__grotp_wis13"/>
      <sheetName val="TBAL9697__grotp_wis20"/>
      <sheetName val="TBAL9697__grotp_wis15"/>
      <sheetName val="TBAL9697__grotp_wis16"/>
      <sheetName val="TBAL9697__grotp_wis17"/>
      <sheetName val="TBAL9697__grotp_wis18"/>
      <sheetName val="TBAL9697__grotp_wis19"/>
      <sheetName val="TBAL9697__grotp_wis211"/>
      <sheetName val="TBAL9697__grotp_wis22"/>
      <sheetName val="TBAL9697__grotp_wis23"/>
      <sheetName val="TBAL9697__grotp_wis24"/>
      <sheetName val="TBAL9697__grotp_wis25"/>
      <sheetName val="PB_WORK"/>
      <sheetName val="Detailed_Summary_(4)"/>
      <sheetName val="Basement_Budget"/>
      <sheetName val="TBAL9697__grotp_wis26"/>
      <sheetName val="TB9798OBPL06_(2)68"/>
      <sheetName val="CORPN_OCT68"/>
      <sheetName val="inout_consol-nov68"/>
      <sheetName val="inout_consol_(2)68"/>
      <sheetName val="AS_ON_DT_EXPS_Mar68"/>
      <sheetName val="fa-pl_&amp;_mach-site68"/>
      <sheetName val="fa_off_eqp68"/>
      <sheetName val="fa_fur&amp;_fix68"/>
      <sheetName val="fa-pl_&amp;_mach-Off68"/>
      <sheetName val="B_Equity-sdpl_INC68"/>
      <sheetName val="inout_consol_wkg68"/>
      <sheetName val="inout_consol_WKNG68"/>
      <sheetName val="B_Sheet_9768"/>
      <sheetName val="P&amp;L_97_68"/>
      <sheetName val="B_Sheet_97-BEXP68"/>
      <sheetName val="P&amp;L_97_-BEXP68"/>
      <sheetName val="consol_flows68"/>
      <sheetName val="sdpl_oth_Liab68"/>
      <sheetName val="obpl-oth_liab68"/>
      <sheetName val="G_land_advance68"/>
      <sheetName val="I-Wip-ot_(2)68"/>
      <sheetName val="detail_WIP_(2)68"/>
      <sheetName val="detail_G-168"/>
      <sheetName val="sobha_menon_ac68"/>
      <sheetName val="pnc_ac68"/>
      <sheetName val="fix_-p_&amp;_M_-SCC68"/>
      <sheetName val="C_fix_asst68"/>
      <sheetName val="D_fix_asst_scdl_68"/>
      <sheetName val="creditors_tb_obpl68"/>
      <sheetName val="TBAL9697_-group_wise__sdpl78"/>
      <sheetName val="TBAL9697_-group_wise_68"/>
      <sheetName val="crs_-G-168"/>
      <sheetName val="TBAL9697_-group_wise__onpl68"/>
      <sheetName val="B_Sheet_97-OBPL68"/>
      <sheetName val="B_Sheet_97_sdpl68"/>
      <sheetName val="TBAL9697_-group_wise__sdpl268"/>
      <sheetName val="inout_consol_jan68"/>
      <sheetName val="consol_flow68"/>
      <sheetName val="D_Loan__Prom68"/>
      <sheetName val="E_Bank_Loan68"/>
      <sheetName val="G_work_Cap68"/>
      <sheetName val="H_land_adv-dec68"/>
      <sheetName val="J_Con_WIP68"/>
      <sheetName val="detail_J68"/>
      <sheetName val="L_Oth_Co68"/>
      <sheetName val="K_fix_asst__68"/>
      <sheetName val="C_fix_asst-SDPL_68"/>
      <sheetName val="TBAL9697__group_wise__sdpl68"/>
      <sheetName val="inout_consol_okg68"/>
      <sheetName val="detail_OIP_(2)68"/>
      <sheetName val="D_fix_ysst_scdl_68"/>
      <sheetName val="cre`itors_tb_obpl68"/>
      <sheetName val="3AL9697_-group_wise__onpl68"/>
      <sheetName val="3‰AL9697_-group_wise__onpl67"/>
      <sheetName val="L_Oth_Bo67"/>
      <sheetName val="Civil_Boq67"/>
      <sheetName val="Staff_Acco_67"/>
      <sheetName val="SITE_OVERHEADS67"/>
      <sheetName val="PRECAST_lightconc-II65"/>
      <sheetName val="3�AL9697_-group_wise__onpl67"/>
      <sheetName val="Cashflow_projection64"/>
      <sheetName val="Boq_Block_A67"/>
      <sheetName val="1__PayRec64"/>
      <sheetName val="Project-Material_67"/>
      <sheetName val="SPT_vs_PHI64"/>
      <sheetName val="key_dates64"/>
      <sheetName val="_bpl,oth_lia_64"/>
      <sheetName val="G_,and_adv_nce64"/>
      <sheetName val="I,Wip-ot__2)64"/>
      <sheetName val="det!il_WIP_(2)64"/>
      <sheetName val="de4ail_G-164"/>
      <sheetName val="sobha_mennn_ac64"/>
      <sheetName val="C_&amp;ix_asst64"/>
      <sheetName val="_x005f_x0003_dpl_oth_Lia`64"/>
      <sheetName val="TBAL9697__x005f_x000d_grotp_wise_64"/>
      <sheetName val="St_co_91_5lvl64"/>
      <sheetName val="ino4t_conso,-nov64"/>
      <sheetName val="(nout_co,sol_(2)64"/>
      <sheetName val="Blr_hire64"/>
      <sheetName val="INPUT_SHEET64"/>
      <sheetName val="Stress_Calculation64"/>
      <sheetName val="CORPN_O64"/>
      <sheetName val="CORPN_O_T62"/>
      <sheetName val="DG_64"/>
      <sheetName val="CORPN_O?T64"/>
      <sheetName val="TBAL9697__x000a_grotp_wise_64"/>
      <sheetName val="Labor_abs-NMR64"/>
      <sheetName val="Sun_E_Type64"/>
      <sheetName val="Fin_Sum64"/>
      <sheetName val="CORPN_O_x005f_x0000_T64"/>
      <sheetName val="SUPPLY_-Sanitary_Fixtures64"/>
      <sheetName val="ITEMS_FOR_CIVIL_TENDER64"/>
      <sheetName val="labour_coeff62"/>
      <sheetName val="Shuttering_Analysis62"/>
      <sheetName val="General_P+M62"/>
      <sheetName val="Curing_Analysis_62"/>
      <sheetName val="Concrete_P+M_(_RMC_)62"/>
      <sheetName val="P+M_(_SMC_)62"/>
      <sheetName val="P+M_-EW62"/>
      <sheetName val="Quote_Sheet62"/>
      <sheetName val="d-safe_DELUXE62"/>
      <sheetName val="DLC_lookups62"/>
      <sheetName val="Works_-_Quote_Sheet62"/>
      <sheetName val="IO_LIST62"/>
      <sheetName val="_x005f_x005f_x005f_x0003_dpl_oth_Lia`64"/>
      <sheetName val="TBAL9697__x005f_x005f_x005f_x000d_grotp_w64"/>
      <sheetName val="TBAL9697__x005f_x000d_grotp_wis62"/>
      <sheetName val="TBAL9697__grotp_wise_140"/>
      <sheetName val="P&amp;L_-_AD62"/>
      <sheetName val="Fin__Assumpt__-_Sensitivities62"/>
      <sheetName val="LOAD_SHEET_62"/>
      <sheetName val="Fill_this_out_first___62"/>
      <sheetName val="Labour_productivity62"/>
      <sheetName val="RCC,Ret__Wall62"/>
      <sheetName val="Area_&amp;_Cate__Master62"/>
      <sheetName val="TBAL9697__x005f_x000a_grotp_wise_62"/>
      <sheetName val="TBAL9697__grotp_wise_148"/>
      <sheetName val="Bill_No_562"/>
      <sheetName val="11B_62"/>
      <sheetName val="BOQ_(2)62"/>
      <sheetName val="Driveway_Beams62"/>
      <sheetName val="Detail_1A62"/>
      <sheetName val="Fee_Rate_Summary62"/>
      <sheetName val="Name_List62"/>
      <sheetName val="Structure_Bills_Qty62"/>
      <sheetName val="Break_Dw62"/>
      <sheetName val="Sheet_162"/>
      <sheetName val="3BPA00132-5-3_W_plan_HVPNL62"/>
      <sheetName val="Mix_Design62"/>
      <sheetName val="CORPN_O_x005f_x005f_x005f_x0000_T62"/>
      <sheetName val="220_11__BS_62"/>
      <sheetName val="Cat_A_Change_Control62"/>
      <sheetName val="Break_up_Sheet62"/>
      <sheetName val="Summary_of_P_&amp;_M62"/>
      <sheetName val="FITZ_MORT_9462"/>
      <sheetName val="ISO_Reconcilation_Statment62"/>
      <sheetName val="AVG_pur_rate62"/>
      <sheetName val="tie_beam15"/>
      <sheetName val="LIST_OF_MAKES62"/>
      <sheetName val="Civil_Works62"/>
      <sheetName val="BLOCK-A_(MEA_SHEET)62"/>
      <sheetName val="Form_662"/>
      <sheetName val="acevsSp_(ABC)62"/>
      <sheetName val="A_O_R_62"/>
      <sheetName val="Intro_62"/>
      <sheetName val="NLD_-_Assum62"/>
      <sheetName val="Cash_Flow_Input_Data_ISC34"/>
      <sheetName val="DETAILED__BOQ32"/>
      <sheetName val="TBAL9697__x005f_x005f_x005f_x005f_x005f_x005f_x34"/>
      <sheetName val="CABLE_DATA32"/>
      <sheetName val="Assumption_Inputs62"/>
      <sheetName val="Section_Catalogue62"/>
      <sheetName val="Mat_-Rates32"/>
      <sheetName val="Legal_Risk_Analysis32"/>
      <sheetName val="Tender_Summary15"/>
      <sheetName val="Site_Dev_BOQ8"/>
      <sheetName val="Cost_summary7"/>
      <sheetName val="TBAL9697__grotp_wise_149"/>
      <sheetName val="TBAL9697__grotp_wise_150"/>
      <sheetName val="INDIGINEOUS_ITEMS_15"/>
      <sheetName val="Deduction_of_assets11"/>
      <sheetName val="Excess_Calc7"/>
      <sheetName val="PO_Payroll7"/>
      <sheetName val="BOQ_7"/>
      <sheetName val="Detail_In_Door_Stad7"/>
      <sheetName val="TBAL9697__x005f_x005f_x005f_x000a_grotp_wi7"/>
      <sheetName val="CORPN_O_x005f_x005f_x005f_x005f_x005f_x005f_x0007"/>
      <sheetName val="final_abstract7"/>
      <sheetName val="COP_Final7"/>
      <sheetName val="Elect_8"/>
      <sheetName val="TBAL9697__grotp_wise_229"/>
      <sheetName val="TBAL9697__grotp_wise_417"/>
      <sheetName val="TBAL9697__grotp_wise_317"/>
      <sheetName val="TBAL9697__grotp_wise_515"/>
      <sheetName val="TBAL9697__grotp_wise_613"/>
      <sheetName val="TBAL9697__grotp_wise_712"/>
      <sheetName val="TBAL9697__grotp_wise_812"/>
      <sheetName val="TBAL9697__grotp_wise_912"/>
      <sheetName val="TBAL9697__grotp_wise_1012"/>
      <sheetName val="TBAL9697__grotp_wise_168"/>
      <sheetName val="TBAL9697__grotp_wise_1211"/>
      <sheetName val="TBAL9697__grotp_wise_1112"/>
      <sheetName val="TBAL9697__grotp_wise_1311"/>
      <sheetName val="TBAL9697__grotp_wise_1410"/>
      <sheetName val="TBAL9697__grotp_wise_158"/>
      <sheetName val="TBAL9697__grotp_wise_2210"/>
      <sheetName val="TBAL9697__grotp_wise_178"/>
      <sheetName val="TBAL9697__grotp_wise_188"/>
      <sheetName val="TBAL9697__grotp_wise_198"/>
      <sheetName val="TBAL9697__grotp_wise_208"/>
      <sheetName val="TBAL9697__grotp_wise_2112"/>
      <sheetName val="TBAL9697__grotp_wise_238"/>
      <sheetName val="TBAL9697__grotp_wise_248"/>
      <sheetName val="Gen_Info7"/>
      <sheetName val="Main_Gate_House7"/>
      <sheetName val="AutoOpen_Stub_Data7"/>
      <sheetName val="SPILL_OVER7"/>
      <sheetName val="Pacakges_split7"/>
      <sheetName val="Debits_as_on_12_04_087"/>
      <sheetName val="Meas_-Hotel_Part7"/>
      <sheetName val="Data_sheet7"/>
      <sheetName val="Per_Unit7"/>
      <sheetName val="Material_7"/>
      <sheetName val="Extra_Item7"/>
      <sheetName val="Labour_&amp;_Plant7"/>
      <sheetName val="Labor_abs-PW7"/>
      <sheetName val="General_input7"/>
      <sheetName val="6_057"/>
      <sheetName val="Abstract_Sheet7"/>
      <sheetName val="Boq-_Civil7"/>
      <sheetName val="BASIC_RATES7"/>
      <sheetName val="lineby_line_consolidation7"/>
      <sheetName val="Lintel_Beam_104_70_(GF)__7"/>
      <sheetName val="TBAL9697__x005f_x005f_x008"/>
      <sheetName val="Contract_Night_Staff7"/>
      <sheetName val="Contract_Day_Staff7"/>
      <sheetName val="Day_Shift7"/>
      <sheetName val="Night_Shift7"/>
      <sheetName val="Base_Assumptions7"/>
      <sheetName val="_COP_100%7"/>
      <sheetName val="_7"/>
      <sheetName val="CORPN_O_x005f_x005f_x00007"/>
      <sheetName val="TBAL9697__x005f_x000a_grotp_wis7"/>
      <sheetName val="TBAL9697__grotp_wise_258"/>
      <sheetName val="TBAL9697__grotp_wise_268"/>
      <sheetName val="TBAL9697_-group_wise_sdpl7"/>
      <sheetName val="Rate_analysis6"/>
      <sheetName val="Approved_MTD_Proj_#'s6"/>
      <sheetName val="9__Package_split_-_Cost_6"/>
      <sheetName val="Project_Budget_Worksheet6"/>
      <sheetName val="CORPN_O_x005f_x005f_x005f6"/>
      <sheetName val="Area_Statement7"/>
      <sheetName val="Risk_Analysis7"/>
      <sheetName val="Rate_Analysis_6"/>
      <sheetName val="CORPN_O_x005f7"/>
      <sheetName val="Material_Rate6"/>
      <sheetName val="Bill_3_-_Site_Works6"/>
      <sheetName val="appendix_2_5_final_accounts6"/>
      <sheetName val="indices_3"/>
      <sheetName val="Material_List_6"/>
      <sheetName val="SITE_DEVELOPMENT6"/>
      <sheetName val="Building_16"/>
      <sheetName val="Lead_(Final)6"/>
      <sheetName val="Pile_cap3"/>
      <sheetName val="M_S_3"/>
      <sheetName val="schedule_nos6"/>
      <sheetName val="Customize_Your_Purchase_Order6"/>
      <sheetName val="fa-pl_&amp;_myy_x005f_x000b__x005f_x000b__x06"/>
      <sheetName val="CFForecast_detail6"/>
      <sheetName val="Service_Function6"/>
      <sheetName val="Basic_Rate6"/>
      <sheetName val="INFLUENCES_ON_GM6"/>
      <sheetName val="Load_Details(B2)6"/>
      <sheetName val="BS_-_L+OE6"/>
      <sheetName val="Sheet3_(2)3"/>
      <sheetName val="Bill_13"/>
      <sheetName val="Bill_23"/>
      <sheetName val="Bill_33"/>
      <sheetName val="Bill_43"/>
      <sheetName val="Bill_53"/>
      <sheetName val="Bill_63"/>
      <sheetName val="Bill_73"/>
      <sheetName val="소상_&quot;1&quot;3"/>
      <sheetName val="Cost_Basis3"/>
      <sheetName val="beam-reinft-IIInd_floor6"/>
      <sheetName val="CPT_POST_UPLOAD3"/>
      <sheetName val="KQ_Cost_Controlling3"/>
      <sheetName val="KQ_Appropriation3"/>
      <sheetName val="TBAL9697__grotp_wise_277"/>
      <sheetName val="TBAL9697__grotp_wis33"/>
      <sheetName val="class_&amp;_category3"/>
      <sheetName val="code_Control_Sheet3"/>
      <sheetName val="2_civil-RA3"/>
      <sheetName val="fa-pl_&amp;_myy_x005f_x000b__3"/>
      <sheetName val="SCHEDULE_OF_RATES2"/>
      <sheetName val="Mat_Cost3"/>
      <sheetName val="Invested_capital_VDF2"/>
      <sheetName val="PV_of_Op_Leases_VDF2"/>
      <sheetName val="BOQ_Distribution6"/>
      <sheetName val="TBAL9697__x000a_grotp_wis32"/>
      <sheetName val="TBAL9697__x007"/>
      <sheetName val="CORPN_O_x00006"/>
      <sheetName val="GR_slab-reinft6"/>
      <sheetName val="Indirect_expenses6"/>
      <sheetName val="Sheet_26"/>
      <sheetName val="Risk_Assmnt6"/>
      <sheetName val="AoR_Finishing6"/>
      <sheetName val="Cost_Index3"/>
      <sheetName val="BEAM_SCH2"/>
      <sheetName val="SLAB__SCH_2"/>
      <sheetName val="Beam_at_Ground_flr_lvl(Steel)2"/>
      <sheetName val="Main_Assump_2"/>
      <sheetName val="P_&amp;_M6"/>
      <sheetName val="MS_Items6"/>
      <sheetName val="Input_&amp;_Calculations2"/>
      <sheetName val="PA-_Consutant_2"/>
      <sheetName val="TBAL9697__grotp_wis34"/>
      <sheetName val="DDETABLE_6"/>
      <sheetName val="TAX_INCOME3"/>
      <sheetName val="Depart_Budget3"/>
      <sheetName val="CC_June3"/>
      <sheetName val="Detail_P&amp;L3"/>
      <sheetName val="Assumption_Sheet2"/>
      <sheetName val="New_Construction2"/>
      <sheetName val="Layer_Table2"/>
      <sheetName val="Bill_1-BOQ-Civil_Works2"/>
      <sheetName val="Customize_Your_Invoice2"/>
      <sheetName val="CIVIL_BOQ_(Final)2"/>
      <sheetName val="Loan_Amortization_Schedule2"/>
      <sheetName val="Bill-5_22"/>
      <sheetName val="Bill-9_12"/>
      <sheetName val="Bill-6_1_1-6_1_32"/>
      <sheetName val="Basic_rate_summary2"/>
      <sheetName val="Basic_rate_calculations2"/>
      <sheetName val="organi_synthesis_lab2"/>
      <sheetName val="Rates_7-202"/>
      <sheetName val="Boq_(Main_Building)2"/>
      <sheetName val="CORPN_O_x005f_x005f_x005f_x005f_x005f_x005f_x0052"/>
      <sheetName val="Overall_Summary2"/>
      <sheetName val="Summary_CFA_total_-_CP1_&amp;_CP22"/>
      <sheetName val="TBAL9697__grotp_wise_293"/>
      <sheetName val="TBAL9697__grotp_wise_283"/>
      <sheetName val="TBAL9697__grotp_wise_303"/>
      <sheetName val="S-MMS_without_TFA2"/>
      <sheetName val="Labor_Rates2"/>
      <sheetName val="Capex_Estimates2"/>
      <sheetName val="General_Assumptions2"/>
      <sheetName val="Sqn-Abs(G+6)_2"/>
      <sheetName val="WO-Abs_(G+2)_6_DUs2"/>
      <sheetName val="Air-Abs(G+6)_23_DUs2"/>
      <sheetName val="5__EA2"/>
      <sheetName val="GUT_(2)2"/>
      <sheetName val="MB_Prod2"/>
      <sheetName val="Key_Ass2"/>
      <sheetName val="bs_BP_04_SA2"/>
      <sheetName val="Col_up_to_plinth2"/>
      <sheetName val="int__pla_2"/>
      <sheetName val="R_MTL2"/>
      <sheetName val="RA_Bill_summary_til_Apr192"/>
      <sheetName val="APTIDCO_CV_A_SCOPE2"/>
      <sheetName val="Manpower_Histogram2"/>
      <sheetName val="TBAL9697__grotp_wis113"/>
      <sheetName val="TBAL9697__grotp_wis210"/>
      <sheetName val="TBAL9697__grotp_wis35"/>
      <sheetName val="TBAL9697__grotp_wis43"/>
      <sheetName val="TBAL9697__grotp_wis53"/>
      <sheetName val="TBAL9697__grotp_wis62"/>
      <sheetName val="TBAL9697__grotp_wis72"/>
      <sheetName val="TBAL9697__grotp_wis82"/>
      <sheetName val="TBAL9697__grotp_wis142"/>
      <sheetName val="TBAL9697__grotp_wis102"/>
      <sheetName val="TBAL9697__grotp_wis92"/>
      <sheetName val="TBAL9697__grotp_wis114"/>
      <sheetName val="TBAL9697__grotp_wis122"/>
      <sheetName val="TBAL9697__grotp_wis132"/>
      <sheetName val="TBAL9697__grotp_wis202"/>
      <sheetName val="TBAL9697__grotp_wis152"/>
      <sheetName val="TBAL9697__grotp_wis162"/>
      <sheetName val="TBAL9697__grotp_wis172"/>
      <sheetName val="TBAL9697__grotp_wis182"/>
      <sheetName val="TBAL9697__grotp_wis192"/>
      <sheetName val="TBAL9697__grotp_wis213"/>
      <sheetName val="TBAL9697__grotp_wis222"/>
      <sheetName val="TBAL9697__grotp_wis232"/>
      <sheetName val="TBAL9697__grotp_wis242"/>
      <sheetName val="TBAL9697__grotp_wis252"/>
      <sheetName val="Item-_Compact2"/>
      <sheetName val="PB_WORK2"/>
      <sheetName val="Detailed_Summary_(4)2"/>
      <sheetName val="Basement_Budget2"/>
      <sheetName val="TBAL9697__grotp_wis36"/>
      <sheetName val="TB9798OBPL06_(2)69"/>
      <sheetName val="CORPN_OCT69"/>
      <sheetName val="inout_consol-nov69"/>
      <sheetName val="inout_consol_(2)69"/>
      <sheetName val="AS_ON_DT_EXPS_Mar69"/>
      <sheetName val="fa-pl_&amp;_mach-site69"/>
      <sheetName val="fa_off_eqp69"/>
      <sheetName val="fa_fur&amp;_fix69"/>
      <sheetName val="fa-pl_&amp;_mach-Off69"/>
      <sheetName val="B_Equity-sdpl_INC69"/>
      <sheetName val="inout_consol_wkg69"/>
      <sheetName val="inout_consol_WKNG69"/>
      <sheetName val="B_Sheet_9769"/>
      <sheetName val="P&amp;L_97_69"/>
      <sheetName val="B_Sheet_97-BEXP69"/>
      <sheetName val="P&amp;L_97_-BEXP69"/>
      <sheetName val="consol_flows69"/>
      <sheetName val="sdpl_oth_Liab69"/>
      <sheetName val="obpl-oth_liab69"/>
      <sheetName val="G_land_advance69"/>
      <sheetName val="I-Wip-ot_(2)69"/>
      <sheetName val="detail_WIP_(2)69"/>
      <sheetName val="detail_G-169"/>
      <sheetName val="sobha_menon_ac69"/>
      <sheetName val="pnc_ac69"/>
      <sheetName val="fix_-p_&amp;_M_-SCC69"/>
      <sheetName val="C_fix_asst69"/>
      <sheetName val="D_fix_asst_scdl_69"/>
      <sheetName val="creditors_tb_obpl69"/>
      <sheetName val="TBAL9697_-group_wise__sdpl79"/>
      <sheetName val="TBAL9697_-group_wise_69"/>
      <sheetName val="crs_-G-169"/>
      <sheetName val="TBAL9697_-group_wise__onpl69"/>
      <sheetName val="B_Sheet_97-OBPL69"/>
      <sheetName val="B_Sheet_97_sdpl69"/>
      <sheetName val="TBAL9697_-group_wise__sdpl269"/>
      <sheetName val="inout_consol_jan69"/>
      <sheetName val="consol_flow69"/>
      <sheetName val="D_Loan__Prom69"/>
      <sheetName val="E_Bank_Loan69"/>
      <sheetName val="G_work_Cap69"/>
      <sheetName val="H_land_adv-dec69"/>
      <sheetName val="J_Con_WIP69"/>
      <sheetName val="detail_J69"/>
      <sheetName val="L_Oth_Co69"/>
      <sheetName val="K_fix_asst__69"/>
      <sheetName val="C_fix_asst-SDPL_69"/>
      <sheetName val="TBAL9697__group_wise__sdpl69"/>
      <sheetName val="inout_consol_okg69"/>
      <sheetName val="detail_OIP_(2)69"/>
      <sheetName val="D_fix_ysst_scdl_69"/>
      <sheetName val="cre`itors_tb_obpl69"/>
      <sheetName val="3AL9697_-group_wise__onpl69"/>
      <sheetName val="3‰AL9697_-group_wise__onpl68"/>
      <sheetName val="L_Oth_Bo68"/>
      <sheetName val="Civil_Boq68"/>
      <sheetName val="Staff_Acco_68"/>
      <sheetName val="SITE_OVERHEADS68"/>
      <sheetName val="PRECAST_lightconc-II66"/>
      <sheetName val="3�AL9697_-group_wise__onpl68"/>
      <sheetName val="Cashflow_projection65"/>
      <sheetName val="Boq_Block_A68"/>
      <sheetName val="1__PayRec65"/>
      <sheetName val="Project-Material_68"/>
      <sheetName val="SPT_vs_PHI65"/>
      <sheetName val="key_dates65"/>
      <sheetName val="_bpl,oth_lia_65"/>
      <sheetName val="G_,and_adv_nce65"/>
      <sheetName val="I,Wip-ot__2)65"/>
      <sheetName val="det!il_WIP_(2)65"/>
      <sheetName val="de4ail_G-165"/>
      <sheetName val="sobha_mennn_ac65"/>
      <sheetName val="C_&amp;ix_asst65"/>
      <sheetName val="_x005f_x0003_dpl_oth_Lia`65"/>
      <sheetName val="TBAL9697__x005f_x000d_grotp_wise_65"/>
      <sheetName val="St_co_91_5lvl65"/>
      <sheetName val="ino4t_conso,-nov65"/>
      <sheetName val="(nout_co,sol_(2)65"/>
      <sheetName val="Blr_hire65"/>
      <sheetName val="INPUT_SHEET65"/>
      <sheetName val="Stress_Calculation65"/>
      <sheetName val="CORPN_O65"/>
      <sheetName val="CORPN_O_T63"/>
      <sheetName val="DG_65"/>
      <sheetName val="CORPN_O?T65"/>
      <sheetName val="TBAL9697__x000a_grotp_wise_65"/>
      <sheetName val="Labor_abs-NMR65"/>
      <sheetName val="Sun_E_Type65"/>
      <sheetName val="Fin_Sum65"/>
      <sheetName val="CORPN_O_x005f_x0000_T65"/>
      <sheetName val="SUPPLY_-Sanitary_Fixtures65"/>
      <sheetName val="ITEMS_FOR_CIVIL_TENDER65"/>
      <sheetName val="labour_coeff63"/>
      <sheetName val="Shuttering_Analysis63"/>
      <sheetName val="General_P+M63"/>
      <sheetName val="Curing_Analysis_63"/>
      <sheetName val="Concrete_P+M_(_RMC_)63"/>
      <sheetName val="P+M_(_SMC_)63"/>
      <sheetName val="P+M_-EW63"/>
      <sheetName val="Quote_Sheet63"/>
      <sheetName val="d-safe_DELUXE63"/>
      <sheetName val="DLC_lookups63"/>
      <sheetName val="Works_-_Quote_Sheet63"/>
      <sheetName val="IO_LIST63"/>
      <sheetName val="_x005f_x005f_x005f_x0003_dpl_oth_Lia`65"/>
      <sheetName val="TBAL9697__x005f_x005f_x005f_x000d_grotp_w65"/>
      <sheetName val="TBAL9697__x005f_x000d_grotp_wis63"/>
      <sheetName val="TBAL9697__grotp_wise_159"/>
      <sheetName val="P&amp;L_-_AD63"/>
      <sheetName val="Fin__Assumpt__-_Sensitivities63"/>
      <sheetName val="LOAD_SHEET_63"/>
      <sheetName val="Fill_this_out_first___63"/>
      <sheetName val="Labour_productivity63"/>
      <sheetName val="RCC,Ret__Wall63"/>
      <sheetName val="Area_&amp;_Cate__Master63"/>
      <sheetName val="TBAL9697__x005f_x000a_grotp_wise_63"/>
      <sheetName val="TBAL9697__grotp_wise_160"/>
      <sheetName val="Bill_No_563"/>
      <sheetName val="11B_63"/>
      <sheetName val="BOQ_(2)63"/>
      <sheetName val="Driveway_Beams63"/>
      <sheetName val="Detail_1A63"/>
      <sheetName val="Fee_Rate_Summary63"/>
      <sheetName val="Name_List63"/>
      <sheetName val="Structure_Bills_Qty63"/>
      <sheetName val="Break_Dw63"/>
      <sheetName val="Sheet_163"/>
      <sheetName val="3BPA00132-5-3_W_plan_HVPNL63"/>
      <sheetName val="Mix_Design63"/>
      <sheetName val="CORPN_O_x005f_x005f_x005f_x0000_T63"/>
      <sheetName val="220_11__BS_63"/>
      <sheetName val="Cat_A_Change_Control63"/>
      <sheetName val="Break_up_Sheet63"/>
      <sheetName val="Summary_of_P_&amp;_M63"/>
      <sheetName val="FITZ_MORT_9463"/>
      <sheetName val="ISO_Reconcilation_Statment63"/>
      <sheetName val="AVG_pur_rate63"/>
      <sheetName val="tie_beam16"/>
      <sheetName val="LIST_OF_MAKES63"/>
      <sheetName val="Civil_Works63"/>
      <sheetName val="BLOCK-A_(MEA_SHEET)63"/>
      <sheetName val="Form_663"/>
      <sheetName val="acevsSp_(ABC)63"/>
      <sheetName val="A_O_R_63"/>
      <sheetName val="NLD_-_Assum63"/>
      <sheetName val="Section_Catalogue63"/>
      <sheetName val="Cash_Flow_Input_Data_ISC35"/>
      <sheetName val="Legal_Risk_Analysis33"/>
      <sheetName val="Intro_63"/>
      <sheetName val="TBAL9697__x005f_x005f_x005f_x005f_x005f_x005f_x35"/>
      <sheetName val="DETAILED__BOQ33"/>
      <sheetName val="Assumption_Inputs63"/>
      <sheetName val="CABLE_DATA33"/>
      <sheetName val="Tender_Summary16"/>
      <sheetName val="Excess_Calc8"/>
      <sheetName val="Site_Dev_BOQ9"/>
      <sheetName val="PO_Payroll8"/>
      <sheetName val="Mat_-Rates33"/>
      <sheetName val="Deduction_of_assets12"/>
      <sheetName val="TBAL9697__grotp_wise_169"/>
      <sheetName val="TBAL9697__grotp_wise_170"/>
      <sheetName val="BOQ_8"/>
      <sheetName val="Detail_In_Door_Stad8"/>
      <sheetName val="INDIGINEOUS_ITEMS_16"/>
      <sheetName val="COP_Final8"/>
      <sheetName val="Elect_9"/>
      <sheetName val="TBAL9697__grotp_wise_230"/>
      <sheetName val="TBAL9697__grotp_wise_418"/>
      <sheetName val="TBAL9697__grotp_wise_318"/>
      <sheetName val="TBAL9697__grotp_wise_516"/>
      <sheetName val="TBAL9697__grotp_wise_614"/>
      <sheetName val="TBAL9697__grotp_wise_713"/>
      <sheetName val="TBAL9697__grotp_wise_813"/>
      <sheetName val="TBAL9697__grotp_wise_913"/>
      <sheetName val="TBAL9697__grotp_wise_1013"/>
      <sheetName val="TBAL9697__grotp_wise_1610"/>
      <sheetName val="TBAL9697__grotp_wise_1212"/>
      <sheetName val="TBAL9697__grotp_wise_1113"/>
      <sheetName val="TBAL9697__grotp_wise_1312"/>
      <sheetName val="TBAL9697__grotp_wise_1411"/>
      <sheetName val="TBAL9697__grotp_wise_1510"/>
      <sheetName val="TBAL9697__grotp_wise_2211"/>
      <sheetName val="TBAL9697__grotp_wise_179"/>
      <sheetName val="TBAL9697__grotp_wise_189"/>
      <sheetName val="TBAL9697__grotp_wise_199"/>
      <sheetName val="TBAL9697__grotp_wise_209"/>
      <sheetName val="TBAL9697__grotp_wise_2113"/>
      <sheetName val="TBAL9697__grotp_wise_239"/>
      <sheetName val="TBAL9697__grotp_wise_249"/>
      <sheetName val="CORPN_O_x005f_x005f_x005f_x005f_x005f_x005f_x0008"/>
      <sheetName val="TBAL9697__x005f_x005f_x005f_x000a_grotp_wi8"/>
      <sheetName val="Cost_summary8"/>
      <sheetName val="final_abstract8"/>
      <sheetName val="SPILL_OVER8"/>
      <sheetName val="Pacakges_split8"/>
      <sheetName val="Data_sheet8"/>
      <sheetName val="Per_Unit8"/>
      <sheetName val="Gen_Info8"/>
      <sheetName val="Meas_-Hotel_Part8"/>
      <sheetName val="Main_Gate_House8"/>
      <sheetName val="General_input8"/>
      <sheetName val="6_058"/>
      <sheetName val="Abstract_Sheet8"/>
      <sheetName val="Boq-_Civil8"/>
      <sheetName val="AutoOpen_Stub_Data8"/>
      <sheetName val="BASIC_RATES8"/>
      <sheetName val="TBAL9697__x005f_x005f_x009"/>
      <sheetName val="Lintel_Beam_104_70_(GF)__8"/>
      <sheetName val="Debits_as_on_12_04_088"/>
      <sheetName val="Labor_abs-PW8"/>
      <sheetName val="Material_8"/>
      <sheetName val="Extra_Item8"/>
      <sheetName val="Labour_&amp;_Plant8"/>
      <sheetName val="CORPN_O_x005f_x005f_x00008"/>
      <sheetName val="TBAL9697__x005f_x000a_grotp_wis8"/>
      <sheetName val="Contract_Night_Staff8"/>
      <sheetName val="Contract_Day_Staff8"/>
      <sheetName val="Day_Shift8"/>
      <sheetName val="Night_Shift8"/>
      <sheetName val="TBAL9697__grotp_wise_259"/>
      <sheetName val="TBAL9697__grotp_wise_269"/>
      <sheetName val="Base_Assumptions8"/>
      <sheetName val="_COP_100%8"/>
      <sheetName val="_8"/>
      <sheetName val="lineby_line_consolidation8"/>
      <sheetName val="TBAL9697_-group_wise_sdpl8"/>
      <sheetName val="Bill_3_-_Site_Works7"/>
      <sheetName val="Rate_analysis7"/>
      <sheetName val="Approved_MTD_Proj_#'s7"/>
      <sheetName val="9__Package_split_-_Cost_7"/>
      <sheetName val="Project_Budget_Worksheet7"/>
      <sheetName val="CORPN_O_x005f_x005f_x005f7"/>
      <sheetName val="Area_Statement8"/>
      <sheetName val="Risk_Analysis8"/>
      <sheetName val="CORPN_O_x005f8"/>
      <sheetName val="Material_Rate7"/>
      <sheetName val="Rate_Analysis_7"/>
      <sheetName val="appendix_2_5_final_accounts7"/>
      <sheetName val="CFForecast_detail7"/>
      <sheetName val="소상_&quot;1&quot;4"/>
      <sheetName val="Material_List_7"/>
      <sheetName val="Basic_Rate7"/>
      <sheetName val="INFLUENCES_ON_GM7"/>
      <sheetName val="Load_Details(B2)7"/>
      <sheetName val="KQ_Cost_Controlling4"/>
      <sheetName val="KQ_Appropriation4"/>
      <sheetName val="CPT_POST_UPLOAD4"/>
      <sheetName val="indices_4"/>
      <sheetName val="Cost_Basis4"/>
      <sheetName val="BS_-_L+OE7"/>
      <sheetName val="beam-reinft-IIInd_floor7"/>
      <sheetName val="SITE_DEVELOPMENT7"/>
      <sheetName val="Building_17"/>
      <sheetName val="Lead_(Final)7"/>
      <sheetName val="PB_WORK3"/>
      <sheetName val="TBAL9697__x008"/>
      <sheetName val="CORPN_O_x00007"/>
      <sheetName val="TBAL9697__x000a_grotp_wis33"/>
      <sheetName val="2_civil-RA4"/>
      <sheetName val="schedule_nos7"/>
      <sheetName val="TBAL9697__grotp_wise_294"/>
      <sheetName val="TBAL9697__grotp_wise_284"/>
      <sheetName val="TBAL9697__grotp_wise_278"/>
      <sheetName val="TBAL9697__grotp_wise_304"/>
      <sheetName val="TBAL9697__grotp_wis37"/>
      <sheetName val="TBAL9697__grotp_wis38"/>
      <sheetName val="Customize_Your_Purchase_Order7"/>
      <sheetName val="fa-pl_&amp;_myy_x005f_x000b__x005f_x000b__x07"/>
      <sheetName val="P_&amp;_M7"/>
      <sheetName val="MS_Items7"/>
      <sheetName val="DDETABLE_7"/>
      <sheetName val="Detail_P&amp;L4"/>
      <sheetName val="Assumption_Sheet3"/>
      <sheetName val="Pile_cap4"/>
      <sheetName val="M_S_4"/>
      <sheetName val="TAX_INCOME4"/>
      <sheetName val="Depart_Budget4"/>
      <sheetName val="CC_June4"/>
      <sheetName val="Sheet3_(2)4"/>
      <sheetName val="Bill_14"/>
      <sheetName val="Bill_24"/>
      <sheetName val="Bill_34"/>
      <sheetName val="Bill_44"/>
      <sheetName val="Bill_54"/>
      <sheetName val="Bill_64"/>
      <sheetName val="Bill_74"/>
      <sheetName val="Service_Function7"/>
      <sheetName val="SCHEDULE_OF_RATES3"/>
      <sheetName val="class_&amp;_category4"/>
      <sheetName val="code_Control_Sheet4"/>
      <sheetName val="Mat_Cost4"/>
      <sheetName val="Invested_capital_VDF3"/>
      <sheetName val="PV_of_Op_Leases_VDF3"/>
      <sheetName val="BOQ_Distribution7"/>
      <sheetName val="GR_slab-reinft7"/>
      <sheetName val="Indirect_expenses7"/>
      <sheetName val="Sheet_27"/>
      <sheetName val="Risk_Assmnt7"/>
      <sheetName val="AoR_Finishing7"/>
      <sheetName val="fa-pl_&amp;_myy_x005f_x000b__4"/>
      <sheetName val="Layer_Table3"/>
      <sheetName val="New_Construction3"/>
      <sheetName val="Cost_Index4"/>
      <sheetName val="BEAM_SCH3"/>
      <sheetName val="SLAB__SCH_3"/>
      <sheetName val="Beam_at_Ground_flr_lvl(Steel)3"/>
      <sheetName val="Main_Assump_3"/>
      <sheetName val="Input_&amp;_Calculations3"/>
      <sheetName val="PA-_Consutant_3"/>
      <sheetName val="Bill_1-BOQ-Civil_Works3"/>
      <sheetName val="Customize_Your_Invoice3"/>
      <sheetName val="CIVIL_BOQ_(Final)3"/>
      <sheetName val="Loan_Amortization_Schedule3"/>
      <sheetName val="Bill-5_23"/>
      <sheetName val="Bill-9_13"/>
      <sheetName val="Bill-6_1_1-6_1_33"/>
      <sheetName val="Basic_rate_summary3"/>
      <sheetName val="Basic_rate_calculations3"/>
      <sheetName val="organi_synthesis_lab3"/>
      <sheetName val="Rates_7-203"/>
      <sheetName val="Boq_(Main_Building)3"/>
      <sheetName val="CORPN_O_x005f_x005f_x005f_x005f_x005f_x005f_x0053"/>
      <sheetName val="Overall_Summary3"/>
      <sheetName val="Summary_CFA_total_-_CP1_&amp;_CP23"/>
      <sheetName val="S-MMS_without_TFA3"/>
      <sheetName val="Labor_Rates3"/>
      <sheetName val="Capex_Estimates3"/>
      <sheetName val="General_Assumptions3"/>
      <sheetName val="Sqn-Abs(G+6)_3"/>
      <sheetName val="WO-Abs_(G+2)_6_DUs3"/>
      <sheetName val="Air-Abs(G+6)_23_DUs3"/>
      <sheetName val="5__EA3"/>
      <sheetName val="GUT_(2)3"/>
      <sheetName val="MB_Prod3"/>
      <sheetName val="Key_Ass3"/>
      <sheetName val="bs_BP_04_SA3"/>
      <sheetName val="Col_up_to_plinth3"/>
      <sheetName val="int__pla_3"/>
      <sheetName val="R_MTL3"/>
      <sheetName val="RA_Bill_summary_til_Apr193"/>
      <sheetName val="APTIDCO_CV_A_SCOPE3"/>
      <sheetName val="Manpower_Histogram3"/>
      <sheetName val="TBAL9697__grotp_wis115"/>
      <sheetName val="TBAL9697__grotp_wis214"/>
      <sheetName val="TBAL9697__grotp_wis39"/>
      <sheetName val="TBAL9697__grotp_wis44"/>
      <sheetName val="TBAL9697__grotp_wis54"/>
      <sheetName val="TBAL9697__grotp_wis63"/>
      <sheetName val="TBAL9697__grotp_wis73"/>
      <sheetName val="TBAL9697__grotp_wis83"/>
      <sheetName val="TBAL9697__grotp_wis143"/>
      <sheetName val="TBAL9697__grotp_wis103"/>
      <sheetName val="TBAL9697__grotp_wis93"/>
      <sheetName val="TBAL9697__grotp_wis116"/>
      <sheetName val="TBAL9697__grotp_wis123"/>
      <sheetName val="TBAL9697__grotp_wis133"/>
      <sheetName val="TBAL9697__grotp_wis203"/>
      <sheetName val="TBAL9697__grotp_wis153"/>
      <sheetName val="TBAL9697__grotp_wis163"/>
      <sheetName val="TBAL9697__grotp_wis173"/>
      <sheetName val="TBAL9697__grotp_wis183"/>
      <sheetName val="TBAL9697__grotp_wis193"/>
      <sheetName val="TBAL9697__grotp_wis215"/>
      <sheetName val="TBAL9697__grotp_wis223"/>
      <sheetName val="TBAL9697__grotp_wis233"/>
      <sheetName val="TBAL9697__grotp_wis243"/>
      <sheetName val="TBAL9697__grotp_wis253"/>
      <sheetName val="Item-_Compact3"/>
      <sheetName val="Detailed_Summary_(4)3"/>
      <sheetName val="Basement_Budget3"/>
      <sheetName val="TBAL9697__grotp_wis40"/>
      <sheetName val="Dropdown list"/>
      <sheetName val="Tower1"/>
      <sheetName val="Measurment"/>
      <sheetName val="labour rates"/>
      <sheetName val="Civil_(RA)__Resi_"/>
      <sheetName val="Bed_Class"/>
      <sheetName val="GM_0001"/>
      <sheetName val="Table_4"/>
      <sheetName val="Table_5"/>
      <sheetName val="Table_2"/>
      <sheetName val="Table_27"/>
      <sheetName val="labour_rates"/>
      <sheetName val="A_O_R_r1"/>
      <sheetName val="A_O_R_r1Str"/>
      <sheetName val="Order_Info"/>
      <sheetName val="1st_-vpd"/>
      <sheetName val="Input_Data"/>
      <sheetName val="MLCP_Connection_Details"/>
      <sheetName val="MERGED_CODES_&amp;_NAMES"/>
      <sheetName val="INPUT_(BPL)"/>
      <sheetName val="Break_Up_(bc)"/>
      <sheetName val="Break_Up_(bc1)"/>
      <sheetName val="Break_Up_(bc2)"/>
      <sheetName val="Combined_Results_"/>
      <sheetName val="Loan_Schedule"/>
      <sheetName val="Story Drift-Part 2"/>
      <sheetName val="Ring Details"/>
      <sheetName val="Reference Data"/>
      <sheetName val="DWTable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Design sheet"/>
      <sheetName val="TBAL9697__x005f_x005f_x26"/>
      <sheetName val="TBAL9697__x005f_x005f_x27"/>
      <sheetName val="TBAL9697__x005f_x000a_grotp_wi2"/>
      <sheetName val="CORPN_O_x005f_x005f_x0002"/>
      <sheetName val="LB020A(月)"/>
      <sheetName val="Chennai"/>
      <sheetName val="Intake"/>
      <sheetName val="N-Amritsar 135"/>
      <sheetName val="M.R.List (2)"/>
      <sheetName val="Old"/>
      <sheetName val="Operating Statistics"/>
      <sheetName val="REL"/>
      <sheetName val="Code"/>
      <sheetName val="Opening"/>
      <sheetName val="bending stress"/>
      <sheetName val="DP"/>
      <sheetName val="Cash Flow Working"/>
      <sheetName val="SOA"/>
      <sheetName val="Podium Areas"/>
      <sheetName val="L4-L15"/>
      <sheetName val="8. Cover"/>
      <sheetName val="TBAL9697__x000d_grotp_w29"/>
      <sheetName val="TBAL9697__x000d_grotp_w28"/>
      <sheetName val="TBAL9697__x000d_grotp_w27"/>
      <sheetName val="TBAL9697__x000d_grotp_w30"/>
      <sheetName val="fa-pl &amp; myy_x000b__"/>
      <sheetName val="BM-HOOP"/>
      <sheetName val=" Tank"/>
      <sheetName val="spare parts"/>
      <sheetName val="CLEAN SHEET COST FOR cPVC PIPE"/>
      <sheetName val="Data 1"/>
      <sheetName val="Rates Basic"/>
      <sheetName val="BWSCPlt"/>
      <sheetName val="DI"/>
      <sheetName val="G.R.P"/>
      <sheetName val="HDPE"/>
      <sheetName val="PSC REVISED"/>
      <sheetName val="pvc"/>
      <sheetName val="beam-reinft-machine rm"/>
      <sheetName val="F4.13"/>
      <sheetName val="Beam-design exp"/>
      <sheetName val="WORK TABLE"/>
      <sheetName val="pri-com"/>
      <sheetName val="BOQELECT"/>
      <sheetName val="starter"/>
      <sheetName val="Materials Cost(PCC)"/>
      <sheetName val="Casecompannual"/>
      <sheetName val="PROG_DATA"/>
      <sheetName val="PANEL ANNEXURE"/>
      <sheetName val="WBS"/>
      <sheetName val="PLAN_FEB97"/>
      <sheetName val="activit-graph  "/>
      <sheetName val="Table-2 (Rate Comparison)"/>
      <sheetName val="RCC Rates"/>
      <sheetName val="Column all floor R1"/>
      <sheetName val="Reference"/>
      <sheetName val="Triggers"/>
      <sheetName val="Cabinet details"/>
      <sheetName val="Tools Rev"/>
      <sheetName val="TBAL9697__x000d_grotp_wis27"/>
      <sheetName val="TBAL9697__x000d_grotp_wis28"/>
      <sheetName val="TBAL9697__x005f_x005f_x28"/>
      <sheetName val="TBAL9697__x005f_x000a_grotp_wi3"/>
      <sheetName val="CORPN_O_x005f_x005f_x0003"/>
      <sheetName val="CORPN_O_x0000_T31"/>
      <sheetName val="TBAL9697__x005f_x000d_grotp_w31"/>
      <sheetName val="TBAL9697__x000d_grotp_wis29"/>
      <sheetName val="TBAL9697__x005f_x005f_x29"/>
      <sheetName val="TBAL9697__x005f_x000a_grotp_wi4"/>
      <sheetName val="CORPN_O_x005f_x005f_x0004"/>
      <sheetName val="Balance Sheet "/>
      <sheetName val="cost centre"/>
      <sheetName val="CC_flatfile"/>
      <sheetName val="INPUT_SHEET_-_A2"/>
      <sheetName val="INPUT SHEET - A"/>
      <sheetName val="Default Values"/>
      <sheetName val="CASH CONTRACTS"/>
      <sheetName val="Qty SR"/>
      <sheetName val=" IO List"/>
      <sheetName val="Sensitivity"/>
      <sheetName val="PARAMETRES"/>
      <sheetName val="Parel"/>
      <sheetName val="TB9798OBPL06_(2)70"/>
      <sheetName val="CORPN_OCT70"/>
      <sheetName val="inout_consol-nov70"/>
      <sheetName val="inout_consol_(2)70"/>
      <sheetName val="AS_ON_DT_EXPS_Mar70"/>
      <sheetName val="fa-pl_&amp;_mach-site70"/>
      <sheetName val="fa_off_eqp70"/>
      <sheetName val="fa_fur&amp;_fix70"/>
      <sheetName val="fa-pl_&amp;_mach-Off70"/>
      <sheetName val="B_Equity-sdpl_INC70"/>
      <sheetName val="inout_consol_wkg70"/>
      <sheetName val="inout_consol_WKNG70"/>
      <sheetName val="B_Sheet_9770"/>
      <sheetName val="P&amp;L_97_70"/>
      <sheetName val="B_Sheet_97-BEXP70"/>
      <sheetName val="P&amp;L_97_-BEXP70"/>
      <sheetName val="consol_flows70"/>
      <sheetName val="sdpl_oth_Liab70"/>
      <sheetName val="obpl-oth_liab70"/>
      <sheetName val="G_land_advance70"/>
      <sheetName val="I-Wip-ot_(2)70"/>
      <sheetName val="detail_WIP_(2)70"/>
      <sheetName val="detail_G-170"/>
      <sheetName val="sobha_menon_ac70"/>
      <sheetName val="pnc_ac70"/>
      <sheetName val="fix_-p_&amp;_M_-SCC70"/>
      <sheetName val="C_fix_asst70"/>
      <sheetName val="D_fix_asst_scdl_70"/>
      <sheetName val="creditors_tb_obpl70"/>
      <sheetName val="TBAL9697_-group_wise__sdpl80"/>
      <sheetName val="TBAL9697_-group_wise_70"/>
      <sheetName val="crs_-G-170"/>
      <sheetName val="TBAL9697_-group_wise__onpl70"/>
      <sheetName val="B_Sheet_97-OBPL70"/>
      <sheetName val="B_Sheet_97_sdpl70"/>
      <sheetName val="TBAL9697_-group_wise__sdpl270"/>
      <sheetName val="inout_consol_jan70"/>
      <sheetName val="consol_flow70"/>
      <sheetName val="D_Loan__Prom70"/>
      <sheetName val="E_Bank_Loan70"/>
      <sheetName val="G_work_Cap70"/>
      <sheetName val="H_land_adv-dec70"/>
      <sheetName val="J_Con_WIP70"/>
      <sheetName val="detail_J70"/>
      <sheetName val="L_Oth_Co70"/>
      <sheetName val="K_fix_asst__70"/>
      <sheetName val="C_fix_asst-SDPL_70"/>
      <sheetName val="TBAL9697__group_wise__sdpl70"/>
      <sheetName val="inout_consol_okg70"/>
      <sheetName val="detail_OIP_(2)70"/>
      <sheetName val="D_fix_ysst_scdl_70"/>
      <sheetName val="cre`itors_tb_obpl70"/>
      <sheetName val="3AL9697_-group_wise__onpl70"/>
      <sheetName val="3‰AL9697_-group_wise__onpl69"/>
      <sheetName val="L_Oth_Bo69"/>
      <sheetName val="Civil_Boq69"/>
      <sheetName val="Staff_Acco_69"/>
      <sheetName val="SITE_OVERHEADS69"/>
      <sheetName val="PRECAST_lightconc-II67"/>
      <sheetName val="3�AL9697_-group_wise__onpl69"/>
      <sheetName val="Cashflow_projection66"/>
      <sheetName val="Boq_Block_A69"/>
      <sheetName val="1__PayRec66"/>
      <sheetName val="Project-Material_69"/>
      <sheetName val="SPT_vs_PHI66"/>
      <sheetName val="key_dates66"/>
      <sheetName val="_bpl,oth_lia_66"/>
      <sheetName val="G_,and_adv_nce66"/>
      <sheetName val="I,Wip-ot__2)66"/>
      <sheetName val="det!il_WIP_(2)66"/>
      <sheetName val="de4ail_G-166"/>
      <sheetName val="sobha_mennn_ac66"/>
      <sheetName val="C_&amp;ix_asst66"/>
      <sheetName val="_x005f_x0003_dpl_oth_Lia`66"/>
      <sheetName val="TBAL9697__x005f_x000d_grotp_wise_66"/>
      <sheetName val="St_co_91_5lvl66"/>
      <sheetName val="ino4t_conso,-nov66"/>
      <sheetName val="(nout_co,sol_(2)66"/>
      <sheetName val="Blr_hire66"/>
      <sheetName val="INPUT_SHEET66"/>
      <sheetName val="Stress_Calculation66"/>
      <sheetName val="CORPN_O66"/>
      <sheetName val="CORPN_O_T64"/>
      <sheetName val="DG_66"/>
      <sheetName val="CORPN_O?T66"/>
      <sheetName val="TBAL9697__x000a_grotp_wise_66"/>
      <sheetName val="Labor_abs-NMR66"/>
      <sheetName val="Sun_E_Type66"/>
      <sheetName val="Fin_Sum66"/>
      <sheetName val="CORPN_O_x005f_x0000_T66"/>
      <sheetName val="SUPPLY_-Sanitary_Fixtures66"/>
      <sheetName val="ITEMS_FOR_CIVIL_TENDER66"/>
      <sheetName val="labour_coeff64"/>
      <sheetName val="Shuttering_Analysis64"/>
      <sheetName val="General_P+M64"/>
      <sheetName val="Curing_Analysis_64"/>
      <sheetName val="Concrete_P+M_(_RMC_)64"/>
      <sheetName val="P+M_(_SMC_)64"/>
      <sheetName val="P+M_-EW64"/>
      <sheetName val="Quote_Sheet64"/>
      <sheetName val="d-safe_DELUXE64"/>
      <sheetName val="DLC_lookups64"/>
      <sheetName val="Works_-_Quote_Sheet64"/>
      <sheetName val="IO_LIST64"/>
      <sheetName val="_x005f_x005f_x005f_x0003_dpl_oth_Lia`66"/>
      <sheetName val="TBAL9697__x005f_x005f_x005f_x000d_grotp_w66"/>
      <sheetName val="TBAL9697__x005f_x000d_grotp_wis64"/>
      <sheetName val="TBAL9697__grotp_wise_180"/>
      <sheetName val="P&amp;L_-_AD64"/>
      <sheetName val="Fin__Assumpt__-_Sensitivities64"/>
      <sheetName val="LOAD_SHEET_64"/>
      <sheetName val="Fill_this_out_first___64"/>
      <sheetName val="Labour_productivity64"/>
      <sheetName val="RCC,Ret__Wall64"/>
      <sheetName val="Area_&amp;_Cate__Master64"/>
      <sheetName val="TBAL9697__x005f_x000a_grotp_wise_64"/>
      <sheetName val="TBAL9697__grotp_wise_190"/>
      <sheetName val="Bill_No_564"/>
      <sheetName val="11B_64"/>
      <sheetName val="BOQ_(2)64"/>
      <sheetName val="Driveway_Beams64"/>
      <sheetName val="Detail_1A64"/>
      <sheetName val="Fee_Rate_Summary64"/>
      <sheetName val="Name_List64"/>
      <sheetName val="Structure_Bills_Qty64"/>
      <sheetName val="Break_Dw64"/>
      <sheetName val="Sheet_164"/>
      <sheetName val="3BPA00132-5-3_W_plan_HVPNL64"/>
      <sheetName val="Mix_Design64"/>
      <sheetName val="CORPN_O_x005f_x005f_x005f_x0000_T64"/>
      <sheetName val="220_11__BS_64"/>
      <sheetName val="Cat_A_Change_Control64"/>
      <sheetName val="Break_up_Sheet64"/>
      <sheetName val="Summary_of_P_&amp;_M64"/>
      <sheetName val="FITZ_MORT_9464"/>
      <sheetName val="ISO_Reconcilation_Statment64"/>
      <sheetName val="AVG_pur_rate64"/>
      <sheetName val="tie_beam17"/>
      <sheetName val="LIST_OF_MAKES64"/>
      <sheetName val="Civil_Works64"/>
      <sheetName val="BLOCK-A_(MEA_SHEET)64"/>
      <sheetName val="Form_664"/>
      <sheetName val="acevsSp_(ABC)64"/>
      <sheetName val="A_O_R_64"/>
      <sheetName val="NLD_-_Assum64"/>
      <sheetName val="Section_Catalogue64"/>
      <sheetName val="Cash_Flow_Input_Data_ISC36"/>
      <sheetName val="Legal_Risk_Analysis34"/>
      <sheetName val="Intro_64"/>
      <sheetName val="TBAL9697__x005f_x005f_x005f_x005f_x005f_x005f_x36"/>
      <sheetName val="DETAILED__BOQ34"/>
      <sheetName val="Assumption_Inputs64"/>
      <sheetName val="CABLE_DATA34"/>
      <sheetName val="Tender_Summary17"/>
      <sheetName val="Excess_Calc9"/>
      <sheetName val="Site_Dev_BOQ10"/>
      <sheetName val="PO_Payroll9"/>
      <sheetName val="Mat_-Rates34"/>
      <sheetName val="Deduction_of_assets13"/>
      <sheetName val="TBAL9697__grotp_wise_200"/>
      <sheetName val="TBAL9697__grotp_wise_1100"/>
      <sheetName val="BOQ_9"/>
      <sheetName val="Detail_In_Door_Stad9"/>
      <sheetName val="INDIGINEOUS_ITEMS_17"/>
      <sheetName val="COP_Final9"/>
      <sheetName val="Elect_10"/>
      <sheetName val="TBAL9697__grotp_wise_240"/>
      <sheetName val="TBAL9697__grotp_wise_419"/>
      <sheetName val="TBAL9697__grotp_wise_319"/>
      <sheetName val="TBAL9697__grotp_wise_517"/>
      <sheetName val="TBAL9697__grotp_wise_615"/>
      <sheetName val="TBAL9697__grotp_wise_714"/>
      <sheetName val="TBAL9697__grotp_wise_814"/>
      <sheetName val="TBAL9697__grotp_wise_914"/>
      <sheetName val="TBAL9697__grotp_wise_1014"/>
      <sheetName val="TBAL9697__grotp_wise_1611"/>
      <sheetName val="TBAL9697__grotp_wise_1213"/>
      <sheetName val="TBAL9697__grotp_wise_1114"/>
      <sheetName val="TBAL9697__grotp_wise_1313"/>
      <sheetName val="TBAL9697__grotp_wise_1412"/>
      <sheetName val="TBAL9697__grotp_wise_1511"/>
      <sheetName val="TBAL9697__grotp_wise_2212"/>
      <sheetName val="TBAL9697__grotp_wise_1710"/>
      <sheetName val="TBAL9697__grotp_wise_1810"/>
      <sheetName val="TBAL9697__grotp_wise_1910"/>
      <sheetName val="TBAL9697__grotp_wise_2010"/>
      <sheetName val="TBAL9697__grotp_wise_2114"/>
      <sheetName val="TBAL9697__grotp_wise_2310"/>
      <sheetName val="TBAL9697__grotp_wise_2410"/>
      <sheetName val="CORPN_O_x005f_x005f_x005f_x005f_x005f_x005f_x0009"/>
      <sheetName val="TBAL9697__x005f_x005f_x005f_x000a_grotp_wi9"/>
      <sheetName val="Cost_summary9"/>
      <sheetName val="final_abstract9"/>
      <sheetName val="SPILL_OVER9"/>
      <sheetName val="Pacakges_split9"/>
      <sheetName val="Data_sheet9"/>
      <sheetName val="Per_Unit9"/>
      <sheetName val="Gen_Info9"/>
      <sheetName val="Meas_-Hotel_Part9"/>
      <sheetName val="Main_Gate_House9"/>
      <sheetName val="General_input9"/>
      <sheetName val="6_059"/>
      <sheetName val="Abstract_Sheet9"/>
      <sheetName val="Boq-_Civil9"/>
      <sheetName val="AutoOpen_Stub_Data9"/>
      <sheetName val="BASIC_RATES9"/>
      <sheetName val="TBAL9697__x005f_x005f_x0010"/>
      <sheetName val="Lintel_Beam_104_70_(GF)__9"/>
      <sheetName val="Debits_as_on_12_04_089"/>
      <sheetName val="Labor_abs-PW9"/>
      <sheetName val="Material_9"/>
      <sheetName val="Extra_Item9"/>
      <sheetName val="Labour_&amp;_Plant9"/>
      <sheetName val="CORPN_O_x005f_x005f_x00009"/>
      <sheetName val="TBAL9697__x005f_x000a_grotp_wis9"/>
      <sheetName val="Contract_Night_Staff9"/>
      <sheetName val="Contract_Day_Staff9"/>
      <sheetName val="Day_Shift9"/>
      <sheetName val="Night_Shift9"/>
      <sheetName val="TBAL9697__grotp_wise_2510"/>
      <sheetName val="TBAL9697__grotp_wise_2610"/>
      <sheetName val="Base_Assumptions9"/>
      <sheetName val="_COP_100%9"/>
      <sheetName val="_9"/>
      <sheetName val="lineby_line_consolidation9"/>
      <sheetName val="TBAL9697_-group_wise_sdpl9"/>
      <sheetName val="Bill_3_-_Site_Works8"/>
      <sheetName val="Rate_analysis8"/>
      <sheetName val="Approved_MTD_Proj_#'s8"/>
      <sheetName val="9__Package_split_-_Cost_8"/>
      <sheetName val="Project_Budget_Worksheet8"/>
      <sheetName val="CORPN_O_x005f_x005f_x005f8"/>
      <sheetName val="Area_Statement9"/>
      <sheetName val="Risk_Analysis9"/>
      <sheetName val="CORPN_O_x005f9"/>
      <sheetName val="Material_Rate8"/>
      <sheetName val="Rate_Analysis_8"/>
      <sheetName val="appendix_2_5_final_accounts8"/>
      <sheetName val="CFForecast_detail8"/>
      <sheetName val="소상_&quot;1&quot;5"/>
      <sheetName val="Material_List_8"/>
      <sheetName val="Basic_Rate8"/>
      <sheetName val="INFLUENCES_ON_GM8"/>
      <sheetName val="Load_Details(B2)8"/>
      <sheetName val="KQ_Cost_Controlling5"/>
      <sheetName val="KQ_Appropriation5"/>
      <sheetName val="CPT_POST_UPLOAD5"/>
      <sheetName val="indices_5"/>
      <sheetName val="Cost_Basis5"/>
      <sheetName val="BS_-_L+OE8"/>
      <sheetName val="beam-reinft-IIInd_floor8"/>
      <sheetName val="SITE_DEVELOPMENT8"/>
      <sheetName val="Building_18"/>
      <sheetName val="Lead_(Final)8"/>
      <sheetName val="PB_WORK4"/>
      <sheetName val="TBAL9697__x009"/>
      <sheetName val="CORPN_O_x00008"/>
      <sheetName val="TBAL9697__x000a_grotp_wis34"/>
      <sheetName val="2_civil-RA5"/>
      <sheetName val="schedule_nos8"/>
      <sheetName val="TBAL9697__grotp_wise_295"/>
      <sheetName val="TBAL9697__grotp_wise_285"/>
      <sheetName val="TBAL9697__grotp_wise_279"/>
      <sheetName val="TBAL9697__grotp_wise_305"/>
      <sheetName val="TBAL9697__grotp_wis45"/>
      <sheetName val="TBAL9697__grotp_wis46"/>
      <sheetName val="Customize_Your_Purchase_Order8"/>
      <sheetName val="fa-pl_&amp;_myy_x005f_x000b__x005f_x000b__x08"/>
      <sheetName val="P_&amp;_M8"/>
      <sheetName val="MS_Items8"/>
      <sheetName val="DDETABLE_8"/>
      <sheetName val="Detail_P&amp;L5"/>
      <sheetName val="Assumption_Sheet4"/>
      <sheetName val="Pile_cap5"/>
      <sheetName val="M_S_5"/>
      <sheetName val="TAX_INCOME5"/>
      <sheetName val="Depart_Budget5"/>
      <sheetName val="CC_June5"/>
      <sheetName val="Sheet3_(2)5"/>
      <sheetName val="Bill_15"/>
      <sheetName val="Bill_25"/>
      <sheetName val="Bill_35"/>
      <sheetName val="Bill_45"/>
      <sheetName val="Bill_55"/>
      <sheetName val="Bill_65"/>
      <sheetName val="Bill_75"/>
      <sheetName val="Service_Function8"/>
      <sheetName val="SCHEDULE_OF_RATES4"/>
      <sheetName val="class_&amp;_category5"/>
      <sheetName val="code_Control_Sheet5"/>
      <sheetName val="Mat_Cost5"/>
      <sheetName val="Invested_capital_VDF4"/>
      <sheetName val="PV_of_Op_Leases_VDF4"/>
      <sheetName val="BOQ_Distribution8"/>
      <sheetName val="GR_slab-reinft8"/>
      <sheetName val="Indirect_expenses8"/>
      <sheetName val="Sheet_28"/>
      <sheetName val="Risk_Assmnt8"/>
      <sheetName val="AoR_Finishing8"/>
      <sheetName val="fa-pl_&amp;_myy_x005f_x000b__5"/>
      <sheetName val="Layer_Table4"/>
      <sheetName val="New_Construction4"/>
      <sheetName val="Cost_Index5"/>
      <sheetName val="BEAM_SCH4"/>
      <sheetName val="SLAB__SCH_4"/>
      <sheetName val="Beam_at_Ground_flr_lvl(Steel)4"/>
      <sheetName val="Main_Assump_4"/>
      <sheetName val="Input_&amp;_Calculations4"/>
      <sheetName val="PA-_Consutant_4"/>
      <sheetName val="Bill_1-BOQ-Civil_Works4"/>
      <sheetName val="Customize_Your_Invoice4"/>
      <sheetName val="CIVIL_BOQ_(Final)4"/>
      <sheetName val="Loan_Amortization_Schedule4"/>
      <sheetName val="Bill-5_24"/>
      <sheetName val="Bill-9_14"/>
      <sheetName val="Bill-6_1_1-6_1_34"/>
      <sheetName val="Basic_rate_summary4"/>
      <sheetName val="Basic_rate_calculations4"/>
      <sheetName val="organi_synthesis_lab4"/>
      <sheetName val="Rates_7-204"/>
      <sheetName val="Boq_(Main_Building)4"/>
      <sheetName val="CORPN_O_x005f_x005f_x005f_x005f_x005f_x005f_x0054"/>
      <sheetName val="Overall_Summary4"/>
      <sheetName val="Summary_CFA_total_-_CP1_&amp;_CP24"/>
      <sheetName val="S-MMS_without_TFA4"/>
      <sheetName val="Labor_Rates4"/>
      <sheetName val="Capex_Estimates4"/>
      <sheetName val="General_Assumptions4"/>
      <sheetName val="Sqn-Abs(G+6)_4"/>
      <sheetName val="WO-Abs_(G+2)_6_DUs4"/>
      <sheetName val="Air-Abs(G+6)_23_DUs4"/>
      <sheetName val="5__EA4"/>
      <sheetName val="GUT_(2)4"/>
      <sheetName val="MB_Prod4"/>
      <sheetName val="Key_Ass4"/>
      <sheetName val="bs_BP_04_SA4"/>
      <sheetName val="Col_up_to_plinth4"/>
      <sheetName val="int__pla_4"/>
      <sheetName val="R_MTL4"/>
      <sheetName val="RA_Bill_summary_til_Apr194"/>
      <sheetName val="APTIDCO_CV_A_SCOPE4"/>
      <sheetName val="Manpower_Histogram4"/>
      <sheetName val="TBAL9697__grotp_wis117"/>
      <sheetName val="TBAL9697__grotp_wis216"/>
      <sheetName val="TBAL9697__grotp_wis310"/>
      <sheetName val="TBAL9697__grotp_wis47"/>
      <sheetName val="TBAL9697__grotp_wis55"/>
      <sheetName val="TBAL9697__grotp_wis64"/>
      <sheetName val="TBAL9697__grotp_wis74"/>
      <sheetName val="TBAL9697__grotp_wis84"/>
      <sheetName val="TBAL9697__grotp_wis144"/>
      <sheetName val="TBAL9697__grotp_wis104"/>
      <sheetName val="TBAL9697__grotp_wis94"/>
      <sheetName val="TBAL9697__grotp_wis118"/>
      <sheetName val="TBAL9697__grotp_wis124"/>
      <sheetName val="TBAL9697__grotp_wis134"/>
      <sheetName val="TBAL9697__grotp_wis204"/>
      <sheetName val="TBAL9697__grotp_wis154"/>
      <sheetName val="TBAL9697__grotp_wis164"/>
      <sheetName val="TBAL9697__grotp_wis174"/>
      <sheetName val="TBAL9697__grotp_wis184"/>
      <sheetName val="TBAL9697__grotp_wis194"/>
      <sheetName val="TBAL9697__grotp_wis217"/>
      <sheetName val="TBAL9697__grotp_wis224"/>
      <sheetName val="TBAL9697__grotp_wis234"/>
      <sheetName val="TBAL9697__grotp_wis244"/>
      <sheetName val="TBAL9697__grotp_wis254"/>
      <sheetName val="Item-_Compact4"/>
      <sheetName val="Detailed_Summary_(4)4"/>
      <sheetName val="Basement_Budget4"/>
      <sheetName val="TBAL9697__grotp_wis48"/>
      <sheetName val="TB9798OBPL06_(2)71"/>
      <sheetName val="CORPN_OCT71"/>
      <sheetName val="inout_consol-nov71"/>
      <sheetName val="inout_consol_(2)71"/>
      <sheetName val="AS_ON_DT_EXPS_Mar71"/>
      <sheetName val="fa-pl_&amp;_mach-site71"/>
      <sheetName val="fa_off_eqp71"/>
      <sheetName val="fa_fur&amp;_fix71"/>
      <sheetName val="fa-pl_&amp;_mach-Off71"/>
      <sheetName val="B_Equity-sdpl_INC71"/>
      <sheetName val="inout_consol_wkg71"/>
      <sheetName val="inout_consol_WKNG71"/>
      <sheetName val="B_Sheet_9771"/>
      <sheetName val="P&amp;L_97_71"/>
      <sheetName val="B_Sheet_97-BEXP71"/>
      <sheetName val="P&amp;L_97_-BEXP71"/>
      <sheetName val="consol_flows71"/>
      <sheetName val="sdpl_oth_Liab71"/>
      <sheetName val="obpl-oth_liab71"/>
      <sheetName val="G_land_advance71"/>
      <sheetName val="I-Wip-ot_(2)71"/>
      <sheetName val="detail_WIP_(2)71"/>
      <sheetName val="detail_G-171"/>
      <sheetName val="sobha_menon_ac71"/>
      <sheetName val="pnc_ac71"/>
      <sheetName val="fix_-p_&amp;_M_-SCC71"/>
      <sheetName val="C_fix_asst71"/>
      <sheetName val="D_fix_asst_scdl_71"/>
      <sheetName val="creditors_tb_obpl71"/>
      <sheetName val="TBAL9697_-group_wise__sdpl81"/>
      <sheetName val="TBAL9697_-group_wise_71"/>
      <sheetName val="crs_-G-171"/>
      <sheetName val="TBAL9697_-group_wise__onpl71"/>
      <sheetName val="B_Sheet_97-OBPL71"/>
      <sheetName val="B_Sheet_97_sdpl71"/>
      <sheetName val="TBAL9697_-group_wise__sdpl271"/>
      <sheetName val="inout_consol_jan71"/>
      <sheetName val="consol_flow71"/>
      <sheetName val="D_Loan__Prom71"/>
      <sheetName val="E_Bank_Loan71"/>
      <sheetName val="G_work_Cap71"/>
      <sheetName val="H_land_adv-dec71"/>
      <sheetName val="J_Con_WIP71"/>
      <sheetName val="detail_J71"/>
      <sheetName val="L_Oth_Co71"/>
      <sheetName val="K_fix_asst__71"/>
      <sheetName val="C_fix_asst-SDPL_71"/>
      <sheetName val="TBAL9697__group_wise__sdpl71"/>
      <sheetName val="inout_consol_okg71"/>
      <sheetName val="detail_OIP_(2)71"/>
      <sheetName val="D_fix_ysst_scdl_71"/>
      <sheetName val="cre`itors_tb_obpl71"/>
      <sheetName val="3AL9697_-group_wise__onpl71"/>
      <sheetName val="3‰AL9697_-group_wise__onpl70"/>
      <sheetName val="L_Oth_Bo70"/>
      <sheetName val="Civil_Boq70"/>
      <sheetName val="Staff_Acco_70"/>
      <sheetName val="SITE_OVERHEADS70"/>
      <sheetName val="PRECAST_lightconc-II68"/>
      <sheetName val="Cashflow_projection67"/>
      <sheetName val="SPT_vs_PHI67"/>
      <sheetName val="1__PayRec67"/>
      <sheetName val="Boq_Block_A70"/>
      <sheetName val="Project-Material_70"/>
      <sheetName val="_bpl,oth_lia_67"/>
      <sheetName val="G_,and_adv_nce67"/>
      <sheetName val="I,Wip-ot__2)67"/>
      <sheetName val="det!il_WIP_(2)67"/>
      <sheetName val="de4ail_G-167"/>
      <sheetName val="sobha_mennn_ac67"/>
      <sheetName val="C_&amp;ix_asst67"/>
      <sheetName val="INPUT_SHEET67"/>
      <sheetName val="3�AL9697_-group_wise__onpl70"/>
      <sheetName val="key_dates67"/>
      <sheetName val="CORPN_O67"/>
      <sheetName val="ino4t_conso,-nov67"/>
      <sheetName val="(nout_co,sol_(2)67"/>
      <sheetName val="Blr_hire67"/>
      <sheetName val="_x005f_x0003_dpl_oth_Lia`67"/>
      <sheetName val="TBAL9697__x005f_x000d_grotp_wise_67"/>
      <sheetName val="St_co_91_5lvl67"/>
      <sheetName val="Stress_Calculation67"/>
      <sheetName val="labour_coeff65"/>
      <sheetName val="Fill_this_out_first___65"/>
      <sheetName val="Labour_productivity65"/>
      <sheetName val="RCC,Ret__Wall65"/>
      <sheetName val="Sun_E_Type67"/>
      <sheetName val="Fin_Sum67"/>
      <sheetName val="Labor_abs-NMR67"/>
      <sheetName val="CORPN_O_T65"/>
      <sheetName val="Fin__Assumpt__-_Sensitivities65"/>
      <sheetName val="LOAD_SHEET_65"/>
      <sheetName val="TBAL9697__grotp_wise_250"/>
      <sheetName val="Shuttering_Analysis65"/>
      <sheetName val="General_P+M65"/>
      <sheetName val="Curing_Analysis_65"/>
      <sheetName val="Concrete_P+M_(_RMC_)65"/>
      <sheetName val="P+M_(_SMC_)65"/>
      <sheetName val="P+M_-EW65"/>
      <sheetName val="P&amp;L_-_AD65"/>
      <sheetName val="DG_67"/>
      <sheetName val="CORPN_O_x005f_x0000_T67"/>
      <sheetName val="SUPPLY_-Sanitary_Fixtures67"/>
      <sheetName val="ITEMS_FOR_CIVIL_TENDER67"/>
      <sheetName val="_x005f_x005f_x005f_x0003_dpl_oth_Lia`67"/>
      <sheetName val="TBAL9697__x005f_x005f_x005f_x000d_grotp_w67"/>
      <sheetName val="Area_&amp;_Cate__Master65"/>
      <sheetName val="Quote_Sheet65"/>
      <sheetName val="d-safe_DELUXE65"/>
      <sheetName val="DLC_lookups65"/>
      <sheetName val="Works_-_Quote_Sheet65"/>
      <sheetName val="IO_LIST65"/>
      <sheetName val="TBAL9697__x005f_x000d_grotp_wis65"/>
      <sheetName val="TBAL9697__grotp_wise_260"/>
      <sheetName val="Driveway_Beams65"/>
      <sheetName val="CORPN_O?T67"/>
      <sheetName val="TBAL9697__x000a_grotp_wise_67"/>
      <sheetName val="Fee_Rate_Summary65"/>
      <sheetName val="Name_List65"/>
      <sheetName val="Bill_No_565"/>
      <sheetName val="Sheet_165"/>
      <sheetName val="3BPA00132-5-3_W_plan_HVPNL65"/>
      <sheetName val="Mix_Design65"/>
      <sheetName val="TBAL9697__x005f_x000a_grotp_wise_65"/>
      <sheetName val="11B_65"/>
      <sheetName val="BOQ_(2)65"/>
      <sheetName val="Cat_A_Change_Control65"/>
      <sheetName val="Break_up_Sheet65"/>
      <sheetName val="Summary_of_P_&amp;_M65"/>
      <sheetName val="ISO_Reconcilation_Statment65"/>
      <sheetName val="AVG_pur_rate65"/>
      <sheetName val="FITZ_MORT_9465"/>
      <sheetName val="Break_Dw65"/>
      <sheetName val="Structure_Bills_Qty65"/>
      <sheetName val="Detail_1A65"/>
      <sheetName val="LIST_OF_MAKES65"/>
      <sheetName val="Assumption_Inputs65"/>
      <sheetName val="Civil_Works65"/>
      <sheetName val="Form_665"/>
      <sheetName val="acevsSp_(ABC)65"/>
      <sheetName val="A_O_R_65"/>
      <sheetName val="CORPN_O_x005f_x005f_x005f_x0000_T65"/>
      <sheetName val="220_11__BS_65"/>
      <sheetName val="Intro_65"/>
      <sheetName val="Cash_Flow_Input_Data_ISC37"/>
      <sheetName val="BLOCK-A_(MEA_SHEET)65"/>
      <sheetName val="NLD_-_Assum65"/>
      <sheetName val="Tender_Summary18"/>
      <sheetName val="Section_Catalogue65"/>
      <sheetName val="Mat_-Rates35"/>
      <sheetName val="tie_beam18"/>
      <sheetName val="INDIGINEOUS_ITEMS_18"/>
      <sheetName val="Legal_Risk_Analysis35"/>
      <sheetName val="TBAL9697__x005f_x005f_x005f_x005f_x005f_x005f_x37"/>
      <sheetName val="DETAILED__BOQ35"/>
      <sheetName val="CABLE_DATA35"/>
      <sheetName val="Excess_Calc10"/>
      <sheetName val="Site_Dev_BOQ11"/>
      <sheetName val="PO_Payroll10"/>
      <sheetName val="Deduction_of_assets14"/>
      <sheetName val="TBAL9697__grotp_wise_270"/>
      <sheetName val="TBAL9697__grotp_wise_1101"/>
      <sheetName val="BOQ_10"/>
      <sheetName val="Detail_In_Door_Stad10"/>
      <sheetName val="COP_Final10"/>
      <sheetName val="Elect_11"/>
      <sheetName val="TBAL9697__x005f_x005f_x005f_x000a_grotp_w10"/>
      <sheetName val="CORPN_O_x005f_x005f_x005f_x005f_x005f_x005f_x0010"/>
      <sheetName val="TBAL9697__grotp_wise_280"/>
      <sheetName val="TBAL9697__grotp_wise_420"/>
      <sheetName val="TBAL9697__grotp_wise_320"/>
      <sheetName val="TBAL9697__grotp_wise_518"/>
      <sheetName val="TBAL9697__grotp_wise_616"/>
      <sheetName val="TBAL9697__grotp_wise_715"/>
      <sheetName val="TBAL9697__grotp_wise_815"/>
      <sheetName val="TBAL9697__grotp_wise_915"/>
      <sheetName val="TBAL9697__grotp_wise_1015"/>
      <sheetName val="TBAL9697__grotp_wise_1612"/>
      <sheetName val="TBAL9697__grotp_wise_1214"/>
      <sheetName val="TBAL9697__grotp_wise_1115"/>
      <sheetName val="TBAL9697__grotp_wise_1314"/>
      <sheetName val="TBAL9697__grotp_wise_1413"/>
      <sheetName val="TBAL9697__grotp_wise_1512"/>
      <sheetName val="TBAL9697__grotp_wise_2213"/>
      <sheetName val="TBAL9697__grotp_wise_1711"/>
      <sheetName val="TBAL9697__grotp_wise_1811"/>
      <sheetName val="TBAL9697__grotp_wise_1911"/>
      <sheetName val="TBAL9697__grotp_wise_2011"/>
      <sheetName val="TBAL9697__grotp_wise_2115"/>
      <sheetName val="TBAL9697__grotp_wise_2311"/>
      <sheetName val="TBAL9697__grotp_wise_2411"/>
      <sheetName val="Cost_summary10"/>
      <sheetName val="final_abstract10"/>
      <sheetName val="SPILL_OVER10"/>
      <sheetName val="Pacakges_split10"/>
      <sheetName val="Data_sheet10"/>
      <sheetName val="Per_Unit10"/>
      <sheetName val="Gen_Info10"/>
      <sheetName val="Main_Gate_House10"/>
      <sheetName val="General_input10"/>
      <sheetName val="6_0510"/>
      <sheetName val="Abstract_Sheet10"/>
      <sheetName val="Boq-_Civil10"/>
      <sheetName val="Debits_as_on_12_04_0810"/>
      <sheetName val="Labor_abs-PW10"/>
      <sheetName val="AutoOpen_Stub_Data10"/>
      <sheetName val="Material_10"/>
      <sheetName val="Extra_Item10"/>
      <sheetName val="Labour_&amp;_Plant10"/>
      <sheetName val="Meas_-Hotel_Part10"/>
      <sheetName val="BASIC_RATES10"/>
      <sheetName val="lineby_line_consolidation10"/>
      <sheetName val="Base_Assumptions10"/>
      <sheetName val="_COP_100%10"/>
      <sheetName val="TBAL9697__grotp_wise_2511"/>
      <sheetName val="TBAL9697__grotp_wise_2611"/>
      <sheetName val="Contract_Night_Staff10"/>
      <sheetName val="Contract_Day_Staff10"/>
      <sheetName val="Day_Shift10"/>
      <sheetName val="Night_Shift10"/>
      <sheetName val="Lintel_Beam_104_70_(GF)__10"/>
      <sheetName val="TBAL9697__x005f_x005f_x0011"/>
      <sheetName val="CORPN_O_x005f_x005f_x000010"/>
      <sheetName val="TBAL9697__x005f_x000a_grotp_wis10"/>
      <sheetName val="TBAL9697_-group_wise_sdpl10"/>
      <sheetName val="_10"/>
      <sheetName val="appendix_2_5_final_accounts9"/>
      <sheetName val="Area_Statement10"/>
      <sheetName val="Risk_Analysis10"/>
      <sheetName val="CORPN_O_x005f10"/>
      <sheetName val="Bill_3_-_Site_Works9"/>
      <sheetName val="Material_List_9"/>
      <sheetName val="Basic_Rate9"/>
      <sheetName val="INFLUENCES_ON_GM9"/>
      <sheetName val="Load_Details(B2)9"/>
      <sheetName val="Material_Rate9"/>
      <sheetName val="Rate_analysis9"/>
      <sheetName val="Approved_MTD_Proj_#'s9"/>
      <sheetName val="9__Package_split_-_Cost_9"/>
      <sheetName val="Project_Budget_Worksheet9"/>
      <sheetName val="CORPN_O_x005f_x005f_x005f9"/>
      <sheetName val="CFForecast_detail9"/>
      <sheetName val="소상_&quot;1&quot;6"/>
      <sheetName val="KQ_Cost_Controlling6"/>
      <sheetName val="KQ_Appropriation6"/>
      <sheetName val="indices_6"/>
      <sheetName val="SITE_DEVELOPMENT9"/>
      <sheetName val="Building_19"/>
      <sheetName val="Lead_(Final)9"/>
      <sheetName val="Pile_cap6"/>
      <sheetName val="M_S_6"/>
      <sheetName val="BS_-_L+OE9"/>
      <sheetName val="Rate_Analysis_9"/>
      <sheetName val="CPT_POST_UPLOAD6"/>
      <sheetName val="beam-reinft-IIInd_floor9"/>
      <sheetName val="Cost_Basis6"/>
      <sheetName val="schedule_nos9"/>
      <sheetName val="Customize_Your_Purchase_Order9"/>
      <sheetName val="fa-pl_&amp;_myy_x005f_x000b__x005f_x000b__x09"/>
      <sheetName val="Service_Function9"/>
      <sheetName val="Sheet3_(2)6"/>
      <sheetName val="Bill_16"/>
      <sheetName val="Bill_26"/>
      <sheetName val="Bill_36"/>
      <sheetName val="Bill_46"/>
      <sheetName val="Bill_56"/>
      <sheetName val="Bill_66"/>
      <sheetName val="Bill_76"/>
      <sheetName val="class_&amp;_category6"/>
      <sheetName val="code_Control_Sheet6"/>
      <sheetName val="Cost_Index6"/>
      <sheetName val="TBAL9697__grotp_wise_2710"/>
      <sheetName val="TBAL9697__grotp_wis49"/>
      <sheetName val="TBAL9697__grotp_wis50"/>
      <sheetName val="2_civil-RA6"/>
      <sheetName val="fa-pl_&amp;_myy_x005f_x000b__6"/>
      <sheetName val="BOQ_Distribution9"/>
      <sheetName val="SCHEDULE_OF_RATES5"/>
      <sheetName val="Mat_Cost6"/>
      <sheetName val="Invested_capital_VDF5"/>
      <sheetName val="PV_of_Op_Leases_VDF5"/>
      <sheetName val="TBAL9697__x000a_grotp_wis35"/>
      <sheetName val="TBAL9697__x0010"/>
      <sheetName val="CORPN_O_x00009"/>
      <sheetName val="GR_slab-reinft9"/>
      <sheetName val="Indirect_expenses9"/>
      <sheetName val="Sheet_29"/>
      <sheetName val="Risk_Assmnt9"/>
      <sheetName val="AoR_Finishing9"/>
      <sheetName val="P_&amp;_M9"/>
      <sheetName val="MS_Items9"/>
      <sheetName val="DDETABLE_9"/>
      <sheetName val="Detail_P&amp;L6"/>
      <sheetName val="Assumption_Sheet5"/>
      <sheetName val="New_Construction5"/>
      <sheetName val="TAX_INCOME6"/>
      <sheetName val="Depart_Budget6"/>
      <sheetName val="CC_June6"/>
      <sheetName val="BEAM_SCH5"/>
      <sheetName val="SLAB__SCH_5"/>
      <sheetName val="Beam_at_Ground_flr_lvl(Steel)5"/>
      <sheetName val="Main_Assump_5"/>
      <sheetName val="Input_&amp;_Calculations5"/>
      <sheetName val="PA-_Consutant_5"/>
      <sheetName val="Layer_Table5"/>
      <sheetName val="Bill_1-BOQ-Civil_Works5"/>
      <sheetName val="Customize_Your_Invoice5"/>
      <sheetName val="CIVIL_BOQ_(Final)5"/>
      <sheetName val="Loan_Amortization_Schedule5"/>
      <sheetName val="PB_WORK5"/>
      <sheetName val="TBAL9697__grotp_wise_296"/>
      <sheetName val="TBAL9697__grotp_wise_286"/>
      <sheetName val="TBAL9697__grotp_wise_306"/>
      <sheetName val="GUT_(2)5"/>
      <sheetName val="MB_Prod5"/>
      <sheetName val="Bill-5_25"/>
      <sheetName val="Bill-9_15"/>
      <sheetName val="Bill-6_1_1-6_1_35"/>
      <sheetName val="Key_Ass5"/>
      <sheetName val="bs_BP_04_SA5"/>
      <sheetName val="Col_up_to_plinth5"/>
      <sheetName val="int__pla_5"/>
      <sheetName val="Basic_rate_summary5"/>
      <sheetName val="Basic_rate_calculations5"/>
      <sheetName val="Overall_Summary5"/>
      <sheetName val="Summary_CFA_total_-_CP1_&amp;_CP25"/>
      <sheetName val="organi_synthesis_lab5"/>
      <sheetName val="Rates_7-205"/>
      <sheetName val="Boq_(Main_Building)5"/>
      <sheetName val="CORPN_O_x005f_x005f_x005f_x005f_x005f_x005f_x0055"/>
      <sheetName val="S-MMS_without_TFA5"/>
      <sheetName val="Labor_Rates5"/>
      <sheetName val="Capex_Estimates5"/>
      <sheetName val="General_Assumptions5"/>
      <sheetName val="Sqn-Abs(G+6)_5"/>
      <sheetName val="WO-Abs_(G+2)_6_DUs5"/>
      <sheetName val="Air-Abs(G+6)_23_DUs5"/>
      <sheetName val="5__EA5"/>
      <sheetName val="R_MTL5"/>
      <sheetName val="RA_Bill_summary_til_Apr195"/>
      <sheetName val="APTIDCO_CV_A_SCOPE5"/>
      <sheetName val="Manpower_Histogram5"/>
      <sheetName val="TBAL9697__grotp_wis119"/>
      <sheetName val="TBAL9697__grotp_wis218"/>
      <sheetName val="TBAL9697__grotp_wis311"/>
      <sheetName val="TBAL9697__grotp_wis410"/>
      <sheetName val="TBAL9697__grotp_wis56"/>
      <sheetName val="TBAL9697__grotp_wis65"/>
      <sheetName val="TBAL9697__grotp_wis75"/>
      <sheetName val="TBAL9697__grotp_wis85"/>
      <sheetName val="TBAL9697__grotp_wis145"/>
      <sheetName val="TBAL9697__grotp_wis105"/>
      <sheetName val="TBAL9697__grotp_wis95"/>
      <sheetName val="TBAL9697__grotp_wis1110"/>
      <sheetName val="TBAL9697__grotp_wis125"/>
      <sheetName val="TBAL9697__grotp_wis135"/>
      <sheetName val="TBAL9697__grotp_wis205"/>
      <sheetName val="TBAL9697__grotp_wis155"/>
      <sheetName val="TBAL9697__grotp_wis165"/>
      <sheetName val="TBAL9697__grotp_wis175"/>
      <sheetName val="TBAL9697__grotp_wis185"/>
      <sheetName val="TBAL9697__grotp_wis195"/>
      <sheetName val="TBAL9697__grotp_wis219"/>
      <sheetName val="TBAL9697__grotp_wis225"/>
      <sheetName val="TBAL9697__grotp_wis235"/>
      <sheetName val="TBAL9697__grotp_wis245"/>
      <sheetName val="TBAL9697__grotp_wis255"/>
      <sheetName val="Item-_Compact5"/>
      <sheetName val="Detailed_Summary_(4)5"/>
      <sheetName val="Basement_Budget5"/>
      <sheetName val="TBAL9697__grotp_wis57"/>
      <sheetName val="DOOR-WINDOW SCHEDULE"/>
      <sheetName val="Schedule v1"/>
      <sheetName val="FORM-16"/>
      <sheetName val="factor "/>
      <sheetName val="E &amp; R"/>
      <sheetName val="radar"/>
      <sheetName val="UG"/>
      <sheetName val="7 Steel Rein."/>
      <sheetName val="TBAL9697_ grotp_wis26"/>
      <sheetName val="TBAL9697_ grotp_wis27"/>
      <sheetName val="TBAL9697_ grotp_wis28"/>
      <sheetName val="TBAL9697_ grotp_wise_31"/>
      <sheetName val="TBAL9697_ grotp_wis29"/>
      <sheetName val="TBAL9697_ grotp_wise_32"/>
      <sheetName val="TBAL9697_ grotp_wise_33"/>
      <sheetName val="TBAL9697_ grotp_wise_34"/>
      <sheetName val="TBAL9697_ grotp_wise_35"/>
      <sheetName val="TBAL9697_ grotp_wise_36"/>
      <sheetName val="TBAL9697_ grotp_wise_37"/>
      <sheetName val="TBAL9697_ grotp_wise_39"/>
      <sheetName val="TBAL9697_ grotp_wise_38"/>
      <sheetName val="TBAL9697_ grotp_wise_40"/>
      <sheetName val="TBAL9697_ grotp_wise_42"/>
      <sheetName val="TBAL9697_ grotp_wise_41"/>
      <sheetName val="TBAL9697_ grotp_wise_43"/>
      <sheetName val="TBAL9697_ grotp_wise_44"/>
      <sheetName val="TBAL9697_ grotp_wise_45"/>
      <sheetName val="TBAL9697_ grotp_wise_46"/>
      <sheetName val="TBAL9697_ grotp_wise_47"/>
      <sheetName val="TBAL9697_ grotp_wise_48"/>
      <sheetName val="TBAL9697_ grotp_wise_49"/>
      <sheetName val="TBAL9697_ grotp_wise_50"/>
      <sheetName val="TBAL9697_ grotp_wise_51"/>
      <sheetName val="TBAL9697_ grotp_wise_52"/>
      <sheetName val="TBAL9697_ grotp_wise_58"/>
      <sheetName val="TBAL9697_ grotp_wise_53"/>
      <sheetName val="TBAL9697_ grotp_wise_54"/>
      <sheetName val="TBAL9697_ grotp_wise_55"/>
      <sheetName val="TBAL9697_ grotp_wise_57"/>
      <sheetName val="TBAL9697_ grotp_wise_56"/>
      <sheetName val="TBAL9697_ grotp_wise_59"/>
      <sheetName val="TBAL9697_ grotp_wise_60"/>
      <sheetName val="TBAL9697_ grotp_wise_61"/>
      <sheetName val="TBAL9697_ grotp_wise_63"/>
      <sheetName val="TBAL9697_ grotp_wise_62"/>
      <sheetName val="TBAL9697_ grotp_wise_64"/>
      <sheetName val="1.01.1 to 1.01.5"/>
      <sheetName val="1.01.6"/>
      <sheetName val="1.01.7"/>
      <sheetName val="1.02.1"/>
      <sheetName val="1.03.1"/>
      <sheetName val="1.03.2"/>
      <sheetName val="1.03.3"/>
      <sheetName val="1.04.1"/>
      <sheetName val="1.05.1"/>
      <sheetName val="1.06.1"/>
      <sheetName val="1.06.2"/>
      <sheetName val="2.01.1 to 2.01.5-"/>
      <sheetName val="2.01.6"/>
      <sheetName val="2.01.7"/>
      <sheetName val="2.01.8"/>
      <sheetName val="2.02.1"/>
      <sheetName val="2.03.1"/>
      <sheetName val="2.03.2"/>
      <sheetName val="2.03.3"/>
      <sheetName val="2.04.1"/>
      <sheetName val="2.05.1"/>
      <sheetName val="2.06.1"/>
      <sheetName val="2.06.2"/>
      <sheetName val="2.07.1"/>
      <sheetName val="2.07.2"/>
      <sheetName val="2.07.3"/>
      <sheetName val="2.07.4"/>
      <sheetName val="2.07.5"/>
      <sheetName val="2.07.6"/>
      <sheetName val="2.07.7"/>
      <sheetName val="2.07.8"/>
      <sheetName val="2.07.9"/>
      <sheetName val="2.07.10"/>
      <sheetName val="2.07.11"/>
      <sheetName val="2.07.12"/>
      <sheetName val="2.07.13"/>
      <sheetName val="2.07.14"/>
      <sheetName val="2.07.15"/>
      <sheetName val="2.07.16"/>
      <sheetName val="3.01.1 to 3.01.5"/>
      <sheetName val="3.01.6"/>
      <sheetName val="3.01.7"/>
      <sheetName val="3.03.1"/>
      <sheetName val="3.03.2"/>
      <sheetName val="3.04.1"/>
      <sheetName val="3.05.1"/>
      <sheetName val="4.01.1 to 4.01.5"/>
      <sheetName val="4.01.6"/>
      <sheetName val="4.01.7"/>
      <sheetName val="4.01.8"/>
      <sheetName val="4.03.1"/>
      <sheetName val="4.03.2"/>
      <sheetName val="4.04.1"/>
      <sheetName val="4.05.1"/>
      <sheetName val="4.07.1"/>
      <sheetName val="4.07.2"/>
      <sheetName val="4.07.3"/>
      <sheetName val="4.07.4"/>
      <sheetName val="4.07.5"/>
      <sheetName val="4.07.6"/>
      <sheetName val="4.07.7"/>
      <sheetName val="4.07.8"/>
      <sheetName val="4.07.9"/>
      <sheetName val="4.07.10"/>
      <sheetName val="4.07.11"/>
      <sheetName val="4.07.12"/>
      <sheetName val="4.07.13"/>
      <sheetName val="4.07.14"/>
      <sheetName val="4.07.15"/>
      <sheetName val="4.07.16"/>
      <sheetName val="5.01.1"/>
      <sheetName val="5.01.2"/>
      <sheetName val="5.01.3"/>
      <sheetName val="5.01.4"/>
      <sheetName val="5.02.1"/>
      <sheetName val="5.02.2"/>
      <sheetName val="5.02.3"/>
      <sheetName val="5.02.4"/>
      <sheetName val="6.01.1 to 6.01.5"/>
      <sheetName val="6.01.6"/>
      <sheetName val="6.02.1 to 6.02.5"/>
      <sheetName val="6.02.6"/>
      <sheetName val="7.01.1"/>
      <sheetName val="7.01.2"/>
      <sheetName val="7.02.1"/>
      <sheetName val="7.02.2"/>
      <sheetName val="7.03.1"/>
      <sheetName val="7.03.2"/>
      <sheetName val="Canceled"/>
      <sheetName val="8.01.1"/>
      <sheetName val="8.01.2"/>
      <sheetName val="8.01.3"/>
      <sheetName val="8.01.4"/>
      <sheetName val="Canceled-1"/>
      <sheetName val="Cancled-2"/>
      <sheetName val="Abstract-1"/>
      <sheetName val="BOQ in CRN Formate"/>
      <sheetName val="Cumul."/>
      <sheetName val="GST. Inv.."/>
      <sheetName val="Ill. Imm. Cert."/>
      <sheetName val="Work Compl. Cert."/>
      <sheetName val="cus_image"/>
      <sheetName val="GrossMgn 98"/>
      <sheetName val="Plant &amp;  Machinery"/>
      <sheetName val="EST-CIVIL"/>
      <sheetName val="Staff Forecast spread"/>
      <sheetName val="APPENDIX 4.1a"/>
      <sheetName val="RECAPITULATION"/>
      <sheetName val="A.O.R (2)"/>
      <sheetName val="V_O_4_-_PCC_Qty"/>
      <sheetName val="Source_Ref_"/>
      <sheetName val="EA_Sheet"/>
      <sheetName val="M-_Rate"/>
      <sheetName val="ONE_TIME"/>
      <sheetName val="4K_-_(6a)_Non_Manual_Breakdown"/>
      <sheetName val="Commodity_Plan_Front_Block"/>
      <sheetName val="Commodity_Plan_Rear_Block"/>
      <sheetName val="99_조정금액"/>
      <sheetName val="Boq__structure_"/>
      <sheetName val="Category_A_-_No_Material"/>
      <sheetName val="Category_B_-_Major_Works"/>
      <sheetName val="Category_C_-_Minor_Works"/>
      <sheetName val="V_O_4_-_PCC_Qty1"/>
      <sheetName val="Source_Ref_1"/>
      <sheetName val="Civil_(RA)__Resi_1"/>
      <sheetName val="Break_Up_(bc)1"/>
      <sheetName val="Break_Up_(bc1)1"/>
      <sheetName val="Break_Up_(bc2)1"/>
      <sheetName val="A_O_R_r11"/>
      <sheetName val="A_O_R_r1Str1"/>
      <sheetName val="Order_Info1"/>
      <sheetName val="1st_-vpd1"/>
      <sheetName val="Input_Data1"/>
      <sheetName val="MLCP_Connection_Details1"/>
      <sheetName val="MERGED_CODES_&amp;_NAMES1"/>
      <sheetName val="INPUT_(BPL)1"/>
      <sheetName val="Combined_Results_1"/>
      <sheetName val="Loan_Schedule1"/>
      <sheetName val="Bed_Class1"/>
      <sheetName val="EA_Sheet1"/>
      <sheetName val="GM_0002"/>
      <sheetName val="Table_41"/>
      <sheetName val="Table_51"/>
      <sheetName val="Table_21"/>
      <sheetName val="Table_271"/>
      <sheetName val="M-_Rate1"/>
      <sheetName val="ONE_TIME1"/>
      <sheetName val="4K_-_(6a)_Non_Manual_Breakdown1"/>
      <sheetName val="Commodity_Plan_Front_Block1"/>
      <sheetName val="Commodity_Plan_Rear_Block1"/>
      <sheetName val="99_조정금액1"/>
      <sheetName val="Boq__structure_1"/>
      <sheetName val="Category_A_-_No_Material1"/>
      <sheetName val="Category_B_-_Major_Works1"/>
      <sheetName val="Category_C_-_Minor_Works1"/>
      <sheetName val="Sch-1a"/>
      <sheetName val="Purlin(7m)"/>
      <sheetName val="IS  875"/>
      <sheetName val="Boq- Zero"/>
      <sheetName val="SB_SCH_A3"/>
      <sheetName val="SB SCH_A7"/>
      <sheetName val="TBEAM"/>
      <sheetName val="Dtype-Civil"/>
      <sheetName val="11 kV SWGR"/>
      <sheetName val="exp-ded-jan' 06"/>
      <sheetName val="_x005f_x005f_x005f_x005F_x005f_x0003_dpl_ot"/>
      <sheetName val="TBAL9697__x005f_x005f_x005f_x005F_x25"/>
      <sheetName val="CORPN_O_x005f_x005f_x005f_x005F_x00001"/>
      <sheetName val="_x005f_x005f_x005f_x005F_x005f_x005f_"/>
      <sheetName val="TBAL9697__x005f_x005f_x005f_x005F_x26"/>
      <sheetName val="CORPN_O_x005f_x005f_x005f_x005F_x0001"/>
      <sheetName val="TBAL9697__x005f_x005f_x005f_x005F_x27"/>
      <sheetName val="CORPN_O_x005f_x005f_x005f_x005F_x0002"/>
      <sheetName val="TBAL9697__x005f_x000d_grotp_w32"/>
      <sheetName val="TBAL9697__x005f_x005f_x005f_x005F_x30"/>
      <sheetName val="TBAL9697__x005f_x005f_x005f_x005F_x28"/>
      <sheetName val="CORPN_O_x005f_x005f_x005f_x005F_x0003"/>
      <sheetName val="TBAL9697__x005f_x005f_x005f_x005F_x29"/>
      <sheetName val="TBAL9697__x005f_x000d_grotp_w33"/>
      <sheetName val="TBAL9697__x005f_x005f_x005f_x005F_x31"/>
      <sheetName val="CORPN_O_x005f_x005f_x005f_x005F_x0004"/>
      <sheetName val="AOR"/>
      <sheetName val="Costcal"/>
      <sheetName val="MB FOR SUPERSTRUCTURE"/>
      <sheetName val="MASONARY "/>
      <sheetName val="para"/>
      <sheetName val="BOB DETAILS"/>
      <sheetName val="SCEL Funding"/>
      <sheetName val="boq_E"/>
      <sheetName val="boq_M"/>
      <sheetName val="boq_Ms"/>
      <sheetName val="boq_P"/>
      <sheetName val="boq_C"/>
      <sheetName val="(31)"/>
      <sheetName val="DBM"/>
      <sheetName val="Sum1"/>
      <sheetName val="SUMMARY-client"/>
      <sheetName val="BOM系"/>
      <sheetName val="ivory"/>
      <sheetName val="Maturity Assessmen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FTE Information and costs"/>
      <sheetName val="Strategic Planning"/>
      <sheetName val="Calendar year Summary Plan"/>
      <sheetName val="Challan"/>
      <sheetName val="97-98"/>
      <sheetName val="_x0003_dpl_oth_Lia`32"/>
      <sheetName val="TBAL9697__x000d_grotp_wise_32"/>
      <sheetName val="CORPN_O_x0000_T32"/>
      <sheetName val="TBAL9697__x000d_grotp_wis30"/>
      <sheetName val="TBAL9697__x005f_x005f_x30"/>
      <sheetName val="fa-pl_&amp;_myy_x000b__x000b__x00"/>
      <sheetName val="fa-pl_&amp;_myy_x000b__x000b__x01"/>
      <sheetName val="fa-pl_&amp;_myy_x000b__x000b__x02"/>
      <sheetName val="_x0003_dpl_oth_Lia`33"/>
      <sheetName val="TBAL9697__x000d_grotp_wise_33"/>
      <sheetName val="CORPN_O_x0000_T33"/>
      <sheetName val="TBAL9697__x000d_grotp_wis31"/>
      <sheetName val="TBAL9697__x005f_x005f_x31"/>
      <sheetName val="fa-pl_&amp;_myy_x000b__x000b__x03"/>
      <sheetName val="TBAL9697__x25"/>
      <sheetName val="TBAL9697_ grotp_wi1"/>
      <sheetName val="fa-pl_&amp;_myy_x000b__"/>
      <sheetName val="_x0003_dpl_oth_Lia`38"/>
      <sheetName val="TBAL9697__x000d_grotp_wise_38"/>
      <sheetName val="CORPN_O_x0000_T38"/>
      <sheetName val="TBAL9697__x005f_x000d_grotp_w38"/>
      <sheetName val="TBAL9697__x000d_grotp_wis36"/>
      <sheetName val="_x0003_dpl_oth_Lia`34"/>
      <sheetName val="TBAL9697__x000d_grotp_wise_34"/>
      <sheetName val="CORPN_O_x0000_T34"/>
      <sheetName val="TBAL9697__x005f_x000d_grotp_w34"/>
      <sheetName val="TBAL9697__x000d_grotp_wis32"/>
      <sheetName val="_x0003_dpl_oth_Lia`35"/>
      <sheetName val="TBAL9697__x000d_grotp_wise_35"/>
      <sheetName val="CORPN_O_x0000_T35"/>
      <sheetName val="TBAL9697__x005f_x000d_grotp_w35"/>
      <sheetName val="TBAL9697__x000d_grotp_wis33"/>
      <sheetName val="_x0003_dpl_oth_Lia`36"/>
      <sheetName val="TBAL9697__x000d_grotp_wise_36"/>
      <sheetName val="CORPN_O_x0000_T36"/>
      <sheetName val="TBAL9697__x005f_x000d_grotp_w36"/>
      <sheetName val="TBAL9697__x000d_grotp_wis34"/>
      <sheetName val="_x0003_dpl_oth_Lia`37"/>
      <sheetName val="TBAL9697__x000d_grotp_wise_37"/>
      <sheetName val="CORPN_O_x0000_T37"/>
      <sheetName val="TBAL9697__x005f_x000d_grotp_w37"/>
      <sheetName val="TBAL9697__x000d_grotp_wis35"/>
      <sheetName val="_x0003_dpl_oth_Lia`44"/>
      <sheetName val="TBAL9697__x000d_grotp_wise_44"/>
      <sheetName val="CORPN_O_x0000_T44"/>
      <sheetName val="TBAL9697__x005f_x000d_grotp_w44"/>
      <sheetName val="TBAL9697__x000d_grotp_wis42"/>
      <sheetName val="_x0003_dpl_oth_Lia`39"/>
      <sheetName val="TBAL9697__x000d_grotp_wise_39"/>
      <sheetName val="CORPN_O_x0000_T39"/>
      <sheetName val="TBAL9697__x005f_x000d_grotp_w39"/>
      <sheetName val="TBAL9697__x000d_grotp_wis37"/>
      <sheetName val="_x0003_dpl_oth_Lia`40"/>
      <sheetName val="TBAL9697__x000d_grotp_wise_40"/>
      <sheetName val="CORPN_O_x0000_T40"/>
      <sheetName val="TBAL9697__x005f_x000d_grotp_w40"/>
      <sheetName val="TBAL9697__x000d_grotp_wis38"/>
      <sheetName val="_x0003_dpl_oth_Lia`42"/>
      <sheetName val="TBAL9697__x000d_grotp_wise_42"/>
      <sheetName val="CORPN_O_x0000_T42"/>
      <sheetName val="TBAL9697__x005f_x000d_grotp_w42"/>
      <sheetName val="TBAL9697__x000d_grotp_wis40"/>
      <sheetName val="_x0003_dpl_oth_Lia`41"/>
      <sheetName val="TBAL9697__x000d_grotp_wise_41"/>
      <sheetName val="CORPN_O_x0000_T41"/>
      <sheetName val="TBAL9697__x005f_x000d_grotp_w41"/>
      <sheetName val="TBAL9697__x000d_grotp_wis39"/>
      <sheetName val="_x0003_dpl_oth_Lia`43"/>
      <sheetName val="TBAL9697__x000d_grotp_wise_43"/>
      <sheetName val="CORPN_O_x0000_T43"/>
      <sheetName val="TBAL9697__x005f_x000d_grotp_w43"/>
      <sheetName val="TBAL9697__x000d_grotp_wis41"/>
      <sheetName val="_x0003_dpl_oth_Lia`45"/>
      <sheetName val="TBAL9697__x000d_grotp_wise_45"/>
      <sheetName val="CORPN_O_x0000_T45"/>
      <sheetName val="TBAL9697__x005f_x000d_grotp_w45"/>
      <sheetName val="TBAL9697__x000d_grotp_wis43"/>
      <sheetName val="_x0003_dpl_oth_Lia`58"/>
      <sheetName val="TBAL9697__x000d_grotp_wise_58"/>
      <sheetName val="CORPN_O_x0000_T58"/>
      <sheetName val="TBAL9697__x005f_x000d_grotp_w58"/>
      <sheetName val="TBAL9697__x000d_grotp_wis56"/>
      <sheetName val="_x0003_dpl_oth_Lia`46"/>
      <sheetName val="TBAL9697__x000d_grotp_wise_46"/>
      <sheetName val="CORPN_O_x0000_T46"/>
      <sheetName val="TBAL9697__x005f_x000d_grotp_w46"/>
      <sheetName val="TBAL9697__x000d_grotp_wis44"/>
      <sheetName val="_x0003_dpl_oth_Lia`47"/>
      <sheetName val="TBAL9697__x000d_grotp_wise_47"/>
      <sheetName val="CORPN_O_x0000_T47"/>
      <sheetName val="TBAL9697__x005f_x000d_grotp_w47"/>
      <sheetName val="TBAL9697__x000d_grotp_wis45"/>
      <sheetName val="_x0003_dpl_oth_Lia`50"/>
      <sheetName val="TBAL9697__x000d_grotp_wise_50"/>
      <sheetName val="CORPN_O_x0000_T50"/>
      <sheetName val="TBAL9697__x005f_x000d_grotp_w50"/>
      <sheetName val="TBAL9697__x000d_grotp_wis48"/>
      <sheetName val="_x0003_dpl_oth_Lia`48"/>
      <sheetName val="TBAL9697__x000d_grotp_wise_48"/>
      <sheetName val="CORPN_O_x0000_T48"/>
      <sheetName val="TBAL9697__x005f_x000d_grotp_w48"/>
      <sheetName val="TBAL9697__x000d_grotp_wis46"/>
      <sheetName val="_x0003_dpl_oth_Lia`49"/>
      <sheetName val="TBAL9697__x000d_grotp_wise_49"/>
      <sheetName val="CORPN_O_x0000_T49"/>
      <sheetName val="TBAL9697__x005f_x000d_grotp_w49"/>
      <sheetName val="TBAL9697__x000d_grotp_wis47"/>
      <sheetName val="_x0003_dpl_oth_Lia`51"/>
      <sheetName val="TBAL9697__x000d_grotp_wise_51"/>
      <sheetName val="CORPN_O_x0000_T51"/>
      <sheetName val="TBAL9697__x005f_x000d_grotp_w51"/>
      <sheetName val="TBAL9697__x000d_grotp_wis49"/>
      <sheetName val="_x0003_dpl_oth_Lia`52"/>
      <sheetName val="TBAL9697__x000d_grotp_wise_52"/>
      <sheetName val="CORPN_O_x0000_T52"/>
      <sheetName val="TBAL9697__x005f_x000d_grotp_w52"/>
      <sheetName val="TBAL9697__x000d_grotp_wis50"/>
      <sheetName val="_x0003_dpl_oth_Lia`53"/>
      <sheetName val="TBAL9697__x000d_grotp_wise_53"/>
      <sheetName val="CORPN_O_x0000_T53"/>
      <sheetName val="TBAL9697__x005f_x000d_grotp_w53"/>
      <sheetName val="TBAL9697__x000d_grotp_wis51"/>
      <sheetName val="_x0003_dpl_oth_Lia`54"/>
      <sheetName val="TBAL9697__x000d_grotp_wise_54"/>
      <sheetName val="CORPN_O_x0000_T54"/>
      <sheetName val="TBAL9697__x005f_x000d_grotp_w54"/>
      <sheetName val="TBAL9697__x000d_grotp_wis52"/>
      <sheetName val="_x0003_dpl_oth_Lia`55"/>
      <sheetName val="TBAL9697__x000d_grotp_wise_55"/>
      <sheetName val="CORPN_O_x0000_T55"/>
      <sheetName val="TBAL9697__x005f_x000d_grotp_w55"/>
      <sheetName val="TBAL9697__x000d_grotp_wis53"/>
      <sheetName val="_x0003_dpl_oth_Lia`57"/>
      <sheetName val="TBAL9697__x000d_grotp_wise_57"/>
      <sheetName val="CORPN_O_x0000_T57"/>
      <sheetName val="TBAL9697__x005f_x000d_grotp_w57"/>
      <sheetName val="TBAL9697__x000d_grotp_wis55"/>
      <sheetName val="_x0003_dpl_oth_Lia`56"/>
      <sheetName val="TBAL9697__x000d_grotp_wise_56"/>
      <sheetName val="CORPN_O_x0000_T56"/>
      <sheetName val="TBAL9697__x005f_x000d_grotp_w56"/>
      <sheetName val="TBAL9697__x000d_grotp_wis54"/>
      <sheetName val="_x0003_dpl_oth_Lia`59"/>
      <sheetName val="TBAL9697__x000d_grotp_wise_59"/>
      <sheetName val="CORPN_O_x0000_T59"/>
      <sheetName val="TBAL9697__x005f_x000d_grotp_w59"/>
      <sheetName val="TBAL9697__x000d_grotp_wis57"/>
      <sheetName val="_x0003_dpl_oth_Lia`60"/>
      <sheetName val="TBAL9697__x000d_grotp_wise_60"/>
      <sheetName val="CORPN_O_x0000_T60"/>
      <sheetName val="TBAL9697__x005f_x000d_grotp_w60"/>
      <sheetName val="TBAL9697__x000d_grotp_wis58"/>
      <sheetName val="_x0003_dpl_oth_Lia`61"/>
      <sheetName val="TBAL9697__x000d_grotp_wise_61"/>
      <sheetName val="CORPN_O_x0000_T61"/>
      <sheetName val="TBAL9697__x005f_x000d_grotp_w61"/>
      <sheetName val="TBAL9697__x000d_grotp_wis59"/>
      <sheetName val="_x0003_dpl_oth_Lia`62"/>
      <sheetName val="TBAL9697__x000d_grotp_wise_62"/>
      <sheetName val="CORPN_O_x0000_T62"/>
      <sheetName val="TBAL9697__x005f_x000d_grotp_w62"/>
      <sheetName val="TBAL9697__x000d_grotp_wis60"/>
      <sheetName val="TBAL9697_ grotp_wi2"/>
      <sheetName val="TBAL9697_ grotp_wi4"/>
      <sheetName val="TBAL9697_ grotp_wi3"/>
      <sheetName val="TBAL9697_ grotp_wi5"/>
      <sheetName val="TBAL9697_ grotp_wi6"/>
      <sheetName val="TBAL9697_ grotp_wi7"/>
      <sheetName val="TBAL9697_ grotp_wi8"/>
      <sheetName val="TBAL9697_ grotp_wi9"/>
      <sheetName val="TBAL9697_ grotp_w10"/>
      <sheetName val="TBAL9697_ grotp_w16"/>
      <sheetName val="TBAL9697_ grotp_w12"/>
      <sheetName val="TBAL9697_ grotp_w11"/>
      <sheetName val="TBAL9697_ grotp_w13"/>
      <sheetName val="TBAL9697_ grotp_w14"/>
      <sheetName val="TBAL9697_ grotp_w15"/>
      <sheetName val="TBAL9697_ grotp_w22"/>
      <sheetName val="TBAL9697_ grotp_w17"/>
      <sheetName val="TBAL9697_ grotp_w18"/>
      <sheetName val="TBAL9697_ grotp_w19"/>
      <sheetName val="TBAL9697_ grotp_w20"/>
      <sheetName val="TBAL9697_ grotp_w21"/>
      <sheetName val="TBAL9697_ grotp_w23"/>
      <sheetName val="TBAL9697_ grotp_w24"/>
      <sheetName val="TBAL9697_ grotp_w25"/>
      <sheetName val="TBAL9697_ grotp_w26"/>
      <sheetName val="CORPN_O_x0001"/>
      <sheetName val="_x0003_dpl_oth_Lia`63"/>
      <sheetName val="TBAL9697__x000d_grotp_wise_63"/>
      <sheetName val="CORPN_O_x0000_T63"/>
      <sheetName val="TBAL9697__x005f_x000d_grotp_w63"/>
      <sheetName val="TBAL9697__x000d_grotp_wis61"/>
      <sheetName val="TBAL9697__x005f_x005f_x33"/>
      <sheetName val="TBAL9697__x005f_x000a_grotp_wi6"/>
      <sheetName val="CORPN_O_x005f_x005f_x0006"/>
      <sheetName val="fa-pl_&amp;_myy_x000b__x000b__x05"/>
      <sheetName val="fa-pl_&amp;_myy_x000b__2"/>
      <sheetName val="CORPN_O_x005f_x005f_x0051"/>
      <sheetName val="TBAL9697__x005f_x005f_x32"/>
      <sheetName val="TBAL9697__x005f_x000a_grotp_wi5"/>
      <sheetName val="CORPN_O_x005f_x005f_x0005"/>
      <sheetName val="fa-pl_&amp;_myy_x000b__x000b__x04"/>
      <sheetName val="fa-pl_&amp;_myy_x000b__1"/>
      <sheetName val="_x0003_dpl_oth_Lia`64"/>
      <sheetName val="TBAL9697__x000d_grotp_wise_64"/>
      <sheetName val="CORPN_O_x0000_T64"/>
      <sheetName val="TBAL9697__x005f_x000d_grotp_w64"/>
      <sheetName val="TBAL9697__x000d_grotp_wis62"/>
      <sheetName val="TBAL9697__x005f_x005f_x34"/>
      <sheetName val="TBAL9697__x005f_x000a_grotp_wi7"/>
      <sheetName val="CORPN_O_x005f_x005f_x0007"/>
      <sheetName val="fa-pl_&amp;_myy_x000b__x000b__x06"/>
      <sheetName val="fa-pl_&amp;_myy_x000b__3"/>
      <sheetName val="CORPN_O_x005f_x005f_x0052"/>
      <sheetName val="_x0003_dpl_oth_Lia`65"/>
      <sheetName val="TBAL9697__x000d_grotp_wise_65"/>
      <sheetName val="CORPN_O_x0000_T65"/>
      <sheetName val="TBAL9697__x005f_x000d_grotp_w65"/>
      <sheetName val="TBAL9697__x000d_grotp_wis63"/>
      <sheetName val="TBAL9697__x005f_x005f_x35"/>
      <sheetName val="CORPN_O_x005f_x005f_x0008"/>
      <sheetName val="TBAL9697__x005f_x000a_grotp_wi8"/>
      <sheetName val="fa-pl_&amp;_myy_x000b__x000b__x07"/>
      <sheetName val="fa-pl_&amp;_myy_x000b__4"/>
      <sheetName val="CORPN_O_x005f_x005f_x0053"/>
      <sheetName val="TBAL9697__x26"/>
      <sheetName val="TBAL9697__x27"/>
      <sheetName val="CORPN_O_x0002"/>
      <sheetName val="TBAL9697_ grotp_w29"/>
      <sheetName val="TBAL9697_ grotp_w28"/>
      <sheetName val="TBAL9697_ grotp_w27"/>
      <sheetName val="TBAL9697_ grotp_w30"/>
      <sheetName val="compare"/>
      <sheetName val="CORPN OT"/>
      <sheetName val="CORPN_OT32"/>
      <sheetName val="CORPN_OT33"/>
      <sheetName val="CORPN_OT38"/>
      <sheetName val="CORPN_OT34"/>
      <sheetName val="CORPN_OT35"/>
      <sheetName val="CORPN_OT36"/>
      <sheetName val="CORPN_OT37"/>
      <sheetName val="CORPN_OT44"/>
      <sheetName val="CORPN_OT39"/>
      <sheetName val="CORPN_OT40"/>
      <sheetName val="CORPN_OT42"/>
      <sheetName val="CORPN_OT41"/>
      <sheetName val="CORPN_OT43"/>
      <sheetName val="CORPN_OT45"/>
      <sheetName val="CORPN_OT58"/>
      <sheetName val="CORPN_OT46"/>
      <sheetName val="CORPN_OT47"/>
      <sheetName val="CORPN_OT50"/>
      <sheetName val="CORPN_OT48"/>
      <sheetName val="CORPN_OT49"/>
      <sheetName val="CORPN_OT51"/>
      <sheetName val="CORPN_OT52"/>
      <sheetName val="CORPN_OT53"/>
      <sheetName val="CORPN_OT54"/>
      <sheetName val="CORPN_OT55"/>
      <sheetName val="CORPN_OT57"/>
      <sheetName val="CORPN_OT56"/>
      <sheetName val="CORPN_OT59"/>
      <sheetName val="CORPN_OT60"/>
      <sheetName val="CORPN_OT61"/>
      <sheetName val="CORPN_OT62"/>
      <sheetName val="CORPN_OT63"/>
      <sheetName val="CORPN_OT64"/>
      <sheetName val="CORPN_OT65"/>
      <sheetName val="Calculation Sheet"/>
      <sheetName val="Budget-Breakup"/>
      <sheetName val="CIP Summary 0012"/>
      <sheetName val="CIP Detail 0011"/>
      <sheetName val="VLOOK"/>
      <sheetName val="99 to 00 blns"/>
      <sheetName val="MOP"/>
      <sheetName val="MN T.B."/>
      <sheetName val="BOQ LT"/>
      <sheetName val="Abt Foundation "/>
      <sheetName val="pier Foundation"/>
      <sheetName val="Master Rates"/>
      <sheetName val="RATES (2)"/>
      <sheetName val="Cencrete"/>
      <sheetName val="New_C_PM"/>
      <sheetName val="Client_Addresses"/>
      <sheetName val="New_May"/>
      <sheetName val="TB_MAR2004"/>
      <sheetName val="Staffing_Sheet"/>
      <sheetName val="Data_Elements-Staffing"/>
      <sheetName val="rcc(_sub)"/>
      <sheetName val="M_R_List_(2)"/>
      <sheetName val="N-Amritsar_135"/>
      <sheetName val="PANEL_ANNEXURE"/>
      <sheetName val="Annexue_B"/>
      <sheetName val="TBAL9697__x000a_grotp_w27"/>
      <sheetName val="fa-pl_&amp;_myy_"/>
      <sheetName val="TBAL9697__x000a_grotp_w29"/>
      <sheetName val="TBAL9697__x000a_grotp_w28"/>
      <sheetName val="TBAL9697__x000a_grotp_w30"/>
      <sheetName val="Site_Infrastructure"/>
      <sheetName val="Balance_Sheet_"/>
      <sheetName val="cost_centre"/>
      <sheetName val="INPUT_SHEET_-_A"/>
      <sheetName val="Default_Values"/>
      <sheetName val="Story_Drift-Part_2"/>
      <sheetName val="TBAL9697__x005f_x005f_x005f_x005f_x002"/>
      <sheetName val="CORPN_O_x005f_x005f_x005f_x005f_x005f"/>
      <sheetName val="fa-pl_&amp;_myy_x005f_x005f_x005f_x000b__x005f_x005f_"/>
      <sheetName val="Process"/>
      <sheetName val="ABB"/>
      <sheetName val="old boq"/>
      <sheetName val="Background"/>
      <sheetName val="MAR.02"/>
      <sheetName val="Calendar"/>
      <sheetName val="HYDRAULICS"/>
      <sheetName val="Z1_DATA"/>
      <sheetName val="D2_CO"/>
      <sheetName val="det_est"/>
      <sheetName val="Steel-Circular"/>
      <sheetName val="CPA_EQP"/>
      <sheetName val="Ave.wtd.rates"/>
      <sheetName val="Column BBS-Block9"/>
      <sheetName val="july (2)"/>
      <sheetName val="OLD IC"/>
      <sheetName val="M-BOQ"/>
      <sheetName val="TENDER STUDY"/>
      <sheetName val="DRG.STUDY"/>
      <sheetName val="BOM"/>
      <sheetName val="INQUIRY"/>
      <sheetName val="BOUGHT OUT"/>
      <sheetName val="RA "/>
      <sheetName val="STAFFSCHED "/>
      <sheetName val="M_R_List_(2)1"/>
      <sheetName val="Column Detail"/>
      <sheetName val="CivilOld"/>
      <sheetName val="______________________________2"/>
      <sheetName val="Codes"/>
      <sheetName val="Input Rates"/>
      <sheetName val="BOQ-Civil"/>
      <sheetName val="갑지1"/>
      <sheetName val="TBAL9697__grotp_wi1"/>
      <sheetName val="TBAL9697__grotp_wi2"/>
      <sheetName val="TBAL9697__grotp_wi4"/>
      <sheetName val="TBAL9697__grotp_wi3"/>
      <sheetName val="TBAL9697__grotp_wi5"/>
      <sheetName val="TBAL9697__grotp_wi6"/>
      <sheetName val="TBAL9697__grotp_wi7"/>
      <sheetName val="TBAL9697__grotp_wi8"/>
      <sheetName val="TBAL9697__grotp_wi9"/>
      <sheetName val="TBAL9697__grotp_w10"/>
      <sheetName val="TBAL9697__grotp_w16"/>
      <sheetName val="TBAL9697__grotp_w12"/>
      <sheetName val="TBAL9697__grotp_w11"/>
      <sheetName val="TBAL9697__grotp_w13"/>
      <sheetName val="TBAL9697__grotp_w14"/>
      <sheetName val="TBAL9697__grotp_w15"/>
      <sheetName val="TBAL9697__grotp_w22"/>
      <sheetName val="TBAL9697__grotp_w17"/>
      <sheetName val="TBAL9697__grotp_w18"/>
      <sheetName val="TBAL9697__grotp_w19"/>
      <sheetName val="TBAL9697__grotp_w20"/>
      <sheetName val="TBAL9697__grotp_w21"/>
      <sheetName val="TBAL9697__grotp_w23"/>
      <sheetName val="TBAL9697__grotp_w24"/>
      <sheetName val="TBAL9697__grotp_w25"/>
      <sheetName val="TBAL9697__grotp_w26"/>
      <sheetName val="fa-pl &amp; myy_x005f_x000b__x005f_x005f_"/>
      <sheetName val="3�AL9697_-group_wise__︀㧕ԯ_x0000_缀"/>
      <sheetName val="3�AL9697_-group_wise__ԯ_x0000_缀_x0000__x0000_"/>
      <sheetName val="3�AL9697_-group_wise__︀㧕ԯ"/>
      <sheetName val="3�AL9697_-group_wise__ԯ"/>
      <sheetName val="3�AL9697_-group_wise__ԉ쩭〯B_x0000_"/>
      <sheetName val="3�AL9697_-group_wise__ԉ쩭䠯C_x0000_"/>
      <sheetName val="ELE "/>
      <sheetName val="CC Road"/>
      <sheetName val="Measurements"/>
      <sheetName val="ACAD Finishes"/>
      <sheetName val="Tables"/>
      <sheetName val="Rate analysis civil"/>
      <sheetName val="column details"/>
      <sheetName val="17"/>
      <sheetName val="Machinery"/>
      <sheetName val="strain"/>
      <sheetName val="Commercial"/>
      <sheetName val="Wordsdata"/>
      <sheetName val="2000"/>
      <sheetName val="3�AL9697_-group_wise__ԉ쩭〯B"/>
      <sheetName val="3�AL9697_-group_wise__ԉ쩭䠯C"/>
      <sheetName val="TBAL9697_ grotp_wis31"/>
      <sheetName val="TBAL9697_ grotp_wis30"/>
      <sheetName val="TBAL9697_ grotp_wis32"/>
      <sheetName val="TBAL9697_ grotp_wise_65"/>
      <sheetName val="TBAL9697_ grotp_wis33"/>
      <sheetName val="TBAL9697_ grotp_wise_66"/>
      <sheetName val="TBAL9697_ grotp_wis34"/>
      <sheetName val="TBAL9697_ grotp_wise_67"/>
      <sheetName val="TBAL9697_ grotp_wis35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T_5"/>
      <sheetName val="Mechanical"/>
      <sheetName val="Indirects "/>
      <sheetName val="I&amp;C"/>
      <sheetName val="LSS"/>
      <sheetName val="LABOUR RATE"/>
      <sheetName val=" AnalysisPCC"/>
      <sheetName val="Analysis-NH-Culverts"/>
      <sheetName val="Lintel"/>
      <sheetName val="EAW Final Accounts - 99"/>
      <sheetName val="Jan04-Mar04"/>
      <sheetName val="Apr04-Jun04"/>
      <sheetName val="Jul04-Sep04"/>
      <sheetName val="Oct04-Dec04"/>
      <sheetName val="Jan05-Mar05"/>
      <sheetName val="Beams-Basement Roof T-22"/>
      <sheetName val="Phase-1stirrups"/>
      <sheetName val="PMS"/>
      <sheetName val="DISTRIBUTION"/>
      <sheetName val="Risk Lookup"/>
      <sheetName val="Lists"/>
      <sheetName val="MASTER_RATE ANALYSIS"/>
      <sheetName val="SP Break Up"/>
      <sheetName val="Co1Input"/>
      <sheetName val="Macro1"/>
      <sheetName val="General Shedule of rates"/>
      <sheetName val="TB9798OBPL06_(2)74"/>
      <sheetName val="CORPN_OCT74"/>
      <sheetName val="inout_consol-nov74"/>
      <sheetName val="inout_consol_(2)74"/>
      <sheetName val="AS_ON_DT_EXPS_Mar74"/>
      <sheetName val="fa-pl_&amp;_mach-site74"/>
      <sheetName val="fa_off_eqp74"/>
      <sheetName val="fa_fur&amp;_fix74"/>
      <sheetName val="fa-pl_&amp;_mach-Off74"/>
      <sheetName val="B_Equity-sdpl_INC74"/>
      <sheetName val="inout_consol_wkg74"/>
      <sheetName val="inout_consol_WKNG74"/>
      <sheetName val="B_Sheet_9774"/>
      <sheetName val="P&amp;L_97_74"/>
      <sheetName val="B_Sheet_97-BEXP74"/>
      <sheetName val="P&amp;L_97_-BEXP74"/>
      <sheetName val="consol_flows74"/>
      <sheetName val="sdpl_oth_Liab74"/>
      <sheetName val="obpl-oth_liab74"/>
      <sheetName val="G_land_advance74"/>
      <sheetName val="I-Wip-ot_(2)74"/>
      <sheetName val="detail_WIP_(2)74"/>
      <sheetName val="detail_G-174"/>
      <sheetName val="sobha_menon_ac74"/>
      <sheetName val="pnc_ac74"/>
      <sheetName val="fix_-p_&amp;_M_-SCC74"/>
      <sheetName val="C_fix_asst74"/>
      <sheetName val="D_fix_asst_scdl_74"/>
      <sheetName val="creditors_tb_obpl74"/>
      <sheetName val="TBAL9697_-group_wise__sdpl84"/>
      <sheetName val="TBAL9697_-group_wise_74"/>
      <sheetName val="crs_-G-174"/>
      <sheetName val="TBAL9697_-group_wise__onpl74"/>
      <sheetName val="B_Sheet_97-OBPL74"/>
      <sheetName val="B_Sheet_97_sdpl74"/>
      <sheetName val="TBAL9697_-group_wise__sdpl274"/>
      <sheetName val="inout_consol_jan74"/>
      <sheetName val="consol_flow74"/>
      <sheetName val="D_Loan__Prom74"/>
      <sheetName val="E_Bank_Loan74"/>
      <sheetName val="G_work_Cap74"/>
      <sheetName val="H_land_adv-dec74"/>
      <sheetName val="J_Con_WIP74"/>
      <sheetName val="detail_J74"/>
      <sheetName val="L_Oth_Co74"/>
      <sheetName val="K_fix_asst__74"/>
      <sheetName val="C_fix_asst-SDPL_74"/>
      <sheetName val="TBAL9697__group_wise__sdpl74"/>
      <sheetName val="inout_consol_okg74"/>
      <sheetName val="detail_OIP_(2)74"/>
      <sheetName val="D_fix_ysst_scdl_74"/>
      <sheetName val="cre`itors_tb_obpl74"/>
      <sheetName val="3AL9697_-group_wise__onpl74"/>
      <sheetName val="L_Oth_Bo73"/>
      <sheetName val="3‰AL9697_-group_wise__onpl73"/>
      <sheetName val="Civil_Boq73"/>
      <sheetName val="Staff_Acco_75"/>
      <sheetName val="SITE_OVERHEADS73"/>
      <sheetName val="Project-Material_73"/>
      <sheetName val="Boq_Block_A73"/>
      <sheetName val="PRECAST_lightconc-II71"/>
      <sheetName val="1__PayRec70"/>
      <sheetName val="Cashflow_projection70"/>
      <sheetName val="SPT_vs_PHI70"/>
      <sheetName val="key_dates70"/>
      <sheetName val="Blr_hire70"/>
      <sheetName val="Labor_abs-NMR70"/>
      <sheetName val="3�AL9697_-group_wise__onpl73"/>
      <sheetName val="INPUT_SHEET70"/>
      <sheetName val="CORPN_OT66"/>
      <sheetName val="ino4t_conso,-nov70"/>
      <sheetName val="(nout_co,sol_(2)70"/>
      <sheetName val="dpl_oth_Lia`66"/>
      <sheetName val="_bpl,oth_lia_70"/>
      <sheetName val="G_,and_adv_nce70"/>
      <sheetName val="I,Wip-ot__2)70"/>
      <sheetName val="det!il_WIP_(2)70"/>
      <sheetName val="de4ail_G-170"/>
      <sheetName val="sobha_mennn_ac70"/>
      <sheetName val="C_&amp;ix_asst70"/>
      <sheetName val="_x005f_x0003_dpl_oth_Lia`70"/>
      <sheetName val="TBAL9697__x005f_x000d_grotp_wise_70"/>
      <sheetName val="St_co_91_5lvl70"/>
      <sheetName val="Sun_E_Type70"/>
      <sheetName val="Fin_Sum70"/>
      <sheetName val="CORPN_O?T70"/>
      <sheetName val="TBAL9697__x000a_grotp_wise_70"/>
      <sheetName val="Stress_Calculation70"/>
      <sheetName val="labour_coeff68"/>
      <sheetName val="Shuttering_Analysis68"/>
      <sheetName val="General_P+M68"/>
      <sheetName val="Curing_Analysis_68"/>
      <sheetName val="Concrete_P+M_(_RMC_)68"/>
      <sheetName val="P+M_(_SMC_)68"/>
      <sheetName val="P+M_-EW68"/>
      <sheetName val="P&amp;L_-_AD68"/>
      <sheetName val="CORPN_O_x005f_x0000_T70"/>
      <sheetName val="SUPPLY_-Sanitary_Fixtures70"/>
      <sheetName val="ITEMS_FOR_CIVIL_TENDER70"/>
      <sheetName val="_x005f_x005f_x005f_x0003_dpl_oth_Lia`70"/>
      <sheetName val="TBAL9697__x005f_x005f_x005f_x000d_grotp_w70"/>
      <sheetName val="CORPN_O70"/>
      <sheetName val="Fin__Assumpt__-_Sensitivities68"/>
      <sheetName val="LOAD_SHEET_68"/>
      <sheetName val="Fill_this_out_first___68"/>
      <sheetName val="Labour_productivity68"/>
      <sheetName val="RCC,Ret__Wall68"/>
      <sheetName val="CORPN_O_T68"/>
      <sheetName val="Area_&amp;_Cate__Master68"/>
      <sheetName val="DLC_lookups68"/>
      <sheetName val="DG_70"/>
      <sheetName val="TBAL9697__grotp_wise_309"/>
      <sheetName val="Bill_No_568"/>
      <sheetName val="11B_68"/>
      <sheetName val="BOQ_(2)68"/>
      <sheetName val="Driveway_Beams68"/>
      <sheetName val="Fee_Rate_Summary68"/>
      <sheetName val="Name_List68"/>
      <sheetName val="Detail_1A68"/>
      <sheetName val="Structure_Bills_Qty68"/>
      <sheetName val="Break_Dw68"/>
      <sheetName val="TBAL9697__x005f_x000a_grotp_wise_68"/>
      <sheetName val="Quote_Sheet68"/>
      <sheetName val="d-safe_DELUXE68"/>
      <sheetName val="Works_-_Quote_Sheet68"/>
      <sheetName val="IO_LIST68"/>
      <sheetName val="TBAL9697__x005f_x000d_grotp_wis68"/>
      <sheetName val="TBAL9697__grotp_wise_325"/>
      <sheetName val="CORPN_O_x005f_x005f_x005f_x0000_T68"/>
      <sheetName val="220_11__BS_68"/>
      <sheetName val="Cat_A_Change_Control68"/>
      <sheetName val="Break_up_Sheet68"/>
      <sheetName val="Summary_of_P_&amp;_M68"/>
      <sheetName val="FITZ_MORT_9468"/>
      <sheetName val="ISO_Reconcilation_Statment68"/>
      <sheetName val="AVG_pur_rate68"/>
      <sheetName val="BLOCK-A_(MEA_SHEET)68"/>
      <sheetName val="Sheet_168"/>
      <sheetName val="3BPA00132-5-3_W_plan_HVPNL68"/>
      <sheetName val="Mix_Design68"/>
      <sheetName val="NLD_-_Assum68"/>
      <sheetName val="LIST_OF_MAKES68"/>
      <sheetName val="Civil_Works68"/>
      <sheetName val="Form_668"/>
      <sheetName val="acevsSp_(ABC)68"/>
      <sheetName val="A_O_R_68"/>
      <sheetName val="Intro_68"/>
      <sheetName val="INDIGINEOUS_ITEMS_21"/>
      <sheetName val="Cash_Flow_Input_Data_ISC40"/>
      <sheetName val="TBAL9697__x005f_x005f_x005f_x005f_x005f_x005f_x40"/>
      <sheetName val="Assumption_Inputs68"/>
      <sheetName val="DETAILED__BOQ38"/>
      <sheetName val="CABLE_DATA38"/>
      <sheetName val="Mat_-Rates38"/>
      <sheetName val="Tender_Summary21"/>
      <sheetName val="Legal_Risk_Analysis38"/>
      <sheetName val="tie_beam21"/>
      <sheetName val="Section_Catalogue68"/>
      <sheetName val="BOQ_13"/>
      <sheetName val="Site_Dev_BOQ14"/>
      <sheetName val="Elect_14"/>
      <sheetName val="TBAL9697__x005f_x005f_x005f_x000a_grotp_w13"/>
      <sheetName val="Deduction_of_assets17"/>
      <sheetName val="Excess_Calc13"/>
      <sheetName val="PO_Payroll13"/>
      <sheetName val="COP_Final13"/>
      <sheetName val="SPILL_OVER13"/>
      <sheetName val="Pacakges_split13"/>
      <sheetName val="TBAL9697__grotp_wise_326"/>
      <sheetName val="TBAL9697__grotp_wise_1104"/>
      <sheetName val="Detail_In_Door_Stad13"/>
      <sheetName val="TBAL9697__x000a_grotp_wis64"/>
      <sheetName val="Debits_as_on_12_04_0813"/>
      <sheetName val="CORPN_O_x005f_x005f_x005f_x005f_x005f_x005f_x0013"/>
      <sheetName val="Data_sheet13"/>
      <sheetName val="Per_Unit13"/>
      <sheetName val="Labor_abs-PW13"/>
      <sheetName val="AutoOpen_Stub_Data13"/>
      <sheetName val="Material_13"/>
      <sheetName val="Extra_Item13"/>
      <sheetName val="Labour_&amp;_Plant13"/>
      <sheetName val="Gen_Info13"/>
      <sheetName val="final_abstract13"/>
      <sheetName val="Meas_-Hotel_Part13"/>
      <sheetName val="Cost_summary13"/>
      <sheetName val="TBAL9697__grotp_wise_2101"/>
      <sheetName val="TBAL9697__grotp_wise_425"/>
      <sheetName val="TBAL9697__grotp_wise_327"/>
      <sheetName val="TBAL9697__grotp_wise_523"/>
      <sheetName val="TBAL9697__grotp_wise_620"/>
      <sheetName val="TBAL9697__grotp_wise_718"/>
      <sheetName val="TBAL9697__grotp_wise_818"/>
      <sheetName val="TBAL9697__grotp_wise_918"/>
      <sheetName val="TBAL9697__grotp_wise_1018"/>
      <sheetName val="TBAL9697__grotp_wise_1615"/>
      <sheetName val="TBAL9697__grotp_wise_1217"/>
      <sheetName val="TBAL9697__grotp_wise_1118"/>
      <sheetName val="TBAL9697__grotp_wise_1317"/>
      <sheetName val="TBAL9697__grotp_wise_1416"/>
      <sheetName val="TBAL9697__grotp_wise_1515"/>
      <sheetName val="TBAL9697__grotp_wise_2216"/>
      <sheetName val="TBAL9697__grotp_wise_1714"/>
      <sheetName val="TBAL9697__grotp_wise_1814"/>
      <sheetName val="TBAL9697__grotp_wise_1914"/>
      <sheetName val="TBAL9697__grotp_wise_2014"/>
      <sheetName val="TBAL9697__grotp_wise_2118"/>
      <sheetName val="TBAL9697__grotp_wise_2314"/>
      <sheetName val="TBAL9697__grotp_wise_2414"/>
      <sheetName val="General_input13"/>
      <sheetName val="6_0513"/>
      <sheetName val="Abstract_Sheet13"/>
      <sheetName val="Boq-_Civil13"/>
      <sheetName val="BASIC_RATES13"/>
      <sheetName val="Contract_Night_Staff13"/>
      <sheetName val="Contract_Day_Staff13"/>
      <sheetName val="Day_Shift13"/>
      <sheetName val="Night_Shift13"/>
      <sheetName val="Main_Gate_House13"/>
      <sheetName val="lineby_line_consolidation13"/>
      <sheetName val="Base_Assumptions13"/>
      <sheetName val="_COP_100%13"/>
      <sheetName val="Lintel_Beam_104_70_(GF)__13"/>
      <sheetName val="TBAL9697__x005f_x005f_x0014"/>
      <sheetName val="CORPN_O_x005f_x005f_x000013"/>
      <sheetName val="TBAL9697__x005f_x000a_grotp_wis13"/>
      <sheetName val="fa-pl_&amp;_myy_x001"/>
      <sheetName val="TBAL9697_-group_wise_sdpl13"/>
      <sheetName val="_13"/>
      <sheetName val="TBAL9697__grotp_wise_2514"/>
      <sheetName val="TBAL9697__grotp_wise_2614"/>
      <sheetName val="Area_Statement13"/>
      <sheetName val="Risk_Analysis13"/>
      <sheetName val="BOQ_Distribution12"/>
      <sheetName val="CFForecast_detail12"/>
      <sheetName val="beam-reinft-IIInd_floor12"/>
      <sheetName val="BS_-_L+OE12"/>
      <sheetName val="Approved_MTD_Proj_#'s12"/>
      <sheetName val="9__Package_split_-_Cost_12"/>
      <sheetName val="Project_Budget_Worksheet12"/>
      <sheetName val="CORPN_O_x005f_x005f_x005f12"/>
      <sheetName val="indices_9"/>
      <sheetName val="Material_List_12"/>
      <sheetName val="SITE_DEVELOPMENT12"/>
      <sheetName val="Building_112"/>
      <sheetName val="Lead_(Final)12"/>
      <sheetName val="Pile_cap9"/>
      <sheetName val="M_S_9"/>
      <sheetName val="schedule_nos12"/>
      <sheetName val="Material_Rate12"/>
      <sheetName val="Customize_Your_Purchase_Order12"/>
      <sheetName val="fa-pl_&amp;_myy_x005f_x000b__x005f_x000b__x12"/>
      <sheetName val="TBAL9697__x000a_grotp_wis66"/>
      <sheetName val="TBAL9697__x0013"/>
      <sheetName val="CORPN_O_x000012"/>
      <sheetName val="Rate_Analysis_12"/>
      <sheetName val="Service_Function12"/>
      <sheetName val="appendix_2_5_final_accounts12"/>
      <sheetName val="Risk_Assmnt12"/>
      <sheetName val="CORPN_O_x005f13"/>
      <sheetName val="Bill_3_-_Site_Works12"/>
      <sheetName val="Basic_Rate12"/>
      <sheetName val="INFLUENCES_ON_GM12"/>
      <sheetName val="Mat_Cost9"/>
      <sheetName val="Invested_capital_VDF8"/>
      <sheetName val="PV_of_Op_Leases_VDF8"/>
      <sheetName val="Load_Details(B2)12"/>
      <sheetName val="TBAL9697__grotp_wise_2713"/>
      <sheetName val="TBAL9697__grotp_wis78"/>
      <sheetName val="Cost_Index9"/>
      <sheetName val="Labor_Rates8"/>
      <sheetName val="Capex_Estimates8"/>
      <sheetName val="General_Assumptions8"/>
      <sheetName val="GR_slab-reinft12"/>
      <sheetName val="Indirect_expenses12"/>
      <sheetName val="Sheet_212"/>
      <sheetName val="AoR_Finishing12"/>
      <sheetName val="Input_&amp;_Calculations8"/>
      <sheetName val="Cost_Basis9"/>
      <sheetName val="소상_&quot;1&quot;9"/>
      <sheetName val="CPT_POST_UPLOAD9"/>
      <sheetName val="KQ_Cost_Controlling9"/>
      <sheetName val="KQ_Appropriation9"/>
      <sheetName val="class_&amp;_category9"/>
      <sheetName val="code_Control_Sheet9"/>
      <sheetName val="P_&amp;_M12"/>
      <sheetName val="MS_Items12"/>
      <sheetName val="PA-_Consutant_8"/>
      <sheetName val="DDETABLE_12"/>
      <sheetName val="2_civil-RA9"/>
      <sheetName val="TBAL9697__grotp_wis79"/>
      <sheetName val="Sheet3_(2)9"/>
      <sheetName val="Bill_19"/>
      <sheetName val="Bill_29"/>
      <sheetName val="Bill_39"/>
      <sheetName val="Bill_49"/>
      <sheetName val="Bill_59"/>
      <sheetName val="Bill_69"/>
      <sheetName val="Bill_79"/>
      <sheetName val="fa-pl_&amp;_myy_x005f_x000b__9"/>
      <sheetName val="Detail_P&amp;L9"/>
      <sheetName val="Assumption_Sheet8"/>
      <sheetName val="Overall_Summary8"/>
      <sheetName val="Summary_CFA_total_-_CP1_&amp;_CP28"/>
      <sheetName val="TBAL9697__grotp_wis80"/>
      <sheetName val="SCHEDULE_OF_RATES8"/>
      <sheetName val="Layer_Table8"/>
      <sheetName val="Annexue_B3"/>
      <sheetName val="Basic_rate_summary8"/>
      <sheetName val="Basic_rate_calculations8"/>
      <sheetName val="rcc(_sub)3"/>
      <sheetName val="New_Construction8"/>
      <sheetName val="Beam_at_Ground_flr_lvl(Steel)8"/>
      <sheetName val="Main_Assump_8"/>
      <sheetName val="BEAM_SCH8"/>
      <sheetName val="SLAB__SCH_8"/>
      <sheetName val="R_MTL8"/>
      <sheetName val="GUT_(2)8"/>
      <sheetName val="MB_Prod8"/>
      <sheetName val="TAX_INCOME9"/>
      <sheetName val="Depart_Budget9"/>
      <sheetName val="Bill_1-BOQ-Civil_Works8"/>
      <sheetName val="Bill-5_28"/>
      <sheetName val="Bill-9_18"/>
      <sheetName val="Bill-6_1_1-6_1_38"/>
      <sheetName val="RA_Bill_summary_til_Apr198"/>
      <sheetName val="APTIDCO_CV_A_SCOPE8"/>
      <sheetName val="Rates_7-208"/>
      <sheetName val="organi_synthesis_lab8"/>
      <sheetName val="Civil_(RA)__Resi_4"/>
      <sheetName val="EA_Sheet4"/>
      <sheetName val="Boq_(Main_Building)8"/>
      <sheetName val="CORPN_O_x005f_x005f_x005f_x005f_x005f_x005f_x0058"/>
      <sheetName val="Customize_Your_Invoice8"/>
      <sheetName val="Sqn-Abs(G+6)_8"/>
      <sheetName val="WO-Abs_(G+2)_6_DUs8"/>
      <sheetName val="Air-Abs(G+6)_23_DUs8"/>
      <sheetName val="5__EA8"/>
      <sheetName val="Item-_Compact8"/>
      <sheetName val="CIVIL_BOQ_(Final)8"/>
      <sheetName val="Loan_Amortization_Schedule8"/>
      <sheetName val="S-MMS_without_TFA8"/>
      <sheetName val="TBAL9697__grotp_wise_2911"/>
      <sheetName val="TBAL9697__grotp_wise_2812"/>
      <sheetName val="TBAL9697__grotp_wise_3010"/>
      <sheetName val="ONE_TIME4"/>
      <sheetName val="CC_June9"/>
      <sheetName val="Key_Ass8"/>
      <sheetName val="bs_BP_04_SA8"/>
      <sheetName val="Col_up_to_plinth8"/>
      <sheetName val="int__pla_8"/>
      <sheetName val="Manpower_Histogram8"/>
      <sheetName val="TBAL9697__grotp_wis129"/>
      <sheetName val="TBAL9697__grotp_wis229"/>
      <sheetName val="TBAL9697__grotp_wis314"/>
      <sheetName val="TBAL9697__grotp_wis413"/>
      <sheetName val="TBAL9697__grotp_wis512"/>
      <sheetName val="TBAL9697__grotp_wis610"/>
      <sheetName val="TBAL9697__grotp_wis710"/>
      <sheetName val="TBAL9697__grotp_wis88"/>
      <sheetName val="TBAL9697__grotp_wis148"/>
      <sheetName val="TBAL9697__grotp_wis108"/>
      <sheetName val="TBAL9697__grotp_wis98"/>
      <sheetName val="TBAL9697__grotp_wis1113"/>
      <sheetName val="TBAL9697__grotp_wis1210"/>
      <sheetName val="TBAL9697__grotp_wis138"/>
      <sheetName val="TBAL9697__grotp_wis208"/>
      <sheetName val="TBAL9697__grotp_wis158"/>
      <sheetName val="TBAL9697__grotp_wis168"/>
      <sheetName val="TBAL9697__grotp_wis178"/>
      <sheetName val="TBAL9697__grotp_wis188"/>
      <sheetName val="TBAL9697__grotp_wis198"/>
      <sheetName val="TBAL9697__grotp_wis2112"/>
      <sheetName val="TBAL9697__grotp_wis2210"/>
      <sheetName val="TBAL9697__grotp_wis238"/>
      <sheetName val="TBAL9697__grotp_wis248"/>
      <sheetName val="TBAL9697__grotp_wis258"/>
      <sheetName val="Staff_Acco_76"/>
      <sheetName val="Basement_Budget8"/>
      <sheetName val="PB_WORK8"/>
      <sheetName val="V_O_4_-_PCC_Qty4"/>
      <sheetName val="A_O_R_r14"/>
      <sheetName val="A_O_R_r1Str4"/>
      <sheetName val="Order_Info4"/>
      <sheetName val="1st_-vpd4"/>
      <sheetName val="Input_Data4"/>
      <sheetName val="MLCP_Connection_Details4"/>
      <sheetName val="MERGED_CODES_&amp;_NAMES4"/>
      <sheetName val="INPUT_(BPL)4"/>
      <sheetName val="Break_Up_(bc)4"/>
      <sheetName val="Break_Up_(bc1)4"/>
      <sheetName val="Break_Up_(bc2)4"/>
      <sheetName val="old_boq2"/>
      <sheetName val="Loan_Schedule4"/>
      <sheetName val="L_(4)2"/>
      <sheetName val="Commodity_Plan_Front_Block4"/>
      <sheetName val="Commodity_Plan_Rear_Block4"/>
      <sheetName val="99_조정금액4"/>
      <sheetName val="Boq__structure_4"/>
      <sheetName val="Category_A_-_No_Material4"/>
      <sheetName val="Category_B_-_Major_Works4"/>
      <sheetName val="Category_C_-_Minor_Works4"/>
      <sheetName val="Default_Values3"/>
      <sheetName val="fa-pl_&amp;_myy_5"/>
      <sheetName val="Site_Infrastructure3"/>
      <sheetName val="New_C_PM3"/>
      <sheetName val="Client_Addresses3"/>
      <sheetName val="New_May3"/>
      <sheetName val="TB_MAR20043"/>
      <sheetName val="Staffing_Sheet3"/>
      <sheetName val="Data_Elements-Staffing3"/>
      <sheetName val="Detailed_Summary_(4)8"/>
      <sheetName val="GM_0005"/>
      <sheetName val="Table_44"/>
      <sheetName val="Table_54"/>
      <sheetName val="Table_24"/>
      <sheetName val="Table_274"/>
      <sheetName val="Story_Drift-Part_23"/>
      <sheetName val="TPL_RECEIPTS_MB512"/>
      <sheetName val="ROW_Orders_for_March_052"/>
      <sheetName val="PKG_PO2"/>
      <sheetName val="LLM_DPRECEIPTS_MB512"/>
      <sheetName val="ZSEM_stock_(ympc038)2"/>
      <sheetName val="MFG_PO2"/>
      <sheetName val="Design_sheet2"/>
      <sheetName val="4K_-_(6a)_Non_Manual_Breakdown4"/>
      <sheetName val="2_0_Floor_Area_Summary2"/>
      <sheetName val="Combined_Results_4"/>
      <sheetName val="M_R_List_(2)4"/>
      <sheetName val="N-Amritsar_1353"/>
      <sheetName val="IT-Fri_Base2"/>
      <sheetName val="Capital_Structure2"/>
      <sheetName val="BASIC_MATERIALS2"/>
      <sheetName val="Plant_&amp;__Machinery2"/>
      <sheetName val="Bed_Class4"/>
      <sheetName val="water_prop_2"/>
      <sheetName val="Tie_Beam_Steel-R0-12"/>
      <sheetName val="Balance_Sheet_3"/>
      <sheetName val="cost_centre3"/>
      <sheetName val="INPUT_SHEET_-_A4"/>
      <sheetName val="PANEL_ANNEXURE3"/>
      <sheetName val="_IO_List2"/>
      <sheetName val="Dropdown_list2"/>
      <sheetName val="TBAL9697__x005f_x005f_x005f_x005f_x005"/>
      <sheetName val="CORPN_O_x005f_x005f_x005f_x005f_x00004"/>
      <sheetName val="CORPN_O_x005f_x005f_x005f_x005f_x005f3"/>
      <sheetName val="fa-pl_&amp;_myy_x005f_x005f_x005f_x000b__x005f3"/>
      <sheetName val="Reference_Data2"/>
      <sheetName val="CIP_Summary_00122"/>
      <sheetName val="CIP_Detail_00112"/>
      <sheetName val="99_to_00_blns2"/>
      <sheetName val="Ring_Details2"/>
      <sheetName val="TBAL9697__grotp_wise_3112"/>
      <sheetName val="TBAL9697__grotp_wise_328"/>
      <sheetName val="labour_rates3"/>
      <sheetName val="foot-slab_reinft2"/>
      <sheetName val="Operating_Statistics2"/>
      <sheetName val="Ave_wtd_rates2"/>
      <sheetName val="Column_BBS-Block92"/>
      <sheetName val="CASH_CONTRACTS2"/>
      <sheetName val="Qty_SR2"/>
      <sheetName val="factor_2"/>
      <sheetName val="Abt_Foundation_2"/>
      <sheetName val="pier_Foundation2"/>
      <sheetName val="Master_Rates2"/>
      <sheetName val="RATES_(2)2"/>
      <sheetName val="GrossMgn_982"/>
      <sheetName val="MAR_022"/>
      <sheetName val="RCC_Rates2"/>
      <sheetName val="Column_all_floor_R12"/>
      <sheetName val="activit-graph__2"/>
      <sheetName val="Table-2_(Rate_Comparison)2"/>
      <sheetName val="7_Steel_Rein_2"/>
      <sheetName val="M-_Rate4"/>
      <sheetName val="MB_FOR_SUPERSTRUCTURE2"/>
      <sheetName val="A_O_R_(2)2"/>
      <sheetName val="TBAL9697__grotp_wis263"/>
      <sheetName val="TBAL9697__grotp_wis273"/>
      <sheetName val="TBAL9697__grotp_wis283"/>
      <sheetName val="TBAL9697__grotp_wis293"/>
      <sheetName val="TBAL9697__grotp_wise_333"/>
      <sheetName val="TBAL9697__grotp_wise_343"/>
      <sheetName val="TBAL9697__grotp_wise_353"/>
      <sheetName val="TBAL9697__grotp_wise_363"/>
      <sheetName val="TBAL9697__grotp_wise_373"/>
      <sheetName val="TBAL9697__grotp_wise_393"/>
      <sheetName val="TBAL9697__grotp_wise_383"/>
      <sheetName val="TBAL9697__grotp_wise_403"/>
      <sheetName val="TBAL9697__grotp_wise_426"/>
      <sheetName val="TBAL9697__grotp_wise_4112"/>
      <sheetName val="TBAL9697__grotp_wise_433"/>
      <sheetName val="TBAL9697__grotp_wise_443"/>
      <sheetName val="TBAL9697__grotp_wise_453"/>
      <sheetName val="TBAL9697__grotp_wise_463"/>
      <sheetName val="TBAL9697__grotp_wise_473"/>
      <sheetName val="TBAL9697__grotp_wise_483"/>
      <sheetName val="TBAL9697__grotp_wise_493"/>
      <sheetName val="TBAL9697__grotp_wise_503"/>
      <sheetName val="TBAL9697__grotp_wise_5112"/>
      <sheetName val="TBAL9697__grotp_wise_524"/>
      <sheetName val="TBAL9697__grotp_wise_583"/>
      <sheetName val="TBAL9697__grotp_wise_533"/>
      <sheetName val="TBAL9697__grotp_wise_543"/>
      <sheetName val="TBAL9697__grotp_wise_553"/>
      <sheetName val="TBAL9697__grotp_wise_573"/>
      <sheetName val="TBAL9697__grotp_wise_563"/>
      <sheetName val="TBAL9697__grotp_wise_593"/>
      <sheetName val="TBAL9697__grotp_wise_603"/>
      <sheetName val="TBAL9697__grotp_wise_6111"/>
      <sheetName val="TBAL9697__grotp_wise_633"/>
      <sheetName val="TBAL9697__grotp_wise_623"/>
      <sheetName val="TBAL9697__grotp_wise_643"/>
      <sheetName val="TBAL9697__grotp_wi13"/>
      <sheetName val="july_(2)2"/>
      <sheetName val="bending_stress2"/>
      <sheetName val="OLD_IC2"/>
      <sheetName val="TENDER_STUDY2"/>
      <sheetName val="DRG_STUDY2"/>
      <sheetName val="BOUGHT_OUT2"/>
      <sheetName val="RA_2"/>
      <sheetName val="STAFFSCHED_3"/>
      <sheetName val="fa-pl_&amp;_myy_x01"/>
      <sheetName val="fa-pl_&amp;_myy_x02"/>
      <sheetName val="dpl_oth_Lia`38"/>
      <sheetName val="TBAL9697__x000a_grotp_wis36"/>
      <sheetName val="dpl_oth_Lia`34"/>
      <sheetName val="dpl_oth_Lia`33"/>
      <sheetName val="dpl_oth_Lia`35"/>
      <sheetName val="dpl_oth_Lia`36"/>
      <sheetName val="dpl_oth_Lia`37"/>
      <sheetName val="dpl_oth_Lia`44"/>
      <sheetName val="TBAL9697__x000a_grotp_wis42"/>
      <sheetName val="dpl_oth_Lia`39"/>
      <sheetName val="TBAL9697__x000a_grotp_wis37"/>
      <sheetName val="dpl_oth_Lia`40"/>
      <sheetName val="TBAL9697__x000a_grotp_wis38"/>
      <sheetName val="dpl_oth_Lia`42"/>
      <sheetName val="TBAL9697__x000a_grotp_wis40"/>
      <sheetName val="dpl_oth_Lia`41"/>
      <sheetName val="TBAL9697__x000a_grotp_wis39"/>
      <sheetName val="dpl_oth_Lia`43"/>
      <sheetName val="TBAL9697__x000a_grotp_wis41"/>
      <sheetName val="dpl_oth_Lia`45"/>
      <sheetName val="TBAL9697__x000a_grotp_wis43"/>
      <sheetName val="dpl_oth_Lia`58"/>
      <sheetName val="TBAL9697__x000a_grotp_wis56"/>
      <sheetName val="dpl_oth_Lia`46"/>
      <sheetName val="TBAL9697__x000a_grotp_wis44"/>
      <sheetName val="dpl_oth_Lia`47"/>
      <sheetName val="TBAL9697__x000a_grotp_wis45"/>
      <sheetName val="dpl_oth_Lia`50"/>
      <sheetName val="TBAL9697__x000a_grotp_wis48"/>
      <sheetName val="dpl_oth_Lia`48"/>
      <sheetName val="TBAL9697__x000a_grotp_wis46"/>
      <sheetName val="dpl_oth_Lia`49"/>
      <sheetName val="TBAL9697__x000a_grotp_wis47"/>
      <sheetName val="dpl_oth_Lia`51"/>
      <sheetName val="TBAL9697__x000a_grotp_wis49"/>
      <sheetName val="dpl_oth_Lia`52"/>
      <sheetName val="TBAL9697__x000a_grotp_wis50"/>
      <sheetName val="dpl_oth_Lia`53"/>
      <sheetName val="TBAL9697__x000a_grotp_wis51"/>
      <sheetName val="dpl_oth_Lia`54"/>
      <sheetName val="TBAL9697__x000a_grotp_wis52"/>
      <sheetName val="dpl_oth_Lia`55"/>
      <sheetName val="TBAL9697__x000a_grotp_wis53"/>
      <sheetName val="dpl_oth_Lia`57"/>
      <sheetName val="TBAL9697__x000a_grotp_wis55"/>
      <sheetName val="dpl_oth_Lia`56"/>
      <sheetName val="TBAL9697__x000a_grotp_wis54"/>
      <sheetName val="dpl_oth_Lia`59"/>
      <sheetName val="TBAL9697__x000a_grotp_wis57"/>
      <sheetName val="dpl_oth_Lia`60"/>
      <sheetName val="TBAL9697__x000a_grotp_wis58"/>
      <sheetName val="dpl_oth_Lia`61"/>
      <sheetName val="TBAL9697__x000a_grotp_wis59"/>
      <sheetName val="MASONARY_2"/>
      <sheetName val="E_&amp;_R2"/>
      <sheetName val="Input_Rates2"/>
      <sheetName val="Source_Ref_4"/>
      <sheetName val="1_01_1_to_1_01_52"/>
      <sheetName val="1_01_62"/>
      <sheetName val="1_01_72"/>
      <sheetName val="1_02_12"/>
      <sheetName val="1_03_12"/>
      <sheetName val="1_03_22"/>
      <sheetName val="1_03_32"/>
      <sheetName val="1_04_12"/>
      <sheetName val="1_05_12"/>
      <sheetName val="1_06_12"/>
      <sheetName val="1_06_22"/>
      <sheetName val="2_01_1_to_2_01_5-2"/>
      <sheetName val="2_01_62"/>
      <sheetName val="2_01_72"/>
      <sheetName val="2_01_82"/>
      <sheetName val="2_02_12"/>
      <sheetName val="2_03_12"/>
      <sheetName val="2_03_22"/>
      <sheetName val="2_03_32"/>
      <sheetName val="2_04_12"/>
      <sheetName val="2_05_12"/>
      <sheetName val="2_06_12"/>
      <sheetName val="2_06_22"/>
      <sheetName val="2_07_18"/>
      <sheetName val="2_07_22"/>
      <sheetName val="2_07_32"/>
      <sheetName val="2_07_42"/>
      <sheetName val="2_07_52"/>
      <sheetName val="2_07_62"/>
      <sheetName val="2_07_72"/>
      <sheetName val="2_07_82"/>
      <sheetName val="2_07_92"/>
      <sheetName val="2_07_102"/>
      <sheetName val="2_07_112"/>
      <sheetName val="2_07_122"/>
      <sheetName val="2_07_132"/>
      <sheetName val="2_07_142"/>
      <sheetName val="2_07_152"/>
      <sheetName val="2_07_162"/>
      <sheetName val="3_01_1_to_3_01_52"/>
      <sheetName val="3_01_62"/>
      <sheetName val="3_01_72"/>
      <sheetName val="3_03_12"/>
      <sheetName val="3_03_22"/>
      <sheetName val="3_04_12"/>
      <sheetName val="3_05_12"/>
      <sheetName val="4_01_1_to_4_01_52"/>
      <sheetName val="4_01_62"/>
      <sheetName val="4_01_72"/>
      <sheetName val="4_01_82"/>
      <sheetName val="4_03_12"/>
      <sheetName val="4_03_22"/>
      <sheetName val="4_04_12"/>
      <sheetName val="4_05_12"/>
      <sheetName val="4_07_18"/>
      <sheetName val="4_07_22"/>
      <sheetName val="4_07_32"/>
      <sheetName val="4_07_42"/>
      <sheetName val="4_07_52"/>
      <sheetName val="4_07_62"/>
      <sheetName val="4_07_72"/>
      <sheetName val="4_07_82"/>
      <sheetName val="4_07_92"/>
      <sheetName val="4_07_102"/>
      <sheetName val="4_07_112"/>
      <sheetName val="4_07_122"/>
      <sheetName val="4_07_132"/>
      <sheetName val="4_07_142"/>
      <sheetName val="4_07_152"/>
      <sheetName val="4_07_162"/>
      <sheetName val="5_01_12"/>
      <sheetName val="5_01_22"/>
      <sheetName val="5_01_32"/>
      <sheetName val="5_01_42"/>
      <sheetName val="5_02_12"/>
      <sheetName val="5_02_22"/>
      <sheetName val="5_02_32"/>
      <sheetName val="5_02_42"/>
      <sheetName val="6_01_1_to_6_01_52"/>
      <sheetName val="6_01_62"/>
      <sheetName val="6_02_1_to_6_02_52"/>
      <sheetName val="6_02_62"/>
      <sheetName val="7_01_12"/>
      <sheetName val="7_01_22"/>
      <sheetName val="7_02_12"/>
      <sheetName val="7_02_22"/>
      <sheetName val="7_03_12"/>
      <sheetName val="7_03_22"/>
      <sheetName val="8_01_12"/>
      <sheetName val="8_01_22"/>
      <sheetName val="8_01_32"/>
      <sheetName val="8_01_42"/>
      <sheetName val="BOQ_in_CRN_Formate2"/>
      <sheetName val="Cumul_2"/>
      <sheetName val="GST__Inv__2"/>
      <sheetName val="Ill__Imm__Cert_2"/>
      <sheetName val="Work_Compl__Cert_2"/>
      <sheetName val="Staff_Forecast_spread2"/>
      <sheetName val="APPENDIX_4_1a2"/>
      <sheetName val="IS__8752"/>
      <sheetName val="Boq-_Zero2"/>
      <sheetName val="SB_SCH_A72"/>
      <sheetName val="11_kV_SWGR2"/>
      <sheetName val="exp-ded-jan'_062"/>
      <sheetName val="DOOR-WINDOW_SCHEDULE2"/>
      <sheetName val="BOB_DETAILS2"/>
      <sheetName val="Podium_Areas2"/>
      <sheetName val="F4_132"/>
      <sheetName val="Cash_Flow_Working2"/>
      <sheetName val="8__Cover2"/>
      <sheetName val="_Tank2"/>
      <sheetName val="spare_parts2"/>
      <sheetName val="CLEAN_SHEET_COST_FOR_cPVC_PIPE2"/>
      <sheetName val="Data_12"/>
      <sheetName val="Rates_Basic2"/>
      <sheetName val="G_R_P2"/>
      <sheetName val="PSC_REVISED2"/>
      <sheetName val="beam-reinft-machine_rm2"/>
      <sheetName val="Beam-design_exp2"/>
      <sheetName val="WORK_TABLE2"/>
      <sheetName val="Materials_Cost(PCC)2"/>
      <sheetName val="fa-pl_&amp;_myy_x03"/>
      <sheetName val="dpl_oth_Lia`62"/>
      <sheetName val="TBAL9697__x000a_grotp_wis60"/>
      <sheetName val="TBAL9697__grotp_wi23"/>
      <sheetName val="TBAL9697__grotp_wi43"/>
      <sheetName val="TBAL9697__grotp_wi33"/>
      <sheetName val="TBAL9697__grotp_wi53"/>
      <sheetName val="TBAL9697__grotp_wi63"/>
      <sheetName val="TBAL9697__grotp_wi73"/>
      <sheetName val="TBAL9697__grotp_wi83"/>
      <sheetName val="TBAL9697__grotp_wi93"/>
      <sheetName val="TBAL9697__grotp_w103"/>
      <sheetName val="TBAL9697__grotp_w163"/>
      <sheetName val="TBAL9697__grotp_w123"/>
      <sheetName val="TBAL9697__grotp_w113"/>
      <sheetName val="TBAL9697__grotp_w133"/>
      <sheetName val="TBAL9697__grotp_w143"/>
      <sheetName val="TBAL9697__grotp_w153"/>
      <sheetName val="TBAL9697__grotp_w223"/>
      <sheetName val="TBAL9697__grotp_w173"/>
      <sheetName val="TBAL9697__grotp_w183"/>
      <sheetName val="TBAL9697__grotp_w193"/>
      <sheetName val="TBAL9697__grotp_w203"/>
      <sheetName val="TBAL9697__grotp_w213"/>
      <sheetName val="TBAL9697__grotp_w233"/>
      <sheetName val="TBAL9697__grotp_w243"/>
      <sheetName val="TBAL9697__grotp_w253"/>
      <sheetName val="TBAL9697__grotp_w263"/>
      <sheetName val="dpl_oth_Lia`63"/>
      <sheetName val="TBAL9697__x000a_grotp_wis61"/>
      <sheetName val="fa-pl_&amp;_myy_x05"/>
      <sheetName val="fa-pl_&amp;_myy_2"/>
      <sheetName val="fa-pl_&amp;_myy_x04"/>
      <sheetName val="fa-pl_&amp;_myy_1"/>
      <sheetName val="dpl_oth_Lia`64"/>
      <sheetName val="TBAL9697__x000a_grotp_wis62"/>
      <sheetName val="fa-pl_&amp;_myy_x06"/>
      <sheetName val="fa-pl_&amp;_myy_3"/>
      <sheetName val="dpl_oth_Lia`65"/>
      <sheetName val="TBAL9697__x000a_grotp_wis63"/>
      <sheetName val="fa-pl_&amp;_myy_x07"/>
      <sheetName val="fa-pl_&amp;_myy_4"/>
      <sheetName val="TBAL9697__grotp_w292"/>
      <sheetName val="TBAL9697__grotp_w282"/>
      <sheetName val="TBAL9697__grotp_w272"/>
      <sheetName val="TBAL9697__grotp_w302"/>
      <sheetName val="Cabinet_details2"/>
      <sheetName val="Tools_Rev2"/>
      <sheetName val="Schedule_v12"/>
      <sheetName val="Maturity_Assessment2"/>
      <sheetName val="Head_Office-Bud2"/>
      <sheetName val="FTE_Information_and_costs2"/>
      <sheetName val="Strategic_Planning2"/>
      <sheetName val="Calendar_year_Summary_Plan2"/>
      <sheetName val="SCEL_Funding2"/>
      <sheetName val="BOQ_LT2"/>
      <sheetName val="MN_T_B_2"/>
      <sheetName val="Calculation_Sheet2"/>
      <sheetName val="Column_Detail2"/>
      <sheetName val="CORPN_OT68"/>
      <sheetName val="TB9798OBPL06_(2)73"/>
      <sheetName val="CORPN_OCT73"/>
      <sheetName val="inout_consol-nov73"/>
      <sheetName val="inout_consol_(2)73"/>
      <sheetName val="AS_ON_DT_EXPS_Mar73"/>
      <sheetName val="fa-pl_&amp;_mach-site73"/>
      <sheetName val="fa_off_eqp73"/>
      <sheetName val="fa_fur&amp;_fix73"/>
      <sheetName val="fa-pl_&amp;_mach-Off73"/>
      <sheetName val="B_Equity-sdpl_INC73"/>
      <sheetName val="inout_consol_wkg73"/>
      <sheetName val="inout_consol_WKNG73"/>
      <sheetName val="B_Sheet_9773"/>
      <sheetName val="P&amp;L_97_73"/>
      <sheetName val="B_Sheet_97-BEXP73"/>
      <sheetName val="P&amp;L_97_-BEXP73"/>
      <sheetName val="consol_flows73"/>
      <sheetName val="sdpl_oth_Liab73"/>
      <sheetName val="obpl-oth_liab73"/>
      <sheetName val="G_land_advance73"/>
      <sheetName val="I-Wip-ot_(2)73"/>
      <sheetName val="detail_WIP_(2)73"/>
      <sheetName val="detail_G-173"/>
      <sheetName val="sobha_menon_ac73"/>
      <sheetName val="pnc_ac73"/>
      <sheetName val="fix_-p_&amp;_M_-SCC73"/>
      <sheetName val="C_fix_asst73"/>
      <sheetName val="D_fix_asst_scdl_73"/>
      <sheetName val="creditors_tb_obpl73"/>
      <sheetName val="TBAL9697_-group_wise__sdpl83"/>
      <sheetName val="TBAL9697_-group_wise_73"/>
      <sheetName val="crs_-G-173"/>
      <sheetName val="TBAL9697_-group_wise__onpl73"/>
      <sheetName val="B_Sheet_97-OBPL73"/>
      <sheetName val="B_Sheet_97_sdpl73"/>
      <sheetName val="TBAL9697_-group_wise__sdpl273"/>
      <sheetName val="inout_consol_jan73"/>
      <sheetName val="consol_flow73"/>
      <sheetName val="D_Loan__Prom73"/>
      <sheetName val="E_Bank_Loan73"/>
      <sheetName val="G_work_Cap73"/>
      <sheetName val="H_land_adv-dec73"/>
      <sheetName val="J_Con_WIP73"/>
      <sheetName val="detail_J73"/>
      <sheetName val="L_Oth_Co73"/>
      <sheetName val="K_fix_asst__73"/>
      <sheetName val="C_fix_asst-SDPL_73"/>
      <sheetName val="TBAL9697__group_wise__sdpl73"/>
      <sheetName val="inout_consol_okg73"/>
      <sheetName val="detail_OIP_(2)73"/>
      <sheetName val="D_fix_ysst_scdl_73"/>
      <sheetName val="cre`itors_tb_obpl73"/>
      <sheetName val="3AL9697_-group_wise__onpl73"/>
      <sheetName val="L_Oth_Bo72"/>
      <sheetName val="3‰AL9697_-group_wise__onpl72"/>
      <sheetName val="Civil_Boq72"/>
      <sheetName val="Project-Material_72"/>
      <sheetName val="Staff_Acco_73"/>
      <sheetName val="SITE_OVERHEADS72"/>
      <sheetName val="Boq_Block_A72"/>
      <sheetName val="PRECAST_lightconc-II70"/>
      <sheetName val="1__PayRec69"/>
      <sheetName val="Cashflow_projection69"/>
      <sheetName val="SPT_vs_PHI69"/>
      <sheetName val="key_dates69"/>
      <sheetName val="Blr_hire69"/>
      <sheetName val="Labor_abs-NMR69"/>
      <sheetName val="3�AL9697_-group_wise__onpl72"/>
      <sheetName val="INPUT_SHEET69"/>
      <sheetName val="ino4t_conso,-nov69"/>
      <sheetName val="(nout_co,sol_(2)69"/>
      <sheetName val="_bpl,oth_lia_69"/>
      <sheetName val="G_,and_adv_nce69"/>
      <sheetName val="I,Wip-ot__2)69"/>
      <sheetName val="det!il_WIP_(2)69"/>
      <sheetName val="de4ail_G-169"/>
      <sheetName val="sobha_mennn_ac69"/>
      <sheetName val="C_&amp;ix_asst69"/>
      <sheetName val="_x005f_x0003_dpl_oth_Lia`69"/>
      <sheetName val="TBAL9697__x005f_x000d_grotp_wise_69"/>
      <sheetName val="St_co_91_5lvl69"/>
      <sheetName val="Sun_E_Type69"/>
      <sheetName val="Fin_Sum69"/>
      <sheetName val="CORPN_O_x005f_x0000_T69"/>
      <sheetName val="SUPPLY_-Sanitary_Fixtures69"/>
      <sheetName val="ITEMS_FOR_CIVIL_TENDER69"/>
      <sheetName val="CORPN_O?T69"/>
      <sheetName val="Stress_Calculation69"/>
      <sheetName val="TBAL9697__x000a_grotp_wise_69"/>
      <sheetName val="CORPN_O69"/>
      <sheetName val="labour_coeff67"/>
      <sheetName val="CORPN_O_T67"/>
      <sheetName val="TBAL9697__grotp_wise_298"/>
      <sheetName val="Shuttering_Analysis67"/>
      <sheetName val="General_P+M67"/>
      <sheetName val="Curing_Analysis_67"/>
      <sheetName val="Concrete_P+M_(_RMC_)67"/>
      <sheetName val="P+M_(_SMC_)67"/>
      <sheetName val="P+M_-EW67"/>
      <sheetName val="P&amp;L_-_AD67"/>
      <sheetName val="_x005f_x005f_x005f_x0003_dpl_oth_Lia`69"/>
      <sheetName val="TBAL9697__x005f_x005f_x005f_x000d_grotp_w69"/>
      <sheetName val="Fin__Assumpt__-_Sensitivities67"/>
      <sheetName val="LOAD_SHEET_67"/>
      <sheetName val="Fill_this_out_first___67"/>
      <sheetName val="Labour_productivity67"/>
      <sheetName val="RCC,Ret__Wall67"/>
      <sheetName val="Area_&amp;_Cate__Master67"/>
      <sheetName val="Cat_A_Change_Control67"/>
      <sheetName val="Break_up_Sheet67"/>
      <sheetName val="Summary_of_P_&amp;_M67"/>
      <sheetName val="DG_69"/>
      <sheetName val="Bill_No_567"/>
      <sheetName val="Sheet_167"/>
      <sheetName val="3BPA00132-5-3_W_plan_HVPNL67"/>
      <sheetName val="Mix_Design67"/>
      <sheetName val="Fee_Rate_Summary67"/>
      <sheetName val="Name_List67"/>
      <sheetName val="BOQ_(2)67"/>
      <sheetName val="FITZ_MORT_9467"/>
      <sheetName val="DLC_lookups67"/>
      <sheetName val="Quote_Sheet67"/>
      <sheetName val="d-safe_DELUXE67"/>
      <sheetName val="Works_-_Quote_Sheet67"/>
      <sheetName val="IO_LIST67"/>
      <sheetName val="TBAL9697__x005f_x000d_grotp_wis67"/>
      <sheetName val="TBAL9697__grotp_wise_299"/>
      <sheetName val="Break_Dw67"/>
      <sheetName val="Structure_Bills_Qty67"/>
      <sheetName val="11B_67"/>
      <sheetName val="TBAL9697__x005f_x000a_grotp_wise_67"/>
      <sheetName val="Driveway_Beams67"/>
      <sheetName val="ISO_Reconcilation_Statment67"/>
      <sheetName val="AVG_pur_rate67"/>
      <sheetName val="Detail_1A67"/>
      <sheetName val="CORPN_O_x005f_x005f_x005f_x0000_T67"/>
      <sheetName val="220_11__BS_67"/>
      <sheetName val="NLD_-_Assum67"/>
      <sheetName val="Cash_Flow_Input_Data_ISC39"/>
      <sheetName val="BLOCK-A_(MEA_SHEET)67"/>
      <sheetName val="Form_667"/>
      <sheetName val="acevsSp_(ABC)67"/>
      <sheetName val="A_O_R_67"/>
      <sheetName val="LIST_OF_MAKES67"/>
      <sheetName val="Intro_67"/>
      <sheetName val="Assumption_Inputs67"/>
      <sheetName val="Civil_Works67"/>
      <sheetName val="TBAL9697__x005f_x005f_x005f_x005f_x005f_x005f_x39"/>
      <sheetName val="General_input12"/>
      <sheetName val="6_0512"/>
      <sheetName val="Abstract_Sheet12"/>
      <sheetName val="Section_Catalogue67"/>
      <sheetName val="Mat_-Rates37"/>
      <sheetName val="DETAILED__BOQ37"/>
      <sheetName val="CABLE_DATA37"/>
      <sheetName val="Tender_Summary20"/>
      <sheetName val="Legal_Risk_Analysis37"/>
      <sheetName val="Boq-_Civil12"/>
      <sheetName val="Site_Dev_BOQ13"/>
      <sheetName val="tie_beam20"/>
      <sheetName val="CORPN_O_x005f_x005f_x005f_x005f_x005f_x005f_x0012"/>
      <sheetName val="INDIGINEOUS_ITEMS_20"/>
      <sheetName val="Excess_Calc12"/>
      <sheetName val="PO_Payroll12"/>
      <sheetName val="Deduction_of_assets16"/>
      <sheetName val="TBAL9697__grotp_wise_300"/>
      <sheetName val="TBAL9697__grotp_wise_1103"/>
      <sheetName val="COP_Final12"/>
      <sheetName val="BOQ_12"/>
      <sheetName val="Elect_13"/>
      <sheetName val="Detail_In_Door_Stad12"/>
      <sheetName val="Gen_Info12"/>
      <sheetName val="TBAL9697__x005f_x005f_x005f_x000a_grotp_w12"/>
      <sheetName val="SPILL_OVER12"/>
      <sheetName val="Data_sheet12"/>
      <sheetName val="Per_Unit12"/>
      <sheetName val="Pacakges_split12"/>
      <sheetName val="Main_Gate_House12"/>
      <sheetName val="final_abstract12"/>
      <sheetName val="Cost_summary12"/>
      <sheetName val="TBAL9697__grotp_wise_2100"/>
      <sheetName val="TBAL9697__grotp_wise_423"/>
      <sheetName val="TBAL9697__grotp_wise_323"/>
      <sheetName val="TBAL9697__grotp_wise_520"/>
      <sheetName val="TBAL9697__grotp_wise_619"/>
      <sheetName val="TBAL9697__grotp_wise_717"/>
      <sheetName val="TBAL9697__grotp_wise_817"/>
      <sheetName val="TBAL9697__grotp_wise_917"/>
      <sheetName val="TBAL9697__grotp_wise_1017"/>
      <sheetName val="TBAL9697__grotp_wise_1614"/>
      <sheetName val="TBAL9697__grotp_wise_1216"/>
      <sheetName val="TBAL9697__grotp_wise_1117"/>
      <sheetName val="TBAL9697__grotp_wise_1316"/>
      <sheetName val="TBAL9697__grotp_wise_1415"/>
      <sheetName val="TBAL9697__grotp_wise_1514"/>
      <sheetName val="TBAL9697__grotp_wise_2215"/>
      <sheetName val="TBAL9697__grotp_wise_1713"/>
      <sheetName val="TBAL9697__grotp_wise_1813"/>
      <sheetName val="TBAL9697__grotp_wise_1913"/>
      <sheetName val="TBAL9697__grotp_wise_2013"/>
      <sheetName val="TBAL9697__grotp_wise_2117"/>
      <sheetName val="TBAL9697__grotp_wise_2313"/>
      <sheetName val="TBAL9697__grotp_wise_2413"/>
      <sheetName val="P_&amp;_M11"/>
      <sheetName val="MS_Items11"/>
      <sheetName val="Debits_as_on_12_04_0812"/>
      <sheetName val="Labor_abs-PW12"/>
      <sheetName val="AutoOpen_Stub_Data12"/>
      <sheetName val="Material_12"/>
      <sheetName val="Extra_Item12"/>
      <sheetName val="Labour_&amp;_Plant12"/>
      <sheetName val="Meas_-Hotel_Part12"/>
      <sheetName val="BASIC_RATES12"/>
      <sheetName val="TBAL9697__x005f_x005f_x0013"/>
      <sheetName val="CORPN_O_x005f_x005f_x000012"/>
      <sheetName val="TBAL9697__x005f_x000a_grotp_wis12"/>
      <sheetName val="TBAL9697_-group_wise_sdpl12"/>
      <sheetName val="Lintel_Beam_104_70_(GF)__12"/>
      <sheetName val="_12"/>
      <sheetName val="Contract_Night_Staff12"/>
      <sheetName val="Contract_Day_Staff12"/>
      <sheetName val="Day_Shift12"/>
      <sheetName val="Night_Shift12"/>
      <sheetName val="Base_Assumptions12"/>
      <sheetName val="_COP_100%12"/>
      <sheetName val="lineby_line_consolidation12"/>
      <sheetName val="TBAL9697__grotp_wise_2513"/>
      <sheetName val="TBAL9697__grotp_wise_2613"/>
      <sheetName val="Material_Rate11"/>
      <sheetName val="Rate_analysis11"/>
      <sheetName val="Approved_MTD_Proj_#'s11"/>
      <sheetName val="9__Package_split_-_Cost_11"/>
      <sheetName val="Project_Budget_Worksheet11"/>
      <sheetName val="CORPN_O_x005f_x005f_x005f11"/>
      <sheetName val="Customize_Your_Purchase_Order11"/>
      <sheetName val="fa-pl_&amp;_myy_x005f_x000b__x005f_x000b__x11"/>
      <sheetName val="Area_Statement12"/>
      <sheetName val="Risk_Analysis12"/>
      <sheetName val="SITE_DEVELOPMENT11"/>
      <sheetName val="DDETABLE_11"/>
      <sheetName val="Building_111"/>
      <sheetName val="Lead_(Final)11"/>
      <sheetName val="indices_8"/>
      <sheetName val="Material_List_11"/>
      <sheetName val="Pile_cap8"/>
      <sheetName val="M_S_8"/>
      <sheetName val="TAX_INCOME8"/>
      <sheetName val="Depart_Budget8"/>
      <sheetName val="CC_June8"/>
      <sheetName val="Layer_Table7"/>
      <sheetName val="Basic_Rate11"/>
      <sheetName val="INFLUENCES_ON_GM11"/>
      <sheetName val="Load_Details(B2)11"/>
      <sheetName val="TBAL9697__grotp_wis67"/>
      <sheetName val="CORPN_O_x005f12"/>
      <sheetName val="Detail_P&amp;L8"/>
      <sheetName val="Assumption_Sheet7"/>
      <sheetName val="Bill_3_-_Site_Works11"/>
      <sheetName val="appendix_2_5_final_accounts11"/>
      <sheetName val="Service_Function11"/>
      <sheetName val="SCHEDULE_OF_RATES7"/>
      <sheetName val="schedule_nos11"/>
      <sheetName val="CFForecast_detail11"/>
      <sheetName val="Rate_Analysis_11"/>
      <sheetName val="Sheet3_(2)8"/>
      <sheetName val="Bill_18"/>
      <sheetName val="Bill_28"/>
      <sheetName val="Bill_38"/>
      <sheetName val="Bill_48"/>
      <sheetName val="Bill_58"/>
      <sheetName val="Bill_68"/>
      <sheetName val="Bill_78"/>
      <sheetName val="BS_-_L+OE11"/>
      <sheetName val="소상_&quot;1&quot;8"/>
      <sheetName val="Cost_Basis8"/>
      <sheetName val="beam-reinft-IIInd_floor11"/>
      <sheetName val="CPT_POST_UPLOAD8"/>
      <sheetName val="KQ_Cost_Controlling8"/>
      <sheetName val="KQ_Appropriation8"/>
      <sheetName val="TBAL9697__grotp_wise_2712"/>
      <sheetName val="TBAL9697__grotp_wis68"/>
      <sheetName val="class_&amp;_category8"/>
      <sheetName val="code_Control_Sheet8"/>
      <sheetName val="2_civil-RA8"/>
      <sheetName val="Mat_Cost8"/>
      <sheetName val="Invested_capital_VDF7"/>
      <sheetName val="PV_of_Op_Leases_VDF7"/>
      <sheetName val="BOQ_Distribution11"/>
      <sheetName val="TBAL9697__x000a_grotp_wis65"/>
      <sheetName val="TBAL9697__x0012"/>
      <sheetName val="CORPN_O_x000011"/>
      <sheetName val="GR_slab-reinft11"/>
      <sheetName val="Indirect_expenses11"/>
      <sheetName val="Sheet_211"/>
      <sheetName val="Risk_Assmnt11"/>
      <sheetName val="AoR_Finishing11"/>
      <sheetName val="fa-pl_&amp;_myy_x005f_x000b__8"/>
      <sheetName val="Input_&amp;_Calculations7"/>
      <sheetName val="Cost_Index8"/>
      <sheetName val="New_Construction7"/>
      <sheetName val="Overall_Summary7"/>
      <sheetName val="Summary_CFA_total_-_CP1_&amp;_CP27"/>
      <sheetName val="Sqn-Abs(G+6)_7"/>
      <sheetName val="WO-Abs_(G+2)_6_DUs7"/>
      <sheetName val="Air-Abs(G+6)_23_DUs7"/>
      <sheetName val="5__EA7"/>
      <sheetName val="PA-_Consutant_7"/>
      <sheetName val="Beam_at_Ground_flr_lvl(Steel)7"/>
      <sheetName val="Main_Assump_7"/>
      <sheetName val="BEAM_SCH7"/>
      <sheetName val="SLAB__SCH_7"/>
      <sheetName val="R_MTL7"/>
      <sheetName val="GUT_(2)7"/>
      <sheetName val="MB_Prod7"/>
      <sheetName val="Bill_1-BOQ-Civil_Works7"/>
      <sheetName val="Bill-5_27"/>
      <sheetName val="Bill-9_17"/>
      <sheetName val="Bill-6_1_1-6_1_37"/>
      <sheetName val="RA_Bill_summary_til_Apr197"/>
      <sheetName val="APTIDCO_CV_A_SCOPE7"/>
      <sheetName val="Basic_rate_summary7"/>
      <sheetName val="Basic_rate_calculations7"/>
      <sheetName val="Labor_Rates7"/>
      <sheetName val="Capex_Estimates7"/>
      <sheetName val="General_Assumptions7"/>
      <sheetName val="Rates_7-207"/>
      <sheetName val="rcc(_sub)2"/>
      <sheetName val="L_(4)1"/>
      <sheetName val="V_O_4_-_PCC_Qty3"/>
      <sheetName val="CIVIL_BOQ_(Final)7"/>
      <sheetName val="Customize_Your_Invoice7"/>
      <sheetName val="Loan_Amortization_Schedule7"/>
      <sheetName val="organi_synthesis_lab7"/>
      <sheetName val="S-MMS_without_TFA7"/>
      <sheetName val="TBAL9697__grotp_wise_2910"/>
      <sheetName val="TBAL9697__grotp_wise_2811"/>
      <sheetName val="TBAL9697__grotp_wise_308"/>
      <sheetName val="CORPN_O_x005f_x005f_x005f_x005f_x005f_x005f_x0057"/>
      <sheetName val="Boq_(Main_Building)7"/>
      <sheetName val="Source_Ref_3"/>
      <sheetName val="Item-_Compact7"/>
      <sheetName val="Manpower_Histogram7"/>
      <sheetName val="TBAL9697__grotp_wis127"/>
      <sheetName val="TBAL9697__grotp_wis227"/>
      <sheetName val="TBAL9697__grotp_wis313"/>
      <sheetName val="TBAL9697__grotp_wis412"/>
      <sheetName val="TBAL9697__grotp_wis511"/>
      <sheetName val="TBAL9697__grotp_wis69"/>
      <sheetName val="TBAL9697__grotp_wis77"/>
      <sheetName val="TBAL9697__grotp_wis87"/>
      <sheetName val="TBAL9697__grotp_wis147"/>
      <sheetName val="TBAL9697__grotp_wis107"/>
      <sheetName val="TBAL9697__grotp_wis97"/>
      <sheetName val="TBAL9697__grotp_wis1112"/>
      <sheetName val="TBAL9697__grotp_wis128"/>
      <sheetName val="TBAL9697__grotp_wis137"/>
      <sheetName val="TBAL9697__grotp_wis207"/>
      <sheetName val="TBAL9697__grotp_wis157"/>
      <sheetName val="TBAL9697__grotp_wis167"/>
      <sheetName val="TBAL9697__grotp_wis177"/>
      <sheetName val="TBAL9697__grotp_wis187"/>
      <sheetName val="TBAL9697__grotp_wis197"/>
      <sheetName val="TBAL9697__grotp_wis2111"/>
      <sheetName val="TBAL9697__grotp_wis228"/>
      <sheetName val="TBAL9697__grotp_wis237"/>
      <sheetName val="TBAL9697__grotp_wis247"/>
      <sheetName val="TBAL9697__grotp_wis257"/>
      <sheetName val="Civil_(RA)__Resi_3"/>
      <sheetName val="Detailed_Summary_(4)7"/>
      <sheetName val="bs_BP_04_SA7"/>
      <sheetName val="Col_up_to_plinth7"/>
      <sheetName val="int__pla_7"/>
      <sheetName val="Break_Up_(bc)3"/>
      <sheetName val="Break_Up_(bc1)3"/>
      <sheetName val="Break_Up_(bc2)3"/>
      <sheetName val="A_O_R_r13"/>
      <sheetName val="A_O_R_r1Str3"/>
      <sheetName val="Order_Info3"/>
      <sheetName val="1st_-vpd3"/>
      <sheetName val="Input_Data3"/>
      <sheetName val="MLCP_Connection_Details3"/>
      <sheetName val="MERGED_CODES_&amp;_NAMES3"/>
      <sheetName val="INPUT_(BPL)3"/>
      <sheetName val="Combined_Results_3"/>
      <sheetName val="Loan_Schedule3"/>
      <sheetName val="Bed_Class3"/>
      <sheetName val="EA_Sheet3"/>
      <sheetName val="GM_0004"/>
      <sheetName val="Table_43"/>
      <sheetName val="Table_53"/>
      <sheetName val="Table_23"/>
      <sheetName val="Table_273"/>
      <sheetName val="M-_Rate3"/>
      <sheetName val="ONE_TIME3"/>
      <sheetName val="Site_Infrastructure2"/>
      <sheetName val="New_C_PM2"/>
      <sheetName val="Client_Addresses2"/>
      <sheetName val="New_May2"/>
      <sheetName val="TB_MAR20042"/>
      <sheetName val="Staffing_Sheet2"/>
      <sheetName val="Data_Elements-Staffing2"/>
      <sheetName val="Basement_Budget7"/>
      <sheetName val="4K_-_(6a)_Non_Manual_Breakdown3"/>
      <sheetName val="Commodity_Plan_Front_Block3"/>
      <sheetName val="Commodity_Plan_Rear_Block3"/>
      <sheetName val="99_조정금액3"/>
      <sheetName val="Boq__structure_3"/>
      <sheetName val="Category_A_-_No_Material3"/>
      <sheetName val="Category_B_-_Major_Works3"/>
      <sheetName val="Category_C_-_Minor_Works3"/>
      <sheetName val="Key_Ass7"/>
      <sheetName val="TBAL9697__grotp_wis70"/>
      <sheetName val="2_0_Floor_Area_Summary1"/>
      <sheetName val="Annexue_B2"/>
      <sheetName val="IT-Fri_Base1"/>
      <sheetName val="Capital_Structure1"/>
      <sheetName val="BASIC_MATERIALS1"/>
      <sheetName val="foot-slab_reinft1"/>
      <sheetName val="TBAL9697__x005f_x005f_x005f_x005f_x004"/>
      <sheetName val="CORPN_O_x005f_x005f_x005f_x005f_x00003"/>
      <sheetName val="CORPN_O_x005f_x005f_x005f_x005f_x005f2"/>
      <sheetName val="fa-pl_&amp;_myy_x005f_x005f_x005f_x000b__x005f2"/>
      <sheetName val="water_prop_1"/>
      <sheetName val="Tie_Beam_Steel-R0-11"/>
      <sheetName val="Staff_Acco_74"/>
      <sheetName val="PB_WORK7"/>
      <sheetName val="Dropdown_list1"/>
      <sheetName val="labour_rates2"/>
      <sheetName val="Story_Drift-Part_22"/>
      <sheetName val="Ring_Details1"/>
      <sheetName val="Reference_Data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Design_sheet1"/>
      <sheetName val="N-Amritsar_1352"/>
      <sheetName val="M_R_List_(2)3"/>
      <sheetName val="Operating_Statistics1"/>
      <sheetName val="bending_stress1"/>
      <sheetName val="Cash_Flow_Working1"/>
      <sheetName val="Podium_Areas1"/>
      <sheetName val="8__Cover1"/>
      <sheetName val="_Tank1"/>
      <sheetName val="spare_parts1"/>
      <sheetName val="CLEAN_SHEET_COST_FOR_cPVC_PIPE1"/>
      <sheetName val="Data_11"/>
      <sheetName val="Rates_Basic1"/>
      <sheetName val="G_R_P1"/>
      <sheetName val="PSC_REVISED1"/>
      <sheetName val="beam-reinft-machine_rm1"/>
      <sheetName val="F4_131"/>
      <sheetName val="Beam-design_exp1"/>
      <sheetName val="WORK_TABLE1"/>
      <sheetName val="Materials_Cost(PCC)1"/>
      <sheetName val="PANEL_ANNEXURE2"/>
      <sheetName val="activit-graph__1"/>
      <sheetName val="Table-2_(Rate_Comparison)1"/>
      <sheetName val="RCC_Rates1"/>
      <sheetName val="Column_all_floor_R11"/>
      <sheetName val="Cabinet_details1"/>
      <sheetName val="Tools_Rev1"/>
      <sheetName val="Balance_Sheet_2"/>
      <sheetName val="cost_centre2"/>
      <sheetName val="INPUT_SHEET_-_A3"/>
      <sheetName val="Default_Values2"/>
      <sheetName val="CASH_CONTRACTS1"/>
      <sheetName val="Qty_SR1"/>
      <sheetName val="_IO_List1"/>
      <sheetName val="DOOR-WINDOW_SCHEDULE1"/>
      <sheetName val="Schedule_v11"/>
      <sheetName val="Maturity_Assessment1"/>
      <sheetName val="Head_Office-Bud1"/>
      <sheetName val="FTE_Information_and_costs1"/>
      <sheetName val="Strategic_Planning1"/>
      <sheetName val="Calendar_year_Summary_Plan1"/>
      <sheetName val="GrossMgn_981"/>
      <sheetName val="SCEL_Funding1"/>
      <sheetName val="TBAL9697__grotp_wi12"/>
      <sheetName val="TBAL9697__grotp_wise_3111"/>
      <sheetName val="TBAL9697__grotp_wis262"/>
      <sheetName val="TBAL9697__grotp_wi22"/>
      <sheetName val="TBAL9697__grotp_wi42"/>
      <sheetName val="TBAL9697__grotp_wi32"/>
      <sheetName val="TBAL9697__grotp_wi52"/>
      <sheetName val="TBAL9697__grotp_wi62"/>
      <sheetName val="TBAL9697__grotp_wi72"/>
      <sheetName val="TBAL9697__grotp_wi82"/>
      <sheetName val="TBAL9697__grotp_wi92"/>
      <sheetName val="TBAL9697__grotp_w102"/>
      <sheetName val="TBAL9697__grotp_w162"/>
      <sheetName val="TBAL9697__grotp_w122"/>
      <sheetName val="TBAL9697__grotp_w112"/>
      <sheetName val="TBAL9697__grotp_w132"/>
      <sheetName val="TBAL9697__grotp_w142"/>
      <sheetName val="TBAL9697__grotp_w152"/>
      <sheetName val="TBAL9697__grotp_w222"/>
      <sheetName val="TBAL9697__grotp_w172"/>
      <sheetName val="TBAL9697__grotp_w182"/>
      <sheetName val="TBAL9697__grotp_w192"/>
      <sheetName val="TBAL9697__grotp_w202"/>
      <sheetName val="TBAL9697__grotp_w212"/>
      <sheetName val="TBAL9697__grotp_w232"/>
      <sheetName val="TBAL9697__grotp_w242"/>
      <sheetName val="TBAL9697__grotp_w252"/>
      <sheetName val="TBAL9697__grotp_w262"/>
      <sheetName val="TBAL9697__grotp_w291"/>
      <sheetName val="TBAL9697__grotp_w281"/>
      <sheetName val="TBAL9697__grotp_w271"/>
      <sheetName val="TBAL9697__grotp_w301"/>
      <sheetName val="MASONARY_1"/>
      <sheetName val="old_boq1"/>
      <sheetName val="Plant_&amp;__Machinery1"/>
      <sheetName val="CIP_Summary_00121"/>
      <sheetName val="CIP_Detail_00111"/>
      <sheetName val="99_to_00_blns1"/>
      <sheetName val="TBAL9697__grotp_wise_324"/>
      <sheetName val="Ave_wtd_rates1"/>
      <sheetName val="Column_BBS-Block91"/>
      <sheetName val="factor_1"/>
      <sheetName val="Abt_Foundation_1"/>
      <sheetName val="pier_Foundation1"/>
      <sheetName val="Master_Rates1"/>
      <sheetName val="RATES_(2)1"/>
      <sheetName val="MAR_021"/>
      <sheetName val="7_Steel_Rein_1"/>
      <sheetName val="MB_FOR_SUPERSTRUCTURE1"/>
      <sheetName val="A_O_R_(2)1"/>
      <sheetName val="TBAL9697__grotp_wis272"/>
      <sheetName val="TBAL9697__grotp_wis282"/>
      <sheetName val="TBAL9697__grotp_wis292"/>
      <sheetName val="TBAL9697__grotp_wise_332"/>
      <sheetName val="TBAL9697__grotp_wise_342"/>
      <sheetName val="TBAL9697__grotp_wise_352"/>
      <sheetName val="TBAL9697__grotp_wise_362"/>
      <sheetName val="TBAL9697__grotp_wise_372"/>
      <sheetName val="TBAL9697__grotp_wise_392"/>
      <sheetName val="TBAL9697__grotp_wise_382"/>
      <sheetName val="TBAL9697__grotp_wise_402"/>
      <sheetName val="TBAL9697__grotp_wise_424"/>
      <sheetName val="TBAL9697__grotp_wise_4111"/>
      <sheetName val="TBAL9697__grotp_wise_432"/>
      <sheetName val="TBAL9697__grotp_wise_442"/>
      <sheetName val="TBAL9697__grotp_wise_452"/>
      <sheetName val="TBAL9697__grotp_wise_462"/>
      <sheetName val="TBAL9697__grotp_wise_472"/>
      <sheetName val="TBAL9697__grotp_wise_482"/>
      <sheetName val="TBAL9697__grotp_wise_492"/>
      <sheetName val="TBAL9697__grotp_wise_502"/>
      <sheetName val="TBAL9697__grotp_wise_5111"/>
      <sheetName val="TBAL9697__grotp_wise_522"/>
      <sheetName val="TBAL9697__grotp_wise_582"/>
      <sheetName val="TBAL9697__grotp_wise_532"/>
      <sheetName val="TBAL9697__grotp_wise_542"/>
      <sheetName val="TBAL9697__grotp_wise_552"/>
      <sheetName val="TBAL9697__grotp_wise_572"/>
      <sheetName val="TBAL9697__grotp_wise_562"/>
      <sheetName val="TBAL9697__grotp_wise_592"/>
      <sheetName val="TBAL9697__grotp_wise_602"/>
      <sheetName val="TBAL9697__grotp_wise_6110"/>
      <sheetName val="TBAL9697__grotp_wise_632"/>
      <sheetName val="TBAL9697__grotp_wise_622"/>
      <sheetName val="TBAL9697__grotp_wise_642"/>
      <sheetName val="july_(2)1"/>
      <sheetName val="OLD_IC1"/>
      <sheetName val="TENDER_STUDY1"/>
      <sheetName val="DRG_STUDY1"/>
      <sheetName val="BOUGHT_OUT1"/>
      <sheetName val="RA_1"/>
      <sheetName val="STAFFSCHED_2"/>
      <sheetName val="E_&amp;_R1"/>
      <sheetName val="Input_Rates1"/>
      <sheetName val="1_01_1_to_1_01_51"/>
      <sheetName val="1_01_61"/>
      <sheetName val="1_01_71"/>
      <sheetName val="1_02_11"/>
      <sheetName val="1_03_11"/>
      <sheetName val="1_03_21"/>
      <sheetName val="1_03_31"/>
      <sheetName val="1_04_11"/>
      <sheetName val="1_05_11"/>
      <sheetName val="1_06_11"/>
      <sheetName val="1_06_21"/>
      <sheetName val="2_01_1_to_2_01_5-1"/>
      <sheetName val="2_01_61"/>
      <sheetName val="2_01_71"/>
      <sheetName val="2_01_81"/>
      <sheetName val="2_02_11"/>
      <sheetName val="2_03_11"/>
      <sheetName val="2_03_21"/>
      <sheetName val="2_03_31"/>
      <sheetName val="2_04_11"/>
      <sheetName val="2_05_11"/>
      <sheetName val="2_06_11"/>
      <sheetName val="2_06_21"/>
      <sheetName val="2_07_17"/>
      <sheetName val="2_07_21"/>
      <sheetName val="2_07_31"/>
      <sheetName val="2_07_41"/>
      <sheetName val="2_07_51"/>
      <sheetName val="2_07_61"/>
      <sheetName val="2_07_71"/>
      <sheetName val="2_07_81"/>
      <sheetName val="2_07_91"/>
      <sheetName val="2_07_101"/>
      <sheetName val="2_07_111"/>
      <sheetName val="2_07_121"/>
      <sheetName val="2_07_131"/>
      <sheetName val="2_07_141"/>
      <sheetName val="2_07_151"/>
      <sheetName val="2_07_161"/>
      <sheetName val="3_01_1_to_3_01_51"/>
      <sheetName val="3_01_61"/>
      <sheetName val="3_01_71"/>
      <sheetName val="3_03_11"/>
      <sheetName val="3_03_21"/>
      <sheetName val="3_04_11"/>
      <sheetName val="3_05_11"/>
      <sheetName val="4_01_1_to_4_01_51"/>
      <sheetName val="4_01_61"/>
      <sheetName val="4_01_71"/>
      <sheetName val="4_01_81"/>
      <sheetName val="4_03_11"/>
      <sheetName val="4_03_21"/>
      <sheetName val="4_04_11"/>
      <sheetName val="4_05_11"/>
      <sheetName val="4_07_17"/>
      <sheetName val="4_07_21"/>
      <sheetName val="4_07_31"/>
      <sheetName val="4_07_41"/>
      <sheetName val="4_07_51"/>
      <sheetName val="4_07_61"/>
      <sheetName val="4_07_71"/>
      <sheetName val="4_07_81"/>
      <sheetName val="4_07_91"/>
      <sheetName val="4_07_101"/>
      <sheetName val="4_07_111"/>
      <sheetName val="4_07_121"/>
      <sheetName val="4_07_131"/>
      <sheetName val="4_07_141"/>
      <sheetName val="4_07_151"/>
      <sheetName val="4_07_161"/>
      <sheetName val="5_01_11"/>
      <sheetName val="5_01_21"/>
      <sheetName val="5_01_31"/>
      <sheetName val="5_01_41"/>
      <sheetName val="5_02_11"/>
      <sheetName val="5_02_21"/>
      <sheetName val="5_02_31"/>
      <sheetName val="5_02_41"/>
      <sheetName val="6_01_1_to_6_01_51"/>
      <sheetName val="6_01_61"/>
      <sheetName val="6_02_1_to_6_02_51"/>
      <sheetName val="6_02_61"/>
      <sheetName val="7_01_11"/>
      <sheetName val="7_01_21"/>
      <sheetName val="7_02_11"/>
      <sheetName val="7_02_21"/>
      <sheetName val="7_03_11"/>
      <sheetName val="7_03_21"/>
      <sheetName val="8_01_11"/>
      <sheetName val="8_01_21"/>
      <sheetName val="8_01_31"/>
      <sheetName val="8_01_41"/>
      <sheetName val="BOQ_in_CRN_Formate1"/>
      <sheetName val="Cumul_1"/>
      <sheetName val="GST__Inv__1"/>
      <sheetName val="Ill__Imm__Cert_1"/>
      <sheetName val="Work_Compl__Cert_1"/>
      <sheetName val="Staff_Forecast_spread1"/>
      <sheetName val="APPENDIX_4_1a1"/>
      <sheetName val="IS__8751"/>
      <sheetName val="Boq-_Zero1"/>
      <sheetName val="SB_SCH_A71"/>
      <sheetName val="11_kV_SWGR1"/>
      <sheetName val="exp-ded-jan'_061"/>
      <sheetName val="BOB_DETAILS1"/>
      <sheetName val="BOQ_LT1"/>
      <sheetName val="MN_T_B_1"/>
      <sheetName val="Calculation_Sheet1"/>
      <sheetName val="Column_Detail1"/>
      <sheetName val="CORPN_OT67"/>
      <sheetName val="fa-pl_&amp;_myy_x005f_x000b__x005f_x005f_1"/>
      <sheetName val="ELE_1"/>
      <sheetName val="CC_Road1"/>
      <sheetName val="ACAD_Finishes1"/>
      <sheetName val="Rate_analysis_civil1"/>
      <sheetName val="column_details1"/>
      <sheetName val="General_Shedule_of_rates1"/>
      <sheetName val="TB9798OBPL06_(2)72"/>
      <sheetName val="CORPN_OCT72"/>
      <sheetName val="inout_consol-nov72"/>
      <sheetName val="inout_consol_(2)72"/>
      <sheetName val="AS_ON_DT_EXPS_Mar72"/>
      <sheetName val="fa-pl_&amp;_mach-site72"/>
      <sheetName val="fa_off_eqp72"/>
      <sheetName val="fa_fur&amp;_fix72"/>
      <sheetName val="fa-pl_&amp;_mach-Off72"/>
      <sheetName val="B_Equity-sdpl_INC72"/>
      <sheetName val="inout_consol_wkg72"/>
      <sheetName val="inout_consol_WKNG72"/>
      <sheetName val="B_Sheet_9772"/>
      <sheetName val="P&amp;L_97_72"/>
      <sheetName val="B_Sheet_97-BEXP72"/>
      <sheetName val="P&amp;L_97_-BEXP72"/>
      <sheetName val="consol_flows72"/>
      <sheetName val="sdpl_oth_Liab72"/>
      <sheetName val="obpl-oth_liab72"/>
      <sheetName val="G_land_advance72"/>
      <sheetName val="I-Wip-ot_(2)72"/>
      <sheetName val="detail_WIP_(2)72"/>
      <sheetName val="detail_G-172"/>
      <sheetName val="sobha_menon_ac72"/>
      <sheetName val="pnc_ac72"/>
      <sheetName val="fix_-p_&amp;_M_-SCC72"/>
      <sheetName val="C_fix_asst72"/>
      <sheetName val="D_fix_asst_scdl_72"/>
      <sheetName val="creditors_tb_obpl72"/>
      <sheetName val="TBAL9697_-group_wise__sdpl82"/>
      <sheetName val="TBAL9697_-group_wise_72"/>
      <sheetName val="crs_-G-172"/>
      <sheetName val="TBAL9697_-group_wise__onpl72"/>
      <sheetName val="B_Sheet_97-OBPL72"/>
      <sheetName val="B_Sheet_97_sdpl72"/>
      <sheetName val="TBAL9697_-group_wise__sdpl272"/>
      <sheetName val="inout_consol_jan72"/>
      <sheetName val="consol_flow72"/>
      <sheetName val="D_Loan__Prom72"/>
      <sheetName val="E_Bank_Loan72"/>
      <sheetName val="G_work_Cap72"/>
      <sheetName val="H_land_adv-dec72"/>
      <sheetName val="J_Con_WIP72"/>
      <sheetName val="detail_J72"/>
      <sheetName val="L_Oth_Co72"/>
      <sheetName val="K_fix_asst__72"/>
      <sheetName val="C_fix_asst-SDPL_72"/>
      <sheetName val="TBAL9697__group_wise__sdpl72"/>
      <sheetName val="inout_consol_okg72"/>
      <sheetName val="detail_OIP_(2)72"/>
      <sheetName val="D_fix_ysst_scdl_72"/>
      <sheetName val="cre`itors_tb_obpl72"/>
      <sheetName val="3AL9697_-group_wise__onpl72"/>
      <sheetName val="L_Oth_Bo71"/>
      <sheetName val="3‰AL9697_-group_wise__onpl71"/>
      <sheetName val="Civil_Boq71"/>
      <sheetName val="Project-Material_71"/>
      <sheetName val="Staff_Acco_71"/>
      <sheetName val="SITE_OVERHEADS71"/>
      <sheetName val="Boq_Block_A71"/>
      <sheetName val="PRECAST_lightconc-II69"/>
      <sheetName val="1__PayRec68"/>
      <sheetName val="Cashflow_projection68"/>
      <sheetName val="SPT_vs_PHI68"/>
      <sheetName val="key_dates68"/>
      <sheetName val="Blr_hire68"/>
      <sheetName val="Labor_abs-NMR68"/>
      <sheetName val="3�AL9697_-group_wise__onpl71"/>
      <sheetName val="INPUT_SHEET68"/>
      <sheetName val="ino4t_conso,-nov68"/>
      <sheetName val="(nout_co,sol_(2)68"/>
      <sheetName val="_bpl,oth_lia_68"/>
      <sheetName val="G_,and_adv_nce68"/>
      <sheetName val="I,Wip-ot__2)68"/>
      <sheetName val="det!il_WIP_(2)68"/>
      <sheetName val="de4ail_G-168"/>
      <sheetName val="sobha_mennn_ac68"/>
      <sheetName val="C_&amp;ix_asst68"/>
      <sheetName val="_x005f_x0003_dpl_oth_Lia`68"/>
      <sheetName val="TBAL9697__x005f_x000d_grotp_wise_68"/>
      <sheetName val="St_co_91_5lvl68"/>
      <sheetName val="Sun_E_Type68"/>
      <sheetName val="Fin_Sum68"/>
      <sheetName val="CORPN_O_x005f_x0000_T68"/>
      <sheetName val="SUPPLY_-Sanitary_Fixtures68"/>
      <sheetName val="ITEMS_FOR_CIVIL_TENDER68"/>
      <sheetName val="CORPN_O?T68"/>
      <sheetName val="Stress_Calculation68"/>
      <sheetName val="TBAL9697__x000a_grotp_wise_68"/>
      <sheetName val="CORPN_O68"/>
      <sheetName val="labour_coeff66"/>
      <sheetName val="CORPN_O_T66"/>
      <sheetName val="TBAL9697__grotp_wise_287"/>
      <sheetName val="Shuttering_Analysis66"/>
      <sheetName val="General_P+M66"/>
      <sheetName val="Curing_Analysis_66"/>
      <sheetName val="Concrete_P+M_(_RMC_)66"/>
      <sheetName val="P+M_(_SMC_)66"/>
      <sheetName val="P+M_-EW66"/>
      <sheetName val="P&amp;L_-_AD66"/>
      <sheetName val="_x005f_x005f_x005f_x0003_dpl_oth_Lia`68"/>
      <sheetName val="TBAL9697__x005f_x005f_x005f_x000d_grotp_w68"/>
      <sheetName val="Fin__Assumpt__-_Sensitivities66"/>
      <sheetName val="LOAD_SHEET_66"/>
      <sheetName val="Fill_this_out_first___66"/>
      <sheetName val="Labour_productivity66"/>
      <sheetName val="RCC,Ret__Wall66"/>
      <sheetName val="Area_&amp;_Cate__Master66"/>
      <sheetName val="Cat_A_Change_Control66"/>
      <sheetName val="Break_up_Sheet66"/>
      <sheetName val="Summary_of_P_&amp;_M66"/>
      <sheetName val="DG_68"/>
      <sheetName val="Bill_No_566"/>
      <sheetName val="Sheet_166"/>
      <sheetName val="3BPA00132-5-3_W_plan_HVPNL66"/>
      <sheetName val="Mix_Design66"/>
      <sheetName val="Fee_Rate_Summary66"/>
      <sheetName val="Name_List66"/>
      <sheetName val="BOQ_(2)66"/>
      <sheetName val="FITZ_MORT_9466"/>
      <sheetName val="DLC_lookups66"/>
      <sheetName val="Quote_Sheet66"/>
      <sheetName val="d-safe_DELUXE66"/>
      <sheetName val="Works_-_Quote_Sheet66"/>
      <sheetName val="IO_LIST66"/>
      <sheetName val="TBAL9697__x005f_x000d_grotp_wis66"/>
      <sheetName val="TBAL9697__grotp_wise_288"/>
      <sheetName val="Break_Dw66"/>
      <sheetName val="Structure_Bills_Qty66"/>
      <sheetName val="11B_66"/>
      <sheetName val="TBAL9697__x005f_x000a_grotp_wise_66"/>
      <sheetName val="Driveway_Beams66"/>
      <sheetName val="ISO_Reconcilation_Statment66"/>
      <sheetName val="AVG_pur_rate66"/>
      <sheetName val="Detail_1A66"/>
      <sheetName val="CORPN_O_x005f_x005f_x005f_x0000_T66"/>
      <sheetName val="220_11__BS_66"/>
      <sheetName val="NLD_-_Assum66"/>
      <sheetName val="Cash_Flow_Input_Data_ISC38"/>
      <sheetName val="BLOCK-A_(MEA_SHEET)66"/>
      <sheetName val="Form_666"/>
      <sheetName val="acevsSp_(ABC)66"/>
      <sheetName val="A_O_R_66"/>
      <sheetName val="LIST_OF_MAKES66"/>
      <sheetName val="Intro_66"/>
      <sheetName val="Assumption_Inputs66"/>
      <sheetName val="Civil_Works66"/>
      <sheetName val="TBAL9697__x005f_x005f_x005f_x005f_x005f_x005f_x38"/>
      <sheetName val="General_input11"/>
      <sheetName val="6_0511"/>
      <sheetName val="Abstract_Sheet11"/>
      <sheetName val="Section_Catalogue66"/>
      <sheetName val="Mat_-Rates36"/>
      <sheetName val="DETAILED__BOQ36"/>
      <sheetName val="CABLE_DATA36"/>
      <sheetName val="Tender_Summary19"/>
      <sheetName val="Legal_Risk_Analysis36"/>
      <sheetName val="Boq-_Civil11"/>
      <sheetName val="Site_Dev_BOQ12"/>
      <sheetName val="tie_beam19"/>
      <sheetName val="CORPN_O_x005f_x005f_x005f_x005f_x005f_x005f_x0011"/>
      <sheetName val="INDIGINEOUS_ITEMS_19"/>
      <sheetName val="Excess_Calc11"/>
      <sheetName val="PO_Payroll11"/>
      <sheetName val="Deduction_of_assets15"/>
      <sheetName val="TBAL9697__grotp_wise_289"/>
      <sheetName val="TBAL9697__grotp_wise_1102"/>
      <sheetName val="COP_Final11"/>
      <sheetName val="BOQ_11"/>
      <sheetName val="Elect_12"/>
      <sheetName val="Detail_In_Door_Stad11"/>
      <sheetName val="Gen_Info11"/>
      <sheetName val="TBAL9697__x005f_x005f_x005f_x000a_grotp_w11"/>
      <sheetName val="SPILL_OVER11"/>
      <sheetName val="Data_sheet11"/>
      <sheetName val="Per_Unit11"/>
      <sheetName val="Pacakges_split11"/>
      <sheetName val="Main_Gate_House11"/>
      <sheetName val="final_abstract11"/>
      <sheetName val="Cost_summary11"/>
      <sheetName val="TBAL9697__grotp_wise_290"/>
      <sheetName val="TBAL9697__grotp_wise_421"/>
      <sheetName val="TBAL9697__grotp_wise_321"/>
      <sheetName val="TBAL9697__grotp_wise_519"/>
      <sheetName val="TBAL9697__grotp_wise_617"/>
      <sheetName val="TBAL9697__grotp_wise_716"/>
      <sheetName val="TBAL9697__grotp_wise_816"/>
      <sheetName val="TBAL9697__grotp_wise_916"/>
      <sheetName val="TBAL9697__grotp_wise_1016"/>
      <sheetName val="TBAL9697__grotp_wise_1613"/>
      <sheetName val="TBAL9697__grotp_wise_1215"/>
      <sheetName val="TBAL9697__grotp_wise_1116"/>
      <sheetName val="TBAL9697__grotp_wise_1315"/>
      <sheetName val="TBAL9697__grotp_wise_1414"/>
      <sheetName val="TBAL9697__grotp_wise_1513"/>
      <sheetName val="TBAL9697__grotp_wise_2214"/>
      <sheetName val="TBAL9697__grotp_wise_1712"/>
      <sheetName val="TBAL9697__grotp_wise_1812"/>
      <sheetName val="TBAL9697__grotp_wise_1912"/>
      <sheetName val="TBAL9697__grotp_wise_2012"/>
      <sheetName val="TBAL9697__grotp_wise_2116"/>
      <sheetName val="TBAL9697__grotp_wise_2312"/>
      <sheetName val="TBAL9697__grotp_wise_2412"/>
      <sheetName val="P_&amp;_M10"/>
      <sheetName val="MS_Items10"/>
      <sheetName val="Debits_as_on_12_04_0811"/>
      <sheetName val="Labor_abs-PW11"/>
      <sheetName val="AutoOpen_Stub_Data11"/>
      <sheetName val="Material_11"/>
      <sheetName val="Extra_Item11"/>
      <sheetName val="Labour_&amp;_Plant11"/>
      <sheetName val="Meas_-Hotel_Part11"/>
      <sheetName val="BASIC_RATES11"/>
      <sheetName val="TBAL9697__x005f_x005f_x0012"/>
      <sheetName val="CORPN_O_x005f_x005f_x000011"/>
      <sheetName val="TBAL9697__x005f_x000a_grotp_wis11"/>
      <sheetName val="TBAL9697_-group_wise_sdpl11"/>
      <sheetName val="Lintel_Beam_104_70_(GF)__11"/>
      <sheetName val="_11"/>
      <sheetName val="Contract_Night_Staff11"/>
      <sheetName val="Contract_Day_Staff11"/>
      <sheetName val="Day_Shift11"/>
      <sheetName val="Night_Shift11"/>
      <sheetName val="Base_Assumptions11"/>
      <sheetName val="_COP_100%11"/>
      <sheetName val="lineby_line_consolidation11"/>
      <sheetName val="TBAL9697__grotp_wise_2512"/>
      <sheetName val="TBAL9697__grotp_wise_2612"/>
      <sheetName val="Material_Rate10"/>
      <sheetName val="Rate_analysis10"/>
      <sheetName val="Approved_MTD_Proj_#'s10"/>
      <sheetName val="9__Package_split_-_Cost_10"/>
      <sheetName val="Project_Budget_Worksheet10"/>
      <sheetName val="CORPN_O_x005f_x005f_x005f10"/>
      <sheetName val="Customize_Your_Purchase_Order10"/>
      <sheetName val="fa-pl_&amp;_myy_x005f_x000b__x005f_x000b__x10"/>
      <sheetName val="Area_Statement11"/>
      <sheetName val="Risk_Analysis11"/>
      <sheetName val="SITE_DEVELOPMENT10"/>
      <sheetName val="DDETABLE_10"/>
      <sheetName val="Building_110"/>
      <sheetName val="Lead_(Final)10"/>
      <sheetName val="indices_7"/>
      <sheetName val="Material_List_10"/>
      <sheetName val="Pile_cap7"/>
      <sheetName val="M_S_7"/>
      <sheetName val="TAX_INCOME7"/>
      <sheetName val="Depart_Budget7"/>
      <sheetName val="CC_June7"/>
      <sheetName val="Layer_Table6"/>
      <sheetName val="Basic_Rate10"/>
      <sheetName val="INFLUENCES_ON_GM10"/>
      <sheetName val="Load_Details(B2)10"/>
      <sheetName val="TBAL9697__grotp_wis58"/>
      <sheetName val="CORPN_O_x005f11"/>
      <sheetName val="Detail_P&amp;L7"/>
      <sheetName val="Assumption_Sheet6"/>
      <sheetName val="Bill_3_-_Site_Works10"/>
      <sheetName val="appendix_2_5_final_accounts10"/>
      <sheetName val="Service_Function10"/>
      <sheetName val="SCHEDULE_OF_RATES6"/>
      <sheetName val="schedule_nos10"/>
      <sheetName val="CFForecast_detail10"/>
      <sheetName val="Rate_Analysis_10"/>
      <sheetName val="Sheet3_(2)7"/>
      <sheetName val="Bill_17"/>
      <sheetName val="Bill_27"/>
      <sheetName val="Bill_37"/>
      <sheetName val="Bill_47"/>
      <sheetName val="Bill_57"/>
      <sheetName val="Bill_67"/>
      <sheetName val="Bill_77"/>
      <sheetName val="BS_-_L+OE10"/>
      <sheetName val="소상_&quot;1&quot;7"/>
      <sheetName val="Cost_Basis7"/>
      <sheetName val="beam-reinft-IIInd_floor10"/>
      <sheetName val="CPT_POST_UPLOAD7"/>
      <sheetName val="KQ_Cost_Controlling7"/>
      <sheetName val="KQ_Appropriation7"/>
      <sheetName val="TBAL9697__grotp_wise_2711"/>
      <sheetName val="TBAL9697__grotp_wis59"/>
      <sheetName val="class_&amp;_category7"/>
      <sheetName val="code_Control_Sheet7"/>
      <sheetName val="2_civil-RA7"/>
      <sheetName val="Mat_Cost7"/>
      <sheetName val="Invested_capital_VDF6"/>
      <sheetName val="PV_of_Op_Leases_VDF6"/>
      <sheetName val="BOQ_Distribution10"/>
      <sheetName val="TBAL9697__x0011"/>
      <sheetName val="CORPN_O_x000010"/>
      <sheetName val="GR_slab-reinft10"/>
      <sheetName val="Indirect_expenses10"/>
      <sheetName val="Sheet_210"/>
      <sheetName val="Risk_Assmnt10"/>
      <sheetName val="AoR_Finishing10"/>
      <sheetName val="fa-pl_&amp;_myy_x005f_x000b__7"/>
      <sheetName val="Input_&amp;_Calculations6"/>
      <sheetName val="Cost_Index7"/>
      <sheetName val="New_Construction6"/>
      <sheetName val="Overall_Summary6"/>
      <sheetName val="Summary_CFA_total_-_CP1_&amp;_CP26"/>
      <sheetName val="Sqn-Abs(G+6)_6"/>
      <sheetName val="WO-Abs_(G+2)_6_DUs6"/>
      <sheetName val="Air-Abs(G+6)_23_DUs6"/>
      <sheetName val="5__EA6"/>
      <sheetName val="PA-_Consutant_6"/>
      <sheetName val="Beam_at_Ground_flr_lvl(Steel)6"/>
      <sheetName val="Main_Assump_6"/>
      <sheetName val="BEAM_SCH6"/>
      <sheetName val="SLAB__SCH_6"/>
      <sheetName val="R_MTL6"/>
      <sheetName val="GUT_(2)6"/>
      <sheetName val="MB_Prod6"/>
      <sheetName val="Bill_1-BOQ-Civil_Works6"/>
      <sheetName val="Bill-5_26"/>
      <sheetName val="Bill-9_16"/>
      <sheetName val="Bill-6_1_1-6_1_36"/>
      <sheetName val="RA_Bill_summary_til_Apr196"/>
      <sheetName val="APTIDCO_CV_A_SCOPE6"/>
      <sheetName val="Basic_rate_summary6"/>
      <sheetName val="Basic_rate_calculations6"/>
      <sheetName val="Labor_Rates6"/>
      <sheetName val="Capex_Estimates6"/>
      <sheetName val="General_Assumptions6"/>
      <sheetName val="Rates_7-206"/>
      <sheetName val="rcc(_sub)1"/>
      <sheetName val="L_(4)"/>
      <sheetName val="V_O_4_-_PCC_Qty2"/>
      <sheetName val="CIVIL_BOQ_(Final)6"/>
      <sheetName val="Customize_Your_Invoice6"/>
      <sheetName val="Loan_Amortization_Schedule6"/>
      <sheetName val="organi_synthesis_lab6"/>
      <sheetName val="S-MMS_without_TFA6"/>
      <sheetName val="TBAL9697__grotp_wise_297"/>
      <sheetName val="TBAL9697__grotp_wise_2810"/>
      <sheetName val="TBAL9697__grotp_wise_307"/>
      <sheetName val="CORPN_O_x005f_x005f_x005f_x005f_x005f_x005f_x0056"/>
      <sheetName val="Boq_(Main_Building)6"/>
      <sheetName val="Source_Ref_2"/>
      <sheetName val="Item-_Compact6"/>
      <sheetName val="Manpower_Histogram6"/>
      <sheetName val="TBAL9697__grotp_wis120"/>
      <sheetName val="TBAL9697__grotp_wis220"/>
      <sheetName val="TBAL9697__grotp_wis312"/>
      <sheetName val="TBAL9697__grotp_wis411"/>
      <sheetName val="TBAL9697__grotp_wis510"/>
      <sheetName val="TBAL9697__grotp_wis66"/>
      <sheetName val="TBAL9697__grotp_wis76"/>
      <sheetName val="TBAL9697__grotp_wis86"/>
      <sheetName val="TBAL9697__grotp_wis146"/>
      <sheetName val="TBAL9697__grotp_wis106"/>
      <sheetName val="TBAL9697__grotp_wis96"/>
      <sheetName val="TBAL9697__grotp_wis1111"/>
      <sheetName val="TBAL9697__grotp_wis126"/>
      <sheetName val="TBAL9697__grotp_wis136"/>
      <sheetName val="TBAL9697__grotp_wis206"/>
      <sheetName val="TBAL9697__grotp_wis156"/>
      <sheetName val="TBAL9697__grotp_wis166"/>
      <sheetName val="TBAL9697__grotp_wis176"/>
      <sheetName val="TBAL9697__grotp_wis186"/>
      <sheetName val="TBAL9697__grotp_wis196"/>
      <sheetName val="TBAL9697__grotp_wis2110"/>
      <sheetName val="TBAL9697__grotp_wis226"/>
      <sheetName val="TBAL9697__grotp_wis236"/>
      <sheetName val="TBAL9697__grotp_wis246"/>
      <sheetName val="TBAL9697__grotp_wis256"/>
      <sheetName val="Civil_(RA)__Resi_2"/>
      <sheetName val="Detailed_Summary_(4)6"/>
      <sheetName val="bs_BP_04_SA6"/>
      <sheetName val="Col_up_to_plinth6"/>
      <sheetName val="int__pla_6"/>
      <sheetName val="Break_Up_(bc)2"/>
      <sheetName val="Break_Up_(bc1)2"/>
      <sheetName val="Break_Up_(bc2)2"/>
      <sheetName val="A_O_R_r12"/>
      <sheetName val="A_O_R_r1Str2"/>
      <sheetName val="Order_Info2"/>
      <sheetName val="1st_-vpd2"/>
      <sheetName val="Input_Data2"/>
      <sheetName val="MLCP_Connection_Details2"/>
      <sheetName val="MERGED_CODES_&amp;_NAMES2"/>
      <sheetName val="INPUT_(BPL)2"/>
      <sheetName val="Combined_Results_2"/>
      <sheetName val="Loan_Schedule2"/>
      <sheetName val="Bed_Class2"/>
      <sheetName val="EA_Sheet2"/>
      <sheetName val="GM_0003"/>
      <sheetName val="Table_42"/>
      <sheetName val="Table_52"/>
      <sheetName val="Table_22"/>
      <sheetName val="Table_272"/>
      <sheetName val="M-_Rate2"/>
      <sheetName val="ONE_TIME2"/>
      <sheetName val="Site_Infrastructure1"/>
      <sheetName val="New_C_PM1"/>
      <sheetName val="Client_Addresses1"/>
      <sheetName val="New_May1"/>
      <sheetName val="TB_MAR20041"/>
      <sheetName val="Staffing_Sheet1"/>
      <sheetName val="Data_Elements-Staffing1"/>
      <sheetName val="Basement_Budget6"/>
      <sheetName val="4K_-_(6a)_Non_Manual_Breakdown2"/>
      <sheetName val="Commodity_Plan_Front_Block2"/>
      <sheetName val="Commodity_Plan_Rear_Block2"/>
      <sheetName val="99_조정금액2"/>
      <sheetName val="Boq__structure_2"/>
      <sheetName val="Category_A_-_No_Material2"/>
      <sheetName val="Category_B_-_Major_Works2"/>
      <sheetName val="Category_C_-_Minor_Works2"/>
      <sheetName val="Key_Ass6"/>
      <sheetName val="TBAL9697__grotp_wis60"/>
      <sheetName val="2_0_Floor_Area_Summary"/>
      <sheetName val="Annexue_B1"/>
      <sheetName val="IT-Fri_Base"/>
      <sheetName val="Capital_Structure"/>
      <sheetName val="BASIC_MATERIALS"/>
      <sheetName val="foot-slab_reinft"/>
      <sheetName val="TBAL9697__x005f_x005f_x005f_x005f_x003"/>
      <sheetName val="CORPN_O_x005f_x005f_x005f_x005f_x00002"/>
      <sheetName val="CORPN_O_x005f_x005f_x005f_x005f_x005f1"/>
      <sheetName val="fa-pl_&amp;_myy_x005f_x005f_x005f_x000b__x005f1"/>
      <sheetName val="water_prop_"/>
      <sheetName val="Tie_Beam_Steel-R0-1"/>
      <sheetName val="Staff_Acco_72"/>
      <sheetName val="PB_WORK6"/>
      <sheetName val="Dropdown_list"/>
      <sheetName val="labour_rates1"/>
      <sheetName val="Story_Drift-Part_21"/>
      <sheetName val="Ring_Details"/>
      <sheetName val="Reference_Data"/>
      <sheetName val="TPL_RECEIPTS_MB51"/>
      <sheetName val="ROW_Orders_for_March_05"/>
      <sheetName val="PKG_PO"/>
      <sheetName val="LLM_DPRECEIPTS_MB51"/>
      <sheetName val="ZSEM_stock_(ympc038)"/>
      <sheetName val="MFG_PO"/>
      <sheetName val="Design_sheet"/>
      <sheetName val="N-Amritsar_1351"/>
      <sheetName val="M_R_List_(2)2"/>
      <sheetName val="Operating_Statistics"/>
      <sheetName val="bending_stress"/>
      <sheetName val="Cash_Flow_Working"/>
      <sheetName val="Podium_Areas"/>
      <sheetName val="8__Cover"/>
      <sheetName val="_Tank"/>
      <sheetName val="spare_parts"/>
      <sheetName val="CLEAN_SHEET_COST_FOR_cPVC_PIPE"/>
      <sheetName val="Data_1"/>
      <sheetName val="Rates_Basic"/>
      <sheetName val="G_R_P"/>
      <sheetName val="PSC_REVISED"/>
      <sheetName val="beam-reinft-machine_rm"/>
      <sheetName val="F4_13"/>
      <sheetName val="Beam-design_exp"/>
      <sheetName val="WORK_TABLE"/>
      <sheetName val="Materials_Cost(PCC)"/>
      <sheetName val="PANEL_ANNEXURE1"/>
      <sheetName val="activit-graph__"/>
      <sheetName val="Table-2_(Rate_Comparison)"/>
      <sheetName val="RCC_Rates"/>
      <sheetName val="Column_all_floor_R1"/>
      <sheetName val="Cabinet_details"/>
      <sheetName val="Tools_Rev"/>
      <sheetName val="Balance_Sheet_1"/>
      <sheetName val="cost_centre1"/>
      <sheetName val="INPUT_SHEET_-_A1"/>
      <sheetName val="Default_Values1"/>
      <sheetName val="CASH_CONTRACTS"/>
      <sheetName val="Qty_SR"/>
      <sheetName val="_IO_List"/>
      <sheetName val="DOOR-WINDOW_SCHEDULE"/>
      <sheetName val="Schedule_v1"/>
      <sheetName val="Maturity_Assessment"/>
      <sheetName val="Head_Office-Bud"/>
      <sheetName val="FTE_Information_and_costs"/>
      <sheetName val="Strategic_Planning"/>
      <sheetName val="Calendar_year_Summary_Plan"/>
      <sheetName val="GrossMgn_98"/>
      <sheetName val="SCEL_Funding"/>
      <sheetName val="TBAL9697__grotp_wi11"/>
      <sheetName val="TBAL9697__grotp_wise_3110"/>
      <sheetName val="TBAL9697__grotp_wis261"/>
      <sheetName val="TBAL9697__grotp_wi21"/>
      <sheetName val="TBAL9697__grotp_wi41"/>
      <sheetName val="TBAL9697__grotp_wi31"/>
      <sheetName val="TBAL9697__grotp_wi51"/>
      <sheetName val="TBAL9697__grotp_wi61"/>
      <sheetName val="TBAL9697__grotp_wi71"/>
      <sheetName val="TBAL9697__grotp_wi81"/>
      <sheetName val="TBAL9697__grotp_wi91"/>
      <sheetName val="TBAL9697__grotp_w101"/>
      <sheetName val="TBAL9697__grotp_w161"/>
      <sheetName val="TBAL9697__grotp_w121"/>
      <sheetName val="TBAL9697__grotp_w111"/>
      <sheetName val="TBAL9697__grotp_w131"/>
      <sheetName val="TBAL9697__grotp_w141"/>
      <sheetName val="TBAL9697__grotp_w151"/>
      <sheetName val="TBAL9697__grotp_w221"/>
      <sheetName val="TBAL9697__grotp_w171"/>
      <sheetName val="TBAL9697__grotp_w181"/>
      <sheetName val="TBAL9697__grotp_w191"/>
      <sheetName val="TBAL9697__grotp_w201"/>
      <sheetName val="TBAL9697__grotp_w211"/>
      <sheetName val="TBAL9697__grotp_w231"/>
      <sheetName val="TBAL9697__grotp_w241"/>
      <sheetName val="TBAL9697__grotp_w251"/>
      <sheetName val="TBAL9697__grotp_w261"/>
      <sheetName val="TBAL9697__grotp_w29"/>
      <sheetName val="TBAL9697__grotp_w28"/>
      <sheetName val="TBAL9697__grotp_w27"/>
      <sheetName val="TBAL9697__grotp_w30"/>
      <sheetName val="MASONARY_"/>
      <sheetName val="old_boq"/>
      <sheetName val="Plant_&amp;__Machinery"/>
      <sheetName val="CIP_Summary_0012"/>
      <sheetName val="CIP_Detail_0011"/>
      <sheetName val="99_to_00_blns"/>
      <sheetName val="TBAL9697__grotp_wise_322"/>
      <sheetName val="Ave_wtd_rates"/>
      <sheetName val="Column_BBS-Block9"/>
      <sheetName val="factor_"/>
      <sheetName val="Abt_Foundation_"/>
      <sheetName val="pier_Foundation"/>
      <sheetName val="Master_Rates"/>
      <sheetName val="RATES_(2)"/>
      <sheetName val="MAR_02"/>
      <sheetName val="7_Steel_Rein_"/>
      <sheetName val="MB_FOR_SUPERSTRUCTURE"/>
      <sheetName val="A_O_R_(2)"/>
      <sheetName val="TBAL9697__grotp_wis271"/>
      <sheetName val="TBAL9697__grotp_wis281"/>
      <sheetName val="TBAL9697__grotp_wis291"/>
      <sheetName val="TBAL9697__grotp_wise_331"/>
      <sheetName val="TBAL9697__grotp_wise_341"/>
      <sheetName val="TBAL9697__grotp_wise_351"/>
      <sheetName val="TBAL9697__grotp_wise_361"/>
      <sheetName val="TBAL9697__grotp_wise_371"/>
      <sheetName val="TBAL9697__grotp_wise_391"/>
      <sheetName val="TBAL9697__grotp_wise_381"/>
      <sheetName val="TBAL9697__grotp_wise_401"/>
      <sheetName val="TBAL9697__grotp_wise_422"/>
      <sheetName val="TBAL9697__grotp_wise_4110"/>
      <sheetName val="TBAL9697__grotp_wise_431"/>
      <sheetName val="TBAL9697__grotp_wise_441"/>
      <sheetName val="TBAL9697__grotp_wise_451"/>
      <sheetName val="TBAL9697__grotp_wise_461"/>
      <sheetName val="TBAL9697__grotp_wise_471"/>
      <sheetName val="TBAL9697__grotp_wise_481"/>
      <sheetName val="TBAL9697__grotp_wise_491"/>
      <sheetName val="TBAL9697__grotp_wise_501"/>
      <sheetName val="TBAL9697__grotp_wise_5110"/>
      <sheetName val="TBAL9697__grotp_wise_521"/>
      <sheetName val="TBAL9697__grotp_wise_581"/>
      <sheetName val="TBAL9697__grotp_wise_531"/>
      <sheetName val="TBAL9697__grotp_wise_541"/>
      <sheetName val="TBAL9697__grotp_wise_551"/>
      <sheetName val="TBAL9697__grotp_wise_571"/>
      <sheetName val="TBAL9697__grotp_wise_561"/>
      <sheetName val="TBAL9697__grotp_wise_591"/>
      <sheetName val="TBAL9697__grotp_wise_601"/>
      <sheetName val="TBAL9697__grotp_wise_618"/>
      <sheetName val="TBAL9697__grotp_wise_631"/>
      <sheetName val="TBAL9697__grotp_wise_621"/>
      <sheetName val="TBAL9697__grotp_wise_641"/>
      <sheetName val="july_(2)"/>
      <sheetName val="OLD_IC"/>
      <sheetName val="TENDER_STUDY"/>
      <sheetName val="DRG_STUDY"/>
      <sheetName val="BOUGHT_OUT"/>
      <sheetName val="RA_"/>
      <sheetName val="STAFFSCHED_1"/>
      <sheetName val="E_&amp;_R"/>
      <sheetName val="Input_Rates"/>
      <sheetName val="1_01_1_to_1_01_5"/>
      <sheetName val="1_01_6"/>
      <sheetName val="1_01_7"/>
      <sheetName val="1_02_1"/>
      <sheetName val="1_03_1"/>
      <sheetName val="1_03_2"/>
      <sheetName val="1_03_3"/>
      <sheetName val="1_04_1"/>
      <sheetName val="1_05_1"/>
      <sheetName val="1_06_1"/>
      <sheetName val="1_06_2"/>
      <sheetName val="2_01_1_to_2_01_5-"/>
      <sheetName val="2_01_6"/>
      <sheetName val="2_01_7"/>
      <sheetName val="2_01_8"/>
      <sheetName val="2_02_1"/>
      <sheetName val="2_03_1"/>
      <sheetName val="2_03_2"/>
      <sheetName val="2_03_3"/>
      <sheetName val="2_04_1"/>
      <sheetName val="2_05_1"/>
      <sheetName val="2_06_1"/>
      <sheetName val="2_06_2"/>
      <sheetName val="2_07_1"/>
      <sheetName val="2_07_2"/>
      <sheetName val="2_07_3"/>
      <sheetName val="2_07_4"/>
      <sheetName val="2_07_5"/>
      <sheetName val="2_07_6"/>
      <sheetName val="2_07_7"/>
      <sheetName val="2_07_8"/>
      <sheetName val="2_07_9"/>
      <sheetName val="2_07_10"/>
      <sheetName val="2_07_11"/>
      <sheetName val="2_07_12"/>
      <sheetName val="2_07_13"/>
      <sheetName val="2_07_14"/>
      <sheetName val="2_07_15"/>
      <sheetName val="2_07_16"/>
      <sheetName val="3_01_1_to_3_01_5"/>
      <sheetName val="3_01_6"/>
      <sheetName val="3_01_7"/>
      <sheetName val="3_03_1"/>
      <sheetName val="3_03_2"/>
      <sheetName val="3_04_1"/>
      <sheetName val="3_05_1"/>
      <sheetName val="4_01_1_to_4_01_5"/>
      <sheetName val="4_01_6"/>
      <sheetName val="4_01_7"/>
      <sheetName val="4_01_8"/>
      <sheetName val="4_03_1"/>
      <sheetName val="4_03_2"/>
      <sheetName val="4_04_1"/>
      <sheetName val="4_05_1"/>
      <sheetName val="4_07_1"/>
      <sheetName val="4_07_2"/>
      <sheetName val="4_07_3"/>
      <sheetName val="4_07_4"/>
      <sheetName val="4_07_5"/>
      <sheetName val="4_07_6"/>
      <sheetName val="4_07_7"/>
      <sheetName val="4_07_8"/>
      <sheetName val="4_07_9"/>
      <sheetName val="4_07_10"/>
      <sheetName val="4_07_11"/>
      <sheetName val="4_07_12"/>
      <sheetName val="4_07_13"/>
      <sheetName val="4_07_14"/>
      <sheetName val="4_07_15"/>
      <sheetName val="4_07_16"/>
      <sheetName val="5_01_1"/>
      <sheetName val="5_01_2"/>
      <sheetName val="5_01_3"/>
      <sheetName val="5_01_4"/>
      <sheetName val="5_02_1"/>
      <sheetName val="5_02_2"/>
      <sheetName val="5_02_3"/>
      <sheetName val="5_02_4"/>
      <sheetName val="6_01_1_to_6_01_5"/>
      <sheetName val="6_01_6"/>
      <sheetName val="6_02_1_to_6_02_5"/>
      <sheetName val="6_02_6"/>
      <sheetName val="7_01_1"/>
      <sheetName val="7_01_2"/>
      <sheetName val="7_02_1"/>
      <sheetName val="7_02_2"/>
      <sheetName val="7_03_1"/>
      <sheetName val="7_03_2"/>
      <sheetName val="8_01_1"/>
      <sheetName val="8_01_2"/>
      <sheetName val="8_01_3"/>
      <sheetName val="8_01_4"/>
      <sheetName val="BOQ_in_CRN_Formate"/>
      <sheetName val="Cumul_"/>
      <sheetName val="GST__Inv__"/>
      <sheetName val="Ill__Imm__Cert_"/>
      <sheetName val="Work_Compl__Cert_"/>
      <sheetName val="Staff_Forecast_spread"/>
      <sheetName val="APPENDIX_4_1a"/>
      <sheetName val="IS__875"/>
      <sheetName val="Boq-_Zero"/>
      <sheetName val="SB_SCH_A7"/>
      <sheetName val="11_kV_SWGR"/>
      <sheetName val="exp-ded-jan'_06"/>
      <sheetName val="BOB_DETAILS"/>
      <sheetName val="BOQ_LT"/>
      <sheetName val="MN_T_B_"/>
      <sheetName val="Calculation_Sheet"/>
      <sheetName val="Column_Detail"/>
      <sheetName val="fa-pl_&amp;_myy_x005f_x000b__x005f_x005f_"/>
      <sheetName val="ELE_"/>
      <sheetName val="CC_Road"/>
      <sheetName val="ACAD_Finishes"/>
      <sheetName val="Rate_analysis_civil"/>
      <sheetName val="column_details"/>
      <sheetName val="General_Shedule_of_rates"/>
      <sheetName val="Rate analysis- BOQ 1 "/>
      <sheetName val="co_5"/>
      <sheetName val="B1"/>
      <sheetName val="grid"/>
      <sheetName val="Desgn(zone I)"/>
      <sheetName val="PRELIM5"/>
      <sheetName val="procurement"/>
      <sheetName val="TBAL9697O_x000a_grotp_wis19"/>
      <sheetName val="Guidelines"/>
      <sheetName val="工程量"/>
      <sheetName val="XLR_NoRangeShee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DATI_CONS"/>
      <sheetName val="rc01"/>
      <sheetName val="% prog figs -u5 and total"/>
      <sheetName val="GM &amp; TA"/>
      <sheetName val=" G,O A"/>
      <sheetName val="21"/>
      <sheetName val="Summary Transformers"/>
      <sheetName val="RELAYS"/>
      <sheetName val="Gravel in pond"/>
      <sheetName val="SPILL OVER PROJECTIONS"/>
      <sheetName val="dlvoid"/>
      <sheetName val="horizontal"/>
      <sheetName val="Output"/>
      <sheetName val="cul-invSUBMITTED"/>
      <sheetName val="dev stmt -sde"/>
      <sheetName val="Sump_cal"/>
      <sheetName val="3"/>
      <sheetName val="Bill No 2 to 8 (Rev)"/>
      <sheetName val="Actuals_by_Job"/>
      <sheetName val="Outlook"/>
      <sheetName val="DOOR-WIND"/>
      <sheetName val="Hotel rollout plan- Toggle"/>
      <sheetName val="TRIAL BALANCE"/>
      <sheetName val="T&amp;M"/>
      <sheetName val="Vehicles"/>
      <sheetName val="TBAL9697__x000d_grotp_w31"/>
      <sheetName val="TBAL9697__x000d_grotp_w32"/>
      <sheetName val="TBAL9697__x000d_grotp_w33"/>
      <sheetName val="_x0003_dpl_oth_Lia`66"/>
      <sheetName val="TBAL9697__x000d_grotp_wise_66"/>
      <sheetName val="CORPN_O_x0000_T66"/>
      <sheetName val="TBAL9697__x005f_x000d_grotp_w66"/>
      <sheetName val="TBAL9697__x000d_grotp_wis64"/>
      <sheetName val="TBAL9697__x005f_x005f_x36"/>
      <sheetName val="CORPN_O_x005f_x005f_x0009"/>
      <sheetName val="TBAL9697__x005f_x000a_grotp_wi9"/>
      <sheetName val="fa-pl_&amp;_myy_x000b__x000b__x08"/>
      <sheetName val="fa-pl_&amp;_myy_x000b__5"/>
      <sheetName val="CORPN_O_x005f_x005f_x0054"/>
      <sheetName val="_x0003_dpl_oth_Lia`67"/>
      <sheetName val="TBAL9697__x000d_grotp_wise_67"/>
      <sheetName val="CORPN_O_x0000_T67"/>
      <sheetName val="TBAL9697__x005f_x000d_grotp_w67"/>
      <sheetName val="TBAL9697__x000d_grotp_wis65"/>
      <sheetName val="TBAL9697__x005f_x005f_x37"/>
      <sheetName val="TBAL9697__x005f_x000a_grotp_w10"/>
      <sheetName val="CORPN_O_x005f_x005f_x0010"/>
      <sheetName val="fa-pl_&amp;_myy_x000b__x000b__x09"/>
      <sheetName val="fa-pl_&amp;_myy_x000b__6"/>
      <sheetName val="CORPN_O_x005f_x005f_x0055"/>
      <sheetName val="TBAL9697__x000d_grotp_w38"/>
      <sheetName val="TBAL9697_ grotp_wis36"/>
      <sheetName val="TBAL9697__x000d_grotp_w34"/>
      <sheetName val="TBAL9697__x000d_grotp_w35"/>
      <sheetName val="TBAL9697__x000d_grotp_w36"/>
      <sheetName val="TBAL9697__x000d_grotp_w37"/>
      <sheetName val="TBAL9697__x000d_grotp_w44"/>
      <sheetName val="TBAL9697_ grotp_wis42"/>
      <sheetName val="TBAL9697__x000d_grotp_w39"/>
      <sheetName val="TBAL9697_ grotp_wis37"/>
      <sheetName val="TBAL9697__x000d_grotp_w40"/>
      <sheetName val="TBAL9697_ grotp_wis38"/>
      <sheetName val="TBAL9697__x000d_grotp_w42"/>
      <sheetName val="TBAL9697_ grotp_wis40"/>
      <sheetName val="TBAL9697__x000d_grotp_w41"/>
      <sheetName val="TBAL9697_ grotp_wis39"/>
      <sheetName val="TBAL9697__x000d_grotp_w43"/>
      <sheetName val="TBAL9697_ grotp_wis41"/>
      <sheetName val="TBAL9697__x000d_grotp_w45"/>
      <sheetName val="TBAL9697_ grotp_wis43"/>
      <sheetName val="TBAL9697__x000d_grotp_w58"/>
      <sheetName val="TBAL9697_ grotp_wis56"/>
      <sheetName val="TBAL9697__x000d_grotp_w46"/>
      <sheetName val="TBAL9697_ grotp_wis44"/>
      <sheetName val="TBAL9697__x000d_grotp_w47"/>
      <sheetName val="TBAL9697_ grotp_wis45"/>
      <sheetName val="TBAL9697__x000d_grotp_w50"/>
      <sheetName val="TBAL9697_ grotp_wis48"/>
      <sheetName val="TBAL9697__x000d_grotp_w48"/>
      <sheetName val="TBAL9697_ grotp_wis46"/>
      <sheetName val="TBAL9697__x000d_grotp_w49"/>
      <sheetName val="TBAL9697_ grotp_wis47"/>
      <sheetName val="TBAL9697__x000d_grotp_w51"/>
      <sheetName val="TBAL9697_ grotp_wis49"/>
      <sheetName val="TBAL9697__x000d_grotp_w52"/>
      <sheetName val="TBAL9697_ grotp_wis50"/>
      <sheetName val="TBAL9697__x000d_grotp_w53"/>
      <sheetName val="TBAL9697_ grotp_wis51"/>
      <sheetName val="TBAL9697__x000d_grotp_w54"/>
      <sheetName val="TBAL9697_ grotp_wis52"/>
      <sheetName val="TBAL9697__x000d_grotp_w55"/>
      <sheetName val="TBAL9697_ grotp_wis53"/>
      <sheetName val="TBAL9697__x000d_grotp_w57"/>
      <sheetName val="TBAL9697_ grotp_wis55"/>
      <sheetName val="TBAL9697__x000d_grotp_w56"/>
      <sheetName val="TBAL9697_ grotp_wis54"/>
      <sheetName val="TBAL9697__x000d_grotp_w59"/>
      <sheetName val="TBAL9697_ grotp_wis57"/>
      <sheetName val="TBAL9697__x000d_grotp_w60"/>
      <sheetName val="TBAL9697_ grotp_wis58"/>
      <sheetName val="TBAL9697__x000d_grotp_w61"/>
      <sheetName val="TBAL9697_ grotp_wis59"/>
      <sheetName val="NC"/>
      <sheetName val="DSLP"/>
      <sheetName val="LTG-STG"/>
      <sheetName val="SC Cost FEB 03"/>
      <sheetName val="Builtup Area"/>
      <sheetName val="Roof  PT beams "/>
      <sheetName val="Rocker"/>
      <sheetName val="Misc. Data"/>
      <sheetName val="2nd "/>
      <sheetName val="Options"/>
      <sheetName val="PriceCalculation"/>
      <sheetName val="Area St"/>
      <sheetName val="GF Columns"/>
      <sheetName val="PRECAST lightconc_II"/>
      <sheetName val="FA BOQ"/>
      <sheetName val="Page 2"/>
      <sheetName val="BOQ_Direct_selling cost"/>
      <sheetName val="방배동내역(리라)"/>
      <sheetName val="Summary Part 1"/>
      <sheetName val="TBAL9697__x005f_x005f_x005f_x005f_x008"/>
      <sheetName val="CORPN_O_x005f_x005f_x005f_x005f_x00007"/>
      <sheetName val="CORPN_O_x005f_x005f_x005f_x005f_x005f6"/>
      <sheetName val="fa-pl_&amp;_myy_x005f_x005f_x005f_x000b__x005f6"/>
      <sheetName val="V_O_4_-_PCC_Qty6"/>
      <sheetName val="Commodity_Plan_Front_Block6"/>
      <sheetName val="Commodity_Plan_Rear_Block6"/>
      <sheetName val="99_조정금액6"/>
      <sheetName val="Boq__structure_6"/>
      <sheetName val="Category_A_-_No_Material6"/>
      <sheetName val="Category_B_-_Major_Works6"/>
      <sheetName val="Category_C_-_Minor_Works6"/>
      <sheetName val="L_(4)3"/>
      <sheetName val="Operating_Statistics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Design_sheet3"/>
      <sheetName val="TBAL9697__x005f_x005f_x005f_x005f_x006"/>
      <sheetName val="CORPN_O_x005f_x005f_x005f_x005f_x00005"/>
      <sheetName val="CORPN_O_x005f_x005f_x005f_x005f_x005f4"/>
      <sheetName val="fa-pl_&amp;_myy_x005f_x005f_x005f_x000b__x005f4"/>
      <sheetName val="TBAL9697__x005f_x005f_x005f_x005f_x007"/>
      <sheetName val="CORPN_O_x005f_x005f_x005f_x005f_x00006"/>
      <sheetName val="CORPN_O_x005f_x005f_x005f_x005f_x005f5"/>
      <sheetName val="fa-pl_&amp;_myy_x005f_x005f_x005f_x000b__x005f5"/>
      <sheetName val="V_O_4_-_PCC_Qty5"/>
      <sheetName val="Commodity_Plan_Front_Block5"/>
      <sheetName val="Commodity_Plan_Rear_Block5"/>
      <sheetName val="99_조정금액5"/>
      <sheetName val="Boq__structure_5"/>
      <sheetName val="Category_A_-_No_Material5"/>
      <sheetName val="Category_B_-_Major_Works5"/>
      <sheetName val="Category_C_-_Minor_Works5"/>
      <sheetName val="JACKWELL"/>
      <sheetName val="Grouped TB_2004_05"/>
      <sheetName val="Variables_x"/>
      <sheetName val="Cost Rates"/>
      <sheetName val="LOOKUP(MM)"/>
      <sheetName val="water_prop_3"/>
      <sheetName val="Tie_Beam_Steel-R0-13"/>
      <sheetName val="Dropdown_list3"/>
      <sheetName val="Ring_Details3"/>
      <sheetName val="Reference_Data3"/>
      <sheetName val="TBAL9697__grotp_wise_3113"/>
      <sheetName val="IT-Fri_Base3"/>
      <sheetName val="Capital_Structure3"/>
      <sheetName val="BASIC_MATERIALS3"/>
      <sheetName val="Plant_&amp;__Machinery3"/>
      <sheetName val="Staff_Acco_77"/>
      <sheetName val="TBAL9697__grotp_wise_329"/>
      <sheetName val="water_prop_4"/>
      <sheetName val="Tie_Beam_Steel-R0-14"/>
      <sheetName val="Staff_Acco_78"/>
      <sheetName val="Dropdown_list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Design_sheet4"/>
      <sheetName val="Story_Drift-Part_24"/>
      <sheetName val="Ring_Details4"/>
      <sheetName val="Reference_Data4"/>
      <sheetName val="Site_Infrastructure4"/>
      <sheetName val="INPUT_SHEET_-_A5"/>
      <sheetName val="TBAL9697__grotp_wise_3114"/>
      <sheetName val="TBAL9697__grotp_wise_3210"/>
      <sheetName val="labour_rates4"/>
      <sheetName val="Annexue_B4"/>
      <sheetName val="rcc(_sub)4"/>
      <sheetName val="L_(4)4"/>
      <sheetName val="IT-Fri_Base4"/>
      <sheetName val="Capital_Structure4"/>
      <sheetName val="BASIC_MATERIALS4"/>
      <sheetName val="Plant_&amp;__Machinery4"/>
      <sheetName val="(Do not delete)"/>
      <sheetName val="p_m"/>
      <sheetName val="Title"/>
      <sheetName val="BULook"/>
      <sheetName val="wks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 refreshError="1"/>
      <sheetData sheetId="1027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/>
      <sheetData sheetId="1564" refreshError="1"/>
      <sheetData sheetId="1565" refreshError="1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 refreshError="1"/>
      <sheetData sheetId="2159" refreshError="1"/>
      <sheetData sheetId="2160"/>
      <sheetData sheetId="2161" refreshError="1"/>
      <sheetData sheetId="2162" refreshError="1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 refreshError="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/>
      <sheetData sheetId="3944"/>
      <sheetData sheetId="3945"/>
      <sheetData sheetId="3946"/>
      <sheetData sheetId="3947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 refreshError="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/>
      <sheetData sheetId="4727" refreshError="1"/>
      <sheetData sheetId="4728"/>
      <sheetData sheetId="4729" refreshError="1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/>
      <sheetData sheetId="5792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/>
      <sheetData sheetId="5825" refreshError="1"/>
      <sheetData sheetId="5826"/>
      <sheetData sheetId="5827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/>
      <sheetData sheetId="6547"/>
      <sheetData sheetId="6548"/>
      <sheetData sheetId="6549"/>
      <sheetData sheetId="6550" refreshError="1"/>
      <sheetData sheetId="6551" refreshError="1"/>
      <sheetData sheetId="6552" refreshError="1"/>
      <sheetData sheetId="6553"/>
      <sheetData sheetId="6554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/>
      <sheetData sheetId="6577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/>
      <sheetData sheetId="659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 refreshError="1"/>
      <sheetData sheetId="6642"/>
      <sheetData sheetId="6643"/>
      <sheetData sheetId="6644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 refreshError="1"/>
      <sheetData sheetId="6731" refreshError="1"/>
      <sheetData sheetId="6732" refreshError="1"/>
      <sheetData sheetId="6733" refreshError="1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 refreshError="1"/>
      <sheetData sheetId="6761" refreshError="1"/>
      <sheetData sheetId="6762" refreshError="1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 refreshError="1"/>
      <sheetData sheetId="6773"/>
      <sheetData sheetId="6774"/>
      <sheetData sheetId="6775"/>
      <sheetData sheetId="6776"/>
      <sheetData sheetId="6777"/>
      <sheetData sheetId="6778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/>
      <sheetData sheetId="6920" refreshError="1"/>
      <sheetData sheetId="6921" refreshError="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/>
      <sheetData sheetId="11226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/>
      <sheetData sheetId="11319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/>
      <sheetData sheetId="11357"/>
      <sheetData sheetId="11358"/>
      <sheetData sheetId="11359" refreshError="1"/>
      <sheetData sheetId="11360" refreshError="1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/>
      <sheetData sheetId="12777"/>
      <sheetData sheetId="12778"/>
      <sheetData sheetId="12779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/>
      <sheetData sheetId="12826"/>
      <sheetData sheetId="12827"/>
      <sheetData sheetId="12828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/>
      <sheetData sheetId="14227" refreshError="1"/>
      <sheetData sheetId="14228" refreshError="1"/>
      <sheetData sheetId="14229"/>
      <sheetData sheetId="14230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/>
      <sheetData sheetId="14285" refreshError="1"/>
      <sheetData sheetId="14286" refreshError="1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/>
      <sheetData sheetId="16455" refreshError="1"/>
      <sheetData sheetId="16456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/>
      <sheetData sheetId="16561" refreshError="1"/>
      <sheetData sheetId="16562" refreshError="1"/>
      <sheetData sheetId="16563" refreshError="1"/>
      <sheetData sheetId="16564" refreshError="1"/>
      <sheetData sheetId="16565"/>
      <sheetData sheetId="16566" refreshError="1"/>
      <sheetData sheetId="16567" refreshError="1"/>
      <sheetData sheetId="16568" refreshError="1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 refreshError="1"/>
      <sheetData sheetId="16650" refreshError="1"/>
      <sheetData sheetId="16651" refreshError="1"/>
      <sheetData sheetId="16652" refreshError="1"/>
      <sheetData sheetId="1665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arative statement"/>
      <sheetName val="RA-markate"/>
      <sheetName val="RA_markate"/>
      <sheetName val="TBAL9697 -group wise  sdpl"/>
      <sheetName val="Labor abs-NMR"/>
      <sheetName val="Labor abs-PW"/>
      <sheetName val="Rate analysis"/>
      <sheetName val="std"/>
      <sheetName val="Staff Acco.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madation"/>
      <sheetName val="RENT MASTER FILE"/>
      <sheetName val="TBAL9697 -group wise  sdpl"/>
      <sheetName val="gen"/>
      <sheetName val="Break up Sheet"/>
      <sheetName val="RENT_MASTER_FILE"/>
      <sheetName val="TBAL9697_-group_wise__sdpl"/>
      <sheetName val="Break_up_Sheet"/>
      <sheetName val="RA-markate"/>
      <sheetName val="Rate analysis"/>
      <sheetName val="환율"/>
      <sheetName val="Builtup Area"/>
      <sheetName val="RENT_MASTER_FILE6"/>
      <sheetName val="TBAL9697_-group_wise__sdpl6"/>
      <sheetName val="Break_up_Sheet6"/>
      <sheetName val="Rate_analysis5"/>
      <sheetName val="RENT_MASTER_FILE4"/>
      <sheetName val="TBAL9697_-group_wise__sdpl4"/>
      <sheetName val="Break_up_Sheet4"/>
      <sheetName val="Rate_analysis3"/>
      <sheetName val="RENT_MASTER_FILE3"/>
      <sheetName val="TBAL9697_-group_wise__sdpl3"/>
      <sheetName val="Break_up_Sheet3"/>
      <sheetName val="Rate_analysis2"/>
      <sheetName val="RENT_MASTER_FILE1"/>
      <sheetName val="TBAL9697_-group_wise__sdpl1"/>
      <sheetName val="Break_up_Sheet1"/>
      <sheetName val="Rate_analysis"/>
      <sheetName val="RENT_MASTER_FILE2"/>
      <sheetName val="TBAL9697_-group_wise__sdpl2"/>
      <sheetName val="Break_up_Sheet2"/>
      <sheetName val="Rate_analysis1"/>
      <sheetName val="RENT_MASTER_FILE5"/>
      <sheetName val="TBAL9697_-group_wise__sdpl5"/>
      <sheetName val="Break_up_Sheet5"/>
      <sheetName val="Rate_analysis4"/>
      <sheetName val="Design"/>
      <sheetName val="Labor abs-NMR"/>
      <sheetName val="RENT_MASTER_FILE7"/>
      <sheetName val="TBAL9697_-group_wise__sdpl7"/>
      <sheetName val="Break_up_Sheet7"/>
      <sheetName val="Rate_analysis6"/>
      <sheetName val="Builtup_Area"/>
      <sheetName val="Labor_abs-NMR"/>
      <sheetName val="Table"/>
      <sheetName val="RENT_MASTER_FILE8"/>
      <sheetName val="TBAL9697_-group_wise__sdpl8"/>
      <sheetName val="Break_up_Sheet8"/>
      <sheetName val="Rate_analysis7"/>
      <sheetName val="Builtup_Area1"/>
      <sheetName val="Labor_abs-NMR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RENT MASTER FILE"/>
      <sheetName val="RA-markate"/>
      <sheetName val="Break up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teel abstract"/>
      <sheetName val="Pile-Abs"/>
      <sheetName val="Steel qty"/>
      <sheetName val="Making Qty"/>
      <sheetName val="Test Piles"/>
      <sheetName val="mass exca"/>
      <sheetName val="BACK FILLING"/>
      <sheetName val="PILE-PODIUM-1 "/>
      <sheetName val="PILE-PODIUM-2-PILE"/>
      <sheetName val="PILE-PODIUM-3"/>
      <sheetName val="PILE-NW 02"/>
      <sheetName val="PILE-NW 03 "/>
      <sheetName val="Pile-EW 01"/>
      <sheetName val="PILE-SW 04"/>
      <sheetName val="Podium -P1-Plinth Beam"/>
      <sheetName val="Podium-Beam "/>
      <sheetName val="Podium-2-Beam"/>
      <sheetName val="Plinth Beam-NW 03"/>
      <sheetName val="Plinth Beam-EW 01"/>
      <sheetName val="NW-02-Beam-Stilt 02 &amp; GF"/>
      <sheetName val="Beam-Stilt 02 &amp; GF"/>
      <sheetName val="BeamRft-Stilt 02 &amp; GF"/>
      <sheetName val="BeamRft Typ-NW 03"/>
      <sheetName val="Beam-NW-02"/>
      <sheetName val="Beam-EW01"/>
      <sheetName val="Beam-Rft- SW04"/>
      <sheetName val="Podium-2-Slab"/>
      <sheetName val="Stilt 01 - Grade Slab "/>
      <sheetName val="Stilt 02 &amp; GF Slab"/>
      <sheetName val="Slab Typ - NW02"/>
      <sheetName val="Slab typ-NW 03"/>
      <sheetName val="Slab-NW-02"/>
      <sheetName val="Slab typ -EW 01 "/>
      <sheetName val="Slab typ -SW04"/>
      <sheetName val="Podium-Slab"/>
      <sheetName val="Column -Podium "/>
      <sheetName val="Column -Podium-02 "/>
      <sheetName val="Column -Podium-03"/>
      <sheetName val="Column -NW 02"/>
      <sheetName val="Column -NW 03"/>
      <sheetName val="Column -EW 01"/>
      <sheetName val="Column -SW 04"/>
      <sheetName val="SW -NW 02 "/>
      <sheetName val="SW- NW 02-Typ"/>
      <sheetName val="SW -NW 03 "/>
      <sheetName val="SW- NW03-Typ"/>
      <sheetName val="NW03-Shear wall "/>
      <sheetName val="SW - EW 01"/>
      <sheetName val="SW- EW04-Typ "/>
      <sheetName val="SW - SW 04"/>
      <sheetName val="SW-SW12-Typ"/>
      <sheetName val="Ramp1 details"/>
      <sheetName val="Ramp 02 details"/>
      <sheetName val="Batching plant"/>
      <sheetName val=" NW02 Staircase"/>
      <sheetName val="NW03-Typ-Staircase"/>
      <sheetName val="SW04-Typ-Staircase"/>
      <sheetName val="EW01 &amp; NW03 Staircase"/>
      <sheetName val="Head room slab-NW03"/>
      <sheetName val="Head room beam -EW-01"/>
      <sheetName val="Head room slab-SW-12"/>
      <sheetName val="Parapet wall"/>
      <sheetName val="Techno Craft"/>
      <sheetName val="Techno Craft - Projection"/>
      <sheetName val="Floor Area"/>
      <sheetName val="LMR-NW-03"/>
      <sheetName val="LMR-EW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ReportVendorwise.rpt"/>
      <sheetName val="Recon "/>
      <sheetName val="AS PER TALLY"/>
      <sheetName val="04-05"/>
      <sheetName val="04-05 Det"/>
      <sheetName val="05-06"/>
      <sheetName val="DET05-06"/>
      <sheetName val="Working sheet"/>
      <sheetName val="Macro"/>
      <sheetName val="Micro"/>
      <sheetName val="A block"/>
      <sheetName val="B block"/>
      <sheetName val="master QTY"/>
      <sheetName val="A-Class material new"/>
      <sheetName val="MS Items"/>
      <sheetName val="preliminaries"/>
      <sheetName val="Establishment ch "/>
      <sheetName val="Staff Salary"/>
      <sheetName val="Training sheet"/>
      <sheetName val="COST-SFT-SHUT"/>
      <sheetName val="Shuttering Working"/>
      <sheetName val="Shuttering"/>
      <sheetName val="Scaffolding  @ THE END"/>
      <sheetName val="Scaffolding Ch"/>
      <sheetName val="Mobalisation"/>
      <sheetName val="steel up "/>
      <sheetName val="PM CH1"/>
      <sheetName val="PM Recon"/>
      <sheetName val="PM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Safety"/>
      <sheetName val="Tools"/>
      <sheetName val="Tools new"/>
      <sheetName val="powertools"/>
      <sheetName val="Spares nw"/>
      <sheetName val="cement&amp;whitecement"/>
      <sheetName val="blockwork Qty."/>
      <sheetName val="c-classnw"/>
      <sheetName val="A_Class material new"/>
      <sheetName val="RENT MASTER FILE"/>
      <sheetName val="TBAL9697 -group wise  sdpl"/>
      <sheetName val="dBase"/>
      <sheetName val="Structure Bills Qty"/>
      <sheetName val="cutting fint_x0000_"/>
      <sheetName val="Data"/>
      <sheetName val="Lead"/>
      <sheetName val="Meas.-Hotel Part"/>
      <sheetName val="Invoice"/>
      <sheetName val="expenses up to 07-08"/>
      <sheetName val="Package split - Cost"/>
      <sheetName val="F&amp;B"/>
      <sheetName val="#REF"/>
      <sheetName val="Kitchen"/>
      <sheetName val="Housek"/>
      <sheetName val="Maint"/>
      <sheetName val="Cashflow projection"/>
      <sheetName val="Fill this out first..."/>
      <sheetName val="cutting fint"/>
      <sheetName val="concrete"/>
      <sheetName val="beam-reinft-IIInd floor"/>
      <sheetName val="cutting fint?"/>
      <sheetName val="WORK TABLE"/>
      <sheetName val="p&amp;m"/>
      <sheetName val="Inter connect Revenue"/>
      <sheetName val="cutting fint_"/>
      <sheetName val="Break up Sheet"/>
      <sheetName val="labour coeff"/>
      <sheetName val="ACS(1)"/>
      <sheetName val="FAS-C(4)"/>
      <sheetName val="CCTV(old)"/>
      <sheetName val="Sheet2"/>
      <sheetName val="Data sheet"/>
      <sheetName val="TULIP new PQS"/>
      <sheetName val="Sheet1"/>
      <sheetName val="Fin Sum"/>
      <sheetName val="girder"/>
      <sheetName val="PRECAST lightconc-II"/>
      <sheetName val="MenuData"/>
      <sheetName val="Parameter"/>
      <sheetName val="Mat_Cost"/>
      <sheetName val="factors"/>
      <sheetName val="Sheet3"/>
      <sheetName val="Sun E Type"/>
      <sheetName val="DetEst"/>
      <sheetName val="labour"/>
      <sheetName val="Shuttering analysis (2)"/>
      <sheetName val="FORM7"/>
      <sheetName val="MaterialReportVendorwise_rpt"/>
      <sheetName val="Recon_"/>
      <sheetName val="AS_PER_TALLY"/>
      <sheetName val="04-05_Det"/>
      <sheetName val="Working_sheet"/>
      <sheetName val="A_block"/>
      <sheetName val="B_block"/>
      <sheetName val="master_QTY"/>
      <sheetName val="A-Class_material_new"/>
      <sheetName val="MS_Items"/>
      <sheetName val="Establishment_ch_"/>
      <sheetName val="Staff_Salary"/>
      <sheetName val="Training_sheet"/>
      <sheetName val="Shuttering_Working"/>
      <sheetName val="Scaffolding__@_THE_END"/>
      <sheetName val="Scaffolding_Ch"/>
      <sheetName val="steel_up_"/>
      <sheetName val="PM_CH1"/>
      <sheetName val="PM_Recon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Tools_new"/>
      <sheetName val="Spares_nw"/>
      <sheetName val="blockwork_Qty_"/>
      <sheetName val="A_Class_material_new"/>
      <sheetName val="RENT_MASTER_FILE"/>
      <sheetName val="TBAL9697_-group_wise__sdpl"/>
      <sheetName val="Structure_Bills_Qty"/>
      <sheetName val="cutting_fint"/>
      <sheetName val="Meas_-Hotel_Part"/>
      <sheetName val="expenses_up_to_07-08"/>
      <sheetName val="Package_split_-_Cost"/>
      <sheetName val="Cashflow_projection"/>
      <sheetName val="Fill_this_out_first___"/>
      <sheetName val="beam-reinft-IIInd_floor"/>
      <sheetName val="cutting_fint?"/>
      <sheetName val="WORK_TABLE"/>
      <sheetName val="Inter_connect_Revenue"/>
      <sheetName val="cutting_fint_"/>
      <sheetName val="Break_up_Sheet"/>
      <sheetName val="RA-markate"/>
      <sheetName val="gen"/>
      <sheetName val="gVL"/>
      <sheetName val="Costing"/>
      <sheetName val="COST"/>
      <sheetName val="Income Statement"/>
      <sheetName val="Name List"/>
      <sheetName val="design"/>
      <sheetName val="Per Unit"/>
      <sheetName val="MaterialReportVendorwise_rpt6"/>
      <sheetName val="Recon_6"/>
      <sheetName val="AS_PER_TALLY6"/>
      <sheetName val="04-05_Det6"/>
      <sheetName val="Working_sheet6"/>
      <sheetName val="A_block6"/>
      <sheetName val="B_block6"/>
      <sheetName val="master_QTY6"/>
      <sheetName val="A-Class_material_new6"/>
      <sheetName val="MS_Items6"/>
      <sheetName val="Establishment_ch_6"/>
      <sheetName val="Staff_Salary6"/>
      <sheetName val="Training_sheet6"/>
      <sheetName val="Shuttering_Working6"/>
      <sheetName val="Scaffolding__@_THE_END6"/>
      <sheetName val="Scaffolding_Ch6"/>
      <sheetName val="steel_up_6"/>
      <sheetName val="PM_CH16"/>
      <sheetName val="PM_Recon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Tools_new6"/>
      <sheetName val="Spares_nw6"/>
      <sheetName val="blockwork_Qty_6"/>
      <sheetName val="A_Class_material_new6"/>
      <sheetName val="RENT_MASTER_FILE6"/>
      <sheetName val="TBAL9697_-group_wise__sdpl6"/>
      <sheetName val="Structure_Bills_Qty6"/>
      <sheetName val="Meas_-Hotel_Part6"/>
      <sheetName val="expenses_up_to_07-086"/>
      <sheetName val="Package_split_-_Cost6"/>
      <sheetName val="Cashflow_projection6"/>
      <sheetName val="Fill_this_out_first___6"/>
      <sheetName val="cutting_fint6"/>
      <sheetName val="beam-reinft-IIInd_floor6"/>
      <sheetName val="cutting_fint?6"/>
      <sheetName val="WORK_TABLE6"/>
      <sheetName val="Inter_connect_Revenue6"/>
      <sheetName val="cutting_fint_6"/>
      <sheetName val="Break_up_Sheet6"/>
      <sheetName val="labour_coeff5"/>
      <sheetName val="Data_sheet5"/>
      <sheetName val="TULIP_new_PQS5"/>
      <sheetName val="Fin_Sum5"/>
      <sheetName val="PRECAST_lightconc-II5"/>
      <sheetName val="Sun_E_Type5"/>
      <sheetName val="Shuttering_analysis_(2)5"/>
      <sheetName val="MaterialReportVendorwise_rpt4"/>
      <sheetName val="Recon_4"/>
      <sheetName val="AS_PER_TALLY4"/>
      <sheetName val="04-05_Det4"/>
      <sheetName val="Working_sheet4"/>
      <sheetName val="A_block4"/>
      <sheetName val="B_block4"/>
      <sheetName val="master_QTY4"/>
      <sheetName val="A-Class_material_new4"/>
      <sheetName val="MS_Items4"/>
      <sheetName val="Establishment_ch_4"/>
      <sheetName val="Staff_Salary4"/>
      <sheetName val="Training_sheet4"/>
      <sheetName val="Shuttering_Working4"/>
      <sheetName val="Scaffolding__@_THE_END4"/>
      <sheetName val="Scaffolding_Ch4"/>
      <sheetName val="steel_up_4"/>
      <sheetName val="PM_CH14"/>
      <sheetName val="PM_Recon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Tools_new4"/>
      <sheetName val="Spares_nw4"/>
      <sheetName val="blockwork_Qty_4"/>
      <sheetName val="A_Class_material_new4"/>
      <sheetName val="RENT_MASTER_FILE4"/>
      <sheetName val="TBAL9697_-group_wise__sdpl4"/>
      <sheetName val="Structure_Bills_Qty4"/>
      <sheetName val="Meas_-Hotel_Part4"/>
      <sheetName val="expenses_up_to_07-084"/>
      <sheetName val="Package_split_-_Cost4"/>
      <sheetName val="Cashflow_projection4"/>
      <sheetName val="Fill_this_out_first___4"/>
      <sheetName val="cutting_fint4"/>
      <sheetName val="beam-reinft-IIInd_floor4"/>
      <sheetName val="cutting_fint?4"/>
      <sheetName val="WORK_TABLE4"/>
      <sheetName val="Inter_connect_Revenue4"/>
      <sheetName val="cutting_fint_4"/>
      <sheetName val="Break_up_Sheet4"/>
      <sheetName val="labour_coeff3"/>
      <sheetName val="Data_sheet3"/>
      <sheetName val="TULIP_new_PQS3"/>
      <sheetName val="Fin_Sum3"/>
      <sheetName val="PRECAST_lightconc-II3"/>
      <sheetName val="Sun_E_Type3"/>
      <sheetName val="Shuttering_analysis_(2)3"/>
      <sheetName val="MaterialReportVendorwise_rpt3"/>
      <sheetName val="Recon_3"/>
      <sheetName val="AS_PER_TALLY3"/>
      <sheetName val="04-05_Det3"/>
      <sheetName val="Working_sheet3"/>
      <sheetName val="A_block3"/>
      <sheetName val="B_block3"/>
      <sheetName val="master_QTY3"/>
      <sheetName val="A-Class_material_new3"/>
      <sheetName val="MS_Items3"/>
      <sheetName val="Establishment_ch_3"/>
      <sheetName val="Staff_Salary3"/>
      <sheetName val="Training_sheet3"/>
      <sheetName val="Shuttering_Working3"/>
      <sheetName val="Scaffolding__@_THE_END3"/>
      <sheetName val="Scaffolding_Ch3"/>
      <sheetName val="steel_up_3"/>
      <sheetName val="PM_CH13"/>
      <sheetName val="PM_Recon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Tools_new3"/>
      <sheetName val="Spares_nw3"/>
      <sheetName val="blockwork_Qty_3"/>
      <sheetName val="A_Class_material_new3"/>
      <sheetName val="RENT_MASTER_FILE3"/>
      <sheetName val="TBAL9697_-group_wise__sdpl3"/>
      <sheetName val="Structure_Bills_Qty3"/>
      <sheetName val="Meas_-Hotel_Part3"/>
      <sheetName val="expenses_up_to_07-083"/>
      <sheetName val="Package_split_-_Cost3"/>
      <sheetName val="Cashflow_projection3"/>
      <sheetName val="Fill_this_out_first___3"/>
      <sheetName val="cutting_fint3"/>
      <sheetName val="beam-reinft-IIInd_floor3"/>
      <sheetName val="cutting_fint?3"/>
      <sheetName val="WORK_TABLE3"/>
      <sheetName val="Inter_connect_Revenue3"/>
      <sheetName val="cutting_fint_3"/>
      <sheetName val="Break_up_Sheet3"/>
      <sheetName val="labour_coeff2"/>
      <sheetName val="Data_sheet2"/>
      <sheetName val="TULIP_new_PQS2"/>
      <sheetName val="Fin_Sum2"/>
      <sheetName val="PRECAST_lightconc-II2"/>
      <sheetName val="Sun_E_Type2"/>
      <sheetName val="Shuttering_analysis_(2)2"/>
      <sheetName val="Income_Statement2"/>
      <sheetName val="Name_List2"/>
      <sheetName val="Per_Unit2"/>
      <sheetName val="MaterialReportVendorwise_rpt1"/>
      <sheetName val="Recon_1"/>
      <sheetName val="AS_PER_TALLY1"/>
      <sheetName val="04-05_Det1"/>
      <sheetName val="Working_sheet1"/>
      <sheetName val="A_block1"/>
      <sheetName val="B_block1"/>
      <sheetName val="master_QTY1"/>
      <sheetName val="A-Class_material_new1"/>
      <sheetName val="MS_Items1"/>
      <sheetName val="Establishment_ch_1"/>
      <sheetName val="Staff_Salary1"/>
      <sheetName val="Training_sheet1"/>
      <sheetName val="Shuttering_Working1"/>
      <sheetName val="Scaffolding__@_THE_END1"/>
      <sheetName val="Scaffolding_Ch1"/>
      <sheetName val="steel_up_1"/>
      <sheetName val="PM_CH11"/>
      <sheetName val="PM_Recon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Tools_new1"/>
      <sheetName val="Spares_nw1"/>
      <sheetName val="blockwork_Qty_1"/>
      <sheetName val="A_Class_material_new1"/>
      <sheetName val="RENT_MASTER_FILE1"/>
      <sheetName val="TBAL9697_-group_wise__sdpl1"/>
      <sheetName val="Structure_Bills_Qty1"/>
      <sheetName val="Meas_-Hotel_Part1"/>
      <sheetName val="expenses_up_to_07-081"/>
      <sheetName val="Package_split_-_Cost1"/>
      <sheetName val="Cashflow_projection1"/>
      <sheetName val="Fill_this_out_first___1"/>
      <sheetName val="cutting_fint1"/>
      <sheetName val="beam-reinft-IIInd_floor1"/>
      <sheetName val="cutting_fint?1"/>
      <sheetName val="WORK_TABLE1"/>
      <sheetName val="Inter_connect_Revenue1"/>
      <sheetName val="cutting_fint_1"/>
      <sheetName val="Break_up_Sheet1"/>
      <sheetName val="labour_coeff"/>
      <sheetName val="Data_sheet"/>
      <sheetName val="TULIP_new_PQS"/>
      <sheetName val="Fin_Sum"/>
      <sheetName val="PRECAST_lightconc-II"/>
      <sheetName val="Sun_E_Type"/>
      <sheetName val="Shuttering_analysis_(2)"/>
      <sheetName val="Income_Statement"/>
      <sheetName val="Name_List"/>
      <sheetName val="Per_Unit"/>
      <sheetName val="MaterialReportVendorwise_rpt2"/>
      <sheetName val="Recon_2"/>
      <sheetName val="AS_PER_TALLY2"/>
      <sheetName val="04-05_Det2"/>
      <sheetName val="Working_sheet2"/>
      <sheetName val="A_block2"/>
      <sheetName val="B_block2"/>
      <sheetName val="master_QTY2"/>
      <sheetName val="A-Class_material_new2"/>
      <sheetName val="MS_Items2"/>
      <sheetName val="Establishment_ch_2"/>
      <sheetName val="Staff_Salary2"/>
      <sheetName val="Training_sheet2"/>
      <sheetName val="Shuttering_Working2"/>
      <sheetName val="Scaffolding__@_THE_END2"/>
      <sheetName val="Scaffolding_Ch2"/>
      <sheetName val="steel_up_2"/>
      <sheetName val="PM_CH12"/>
      <sheetName val="PM_Recon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Tools_new2"/>
      <sheetName val="Spares_nw2"/>
      <sheetName val="blockwork_Qty_2"/>
      <sheetName val="A_Class_material_new2"/>
      <sheetName val="Slab"/>
      <sheetName val="BeamRft-Stilt 02 &amp; GF"/>
      <sheetName val="Column -Podium "/>
      <sheetName val="Beam-Stilt 02 &amp; GF"/>
      <sheetName val="Podium-Slab"/>
      <sheetName val="Column -NW 03"/>
      <sheetName val="SW -NW 03 "/>
      <sheetName val="NW03-Shear wall "/>
      <sheetName val="BeamRft Typ-NW 03"/>
      <sheetName val="Stilt 02 &amp; GF Slab"/>
      <sheetName val="Slab typ-NW 03"/>
      <sheetName val="EW01 &amp; NW03 Staircase"/>
      <sheetName val="NW03-Typ-Staircase"/>
      <sheetName val="Column -EW 01"/>
      <sheetName val="SW - EW 01"/>
      <sheetName val="EW01-Shear Wall "/>
      <sheetName val="Beam-EW01"/>
      <sheetName val="Slab typ -EW 01 "/>
      <sheetName val="Column -SW 04"/>
      <sheetName val="SW - SW 04"/>
      <sheetName val="Slab typ -SW04"/>
      <sheetName val="SW04-Typ-Staircase"/>
      <sheetName val="RENT_MASTER_FILE2"/>
      <sheetName val="TBAL9697_-group_wise__sdpl2"/>
      <sheetName val="Structure_Bills_Qty2"/>
      <sheetName val="Meas_-Hotel_Part2"/>
      <sheetName val="expenses_up_to_07-082"/>
      <sheetName val="Package_split_-_Cost2"/>
      <sheetName val="Cashflow_projection2"/>
      <sheetName val="Fill_this_out_first___2"/>
      <sheetName val="cutting_fint2"/>
      <sheetName val="beam-reinft-IIInd_floor2"/>
      <sheetName val="cutting_fint?2"/>
      <sheetName val="WORK_TABLE2"/>
      <sheetName val="Inter_connect_Revenue2"/>
      <sheetName val="cutting_fint_2"/>
      <sheetName val="Break_up_Sheet2"/>
      <sheetName val="labour_coeff1"/>
      <sheetName val="Data_sheet1"/>
      <sheetName val="TULIP_new_PQS1"/>
      <sheetName val="Fin_Sum1"/>
      <sheetName val="PRECAST_lightconc-II1"/>
      <sheetName val="Sun_E_Type1"/>
      <sheetName val="Shuttering_analysis_(2)1"/>
      <sheetName val="Income_Statement1"/>
      <sheetName val="Name_List1"/>
      <sheetName val="Per_Unit1"/>
      <sheetName val="MaterialReportVendorwise_rpt5"/>
      <sheetName val="Recon_5"/>
      <sheetName val="AS_PER_TALLY5"/>
      <sheetName val="04-05_Det5"/>
      <sheetName val="Working_sheet5"/>
      <sheetName val="A_block5"/>
      <sheetName val="B_block5"/>
      <sheetName val="master_QTY5"/>
      <sheetName val="A-Class_material_new5"/>
      <sheetName val="MS_Items5"/>
      <sheetName val="Establishment_ch_5"/>
      <sheetName val="Staff_Salary5"/>
      <sheetName val="Training_sheet5"/>
      <sheetName val="Shuttering_Working5"/>
      <sheetName val="Scaffolding__@_THE_END5"/>
      <sheetName val="Scaffolding_Ch5"/>
      <sheetName val="steel_up_5"/>
      <sheetName val="PM_CH15"/>
      <sheetName val="PM_Recon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Tools_new5"/>
      <sheetName val="Spares_nw5"/>
      <sheetName val="blockwork_Qty_5"/>
      <sheetName val="A_Class_material_new5"/>
      <sheetName val="RENT_MASTER_FILE5"/>
      <sheetName val="TBAL9697_-group_wise__sdpl5"/>
      <sheetName val="Structure_Bills_Qty5"/>
      <sheetName val="Meas_-Hotel_Part5"/>
      <sheetName val="expenses_up_to_07-085"/>
      <sheetName val="Package_split_-_Cost5"/>
      <sheetName val="Cashflow_projection5"/>
      <sheetName val="Fill_this_out_first___5"/>
      <sheetName val="cutting_fint5"/>
      <sheetName val="beam-reinft-IIInd_floor5"/>
      <sheetName val="cutting_fint?5"/>
      <sheetName val="WORK_TABLE5"/>
      <sheetName val="Inter_connect_Revenue5"/>
      <sheetName val="cutting_fint_5"/>
      <sheetName val="Break_up_Sheet5"/>
      <sheetName val="labour_coeff4"/>
      <sheetName val="Data_sheet4"/>
      <sheetName val="TULIP_new_PQS4"/>
      <sheetName val="Fin_Sum4"/>
      <sheetName val="PRECAST_lightconc-II4"/>
      <sheetName val="Sun_E_Type4"/>
      <sheetName val="Shuttering_analysis_(2)4"/>
      <sheetName val="Income_Statement3"/>
      <sheetName val="Name_List3"/>
      <sheetName val="Per_Unit3"/>
      <sheetName val="Income_Statement4"/>
      <sheetName val="Name_List4"/>
      <sheetName val="Per_Unit4"/>
      <sheetName val="Projects"/>
      <sheetName val="C_link"/>
      <sheetName val="P_link"/>
      <sheetName val="cutting fint_x005f_x0000_"/>
      <sheetName val="Builtup Area"/>
      <sheetName val="Dayworks Bill"/>
      <sheetName val="Bills of Quantities"/>
      <sheetName val="Tender Summary"/>
      <sheetName val="VCH-SLC"/>
      <sheetName val="Supplier"/>
      <sheetName val="fco"/>
      <sheetName val="MaterialReportVendorwise_rpt7"/>
      <sheetName val="Recon_7"/>
      <sheetName val="AS_PER_TALLY7"/>
      <sheetName val="04-05_Det7"/>
      <sheetName val="Working_sheet7"/>
      <sheetName val="A_block7"/>
      <sheetName val="B_block7"/>
      <sheetName val="master_QTY7"/>
      <sheetName val="A-Class_material_new7"/>
      <sheetName val="MS_Items7"/>
      <sheetName val="Establishment_ch_7"/>
      <sheetName val="Staff_Salary7"/>
      <sheetName val="Training_sheet7"/>
      <sheetName val="Shuttering_Working7"/>
      <sheetName val="Scaffolding__@_THE_END7"/>
      <sheetName val="Scaffolding_Ch7"/>
      <sheetName val="steel_up_7"/>
      <sheetName val="PM_CH17"/>
      <sheetName val="PM_Recon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Tools_new7"/>
      <sheetName val="Spares_nw7"/>
      <sheetName val="blockwork_Qty_7"/>
      <sheetName val="A_Class_material_new7"/>
      <sheetName val="RENT_MASTER_FILE7"/>
      <sheetName val="TBAL9697_-group_wise__sdpl7"/>
      <sheetName val="Structure_Bills_Qty7"/>
      <sheetName val="Meas_-Hotel_Part7"/>
      <sheetName val="expenses_up_to_07-087"/>
      <sheetName val="Package_split_-_Cost7"/>
      <sheetName val="Cashflow_projection7"/>
      <sheetName val="Fill_this_out_first___7"/>
      <sheetName val="cutting_fint7"/>
      <sheetName val="beam-reinft-IIInd_floor7"/>
      <sheetName val="cutting_fint?7"/>
      <sheetName val="WORK_TABLE7"/>
      <sheetName val="Inter_connect_Revenue7"/>
      <sheetName val="cutting_fint_7"/>
      <sheetName val="Break_up_Sheet7"/>
      <sheetName val="labour_coeff6"/>
      <sheetName val="Data_sheet6"/>
      <sheetName val="TULIP_new_PQS6"/>
      <sheetName val="Fin_Sum6"/>
      <sheetName val="PRECAST_lightconc-II6"/>
      <sheetName val="Sun_E_Type6"/>
      <sheetName val="Shuttering_analysis_(2)6"/>
      <sheetName val="Income_Statement5"/>
      <sheetName val="Name_List5"/>
      <sheetName val="Per_Unit5"/>
      <sheetName val="BeamRft-Stilt_02_&amp;_GF"/>
      <sheetName val="Column_-Podium_"/>
      <sheetName val="Beam-Stilt_02_&amp;_GF"/>
      <sheetName val="Column_-NW_03"/>
      <sheetName val="SW_-NW_03_"/>
      <sheetName val="NW03-Shear_wall_"/>
      <sheetName val="BeamRft_Typ-NW_03"/>
      <sheetName val="Stilt_02_&amp;_GF_Slab"/>
      <sheetName val="Slab_typ-NW_03"/>
      <sheetName val="EW01_&amp;_NW03_Staircase"/>
      <sheetName val="Column_-EW_01"/>
      <sheetName val="SW_-_EW_01"/>
      <sheetName val="EW01-Shear_Wall_"/>
      <sheetName val="Slab_typ_-EW_01_"/>
      <sheetName val="Column_-SW_04"/>
      <sheetName val="SW_-_SW_04"/>
      <sheetName val="Slab_typ_-SW04"/>
      <sheetName val="Assumptions"/>
      <sheetName val="Cost_Index"/>
      <sheetName val="Order Info"/>
      <sheetName val="BOQ LT"/>
      <sheetName val="Components"/>
      <sheetName val="Intro."/>
      <sheetName val="Pivots"/>
      <sheetName val="Intro"/>
      <sheetName val="Cashflow - Con"/>
      <sheetName val="inWords"/>
      <sheetName val="nanjprofit"/>
      <sheetName val="final abstract"/>
      <sheetName val="Download DATA"/>
      <sheetName val="cutting fint_x005f_x005f_x005f_x0000_"/>
      <sheetName val="Driveway Beams"/>
      <sheetName val="meas-wp"/>
      <sheetName val="Labor abs-NMR"/>
      <sheetName val="2_civil-RA"/>
      <sheetName val="2.civil-RA"/>
      <sheetName val="INDIGINEOUS ITEMS "/>
      <sheetName val="BOQ Distribution"/>
      <sheetName val="Database"/>
      <sheetName val="schedule nos"/>
      <sheetName val="Data.F8.BTR"/>
      <sheetName val="sg-clay(d)"/>
      <sheetName val="Config"/>
      <sheetName val="Break Dw"/>
      <sheetName val="Hardware"/>
      <sheetName val="Cost Index"/>
      <sheetName val="Civil Works"/>
      <sheetName val="R&amp;P"/>
      <sheetName val="NOTES"/>
      <sheetName val="PCC"/>
      <sheetName val="Budget_CF - Overall"/>
      <sheetName val="Options"/>
      <sheetName val="labour rates"/>
      <sheetName val="Index"/>
      <sheetName val="Consolidated CF"/>
      <sheetName val="St.co.91.5lvl"/>
      <sheetName val="Contract Night Staff"/>
      <sheetName val="Contract Day Staff"/>
      <sheetName val="Day Shift"/>
      <sheetName val="Night Shift"/>
      <sheetName val="Capex - Hry"/>
      <sheetName val="Design sheet"/>
      <sheetName val="BASIC MATERIALS"/>
      <sheetName val="BULook"/>
      <sheetName val="Staff Acco."/>
      <sheetName val="flooring"/>
      <sheetName val="measurements"/>
      <sheetName val="Ceilings"/>
      <sheetName val="Tables"/>
      <sheetName val="ACAD Finishes"/>
      <sheetName val="Site Details"/>
      <sheetName val="Chair"/>
      <sheetName val="Site Area Statement"/>
      <sheetName val="Doors"/>
      <sheetName val="Estimate"/>
      <sheetName val="ITB COST"/>
      <sheetName val="cutting fint_x005f_x005f_x005f_x005f_x005f_x005f_"/>
      <sheetName val="Offer"/>
      <sheetName val="cal"/>
      <sheetName val="Order_Info"/>
      <sheetName val="cutting_fint_x005f_x0000_"/>
      <sheetName val="Tender_Summary"/>
      <sheetName val="Dayworks_Bill"/>
      <sheetName val="Bills_of_Quantities"/>
      <sheetName val="Cashflow_-_Con"/>
      <sheetName val="Download_DATA"/>
      <sheetName val="BOQ_LT"/>
      <sheetName val="final_abstract"/>
      <sheetName val="cutting fint_x005f_x005f_"/>
      <sheetName val="Order_Info1"/>
      <sheetName val="cutting_fint_x005f_x0000_1"/>
      <sheetName val="Tender_Summary1"/>
      <sheetName val="Dayworks_Bill1"/>
      <sheetName val="Bills_of_Quantities1"/>
      <sheetName val="Cashflow_-_Con1"/>
      <sheetName val="Download_DATA1"/>
      <sheetName val="BOQ_LT1"/>
      <sheetName val="final_abstract1"/>
      <sheetName val="SILICATE"/>
      <sheetName val="Item- Compact"/>
      <sheetName val="calcul"/>
      <sheetName val="AREAS"/>
      <sheetName val="Service Function"/>
      <sheetName val="cutting_fint_x005f_x005f_x005f_x0000_"/>
      <sheetName val="cutting_fint_x005f_x005f_x005f_x0000_1"/>
      <sheetName val="外気負荷"/>
      <sheetName val="ANALYSIS"/>
      <sheetName val="TOS_N5"/>
      <sheetName val="RA"/>
      <sheetName val="SITE DATA"/>
      <sheetName val="Bar Budget"/>
      <sheetName val="Machine HC - 19.08 "/>
      <sheetName val="PNM Justi"/>
      <sheetName val="BOQ Backup"/>
      <sheetName val="Summary"/>
      <sheetName val="MaterialReportVendorwise_rpt10"/>
      <sheetName val="Recon_10"/>
      <sheetName val="AS_PER_TALLY10"/>
      <sheetName val="04-05_Det10"/>
      <sheetName val="Working_sheet10"/>
      <sheetName val="A_block10"/>
      <sheetName val="B_block10"/>
      <sheetName val="master_QTY10"/>
      <sheetName val="A-Class_material_new10"/>
      <sheetName val="MS_Items10"/>
      <sheetName val="Establishment_ch_10"/>
      <sheetName val="Staff_Salary10"/>
      <sheetName val="Training_sheet10"/>
      <sheetName val="Shuttering_Working10"/>
      <sheetName val="Scaffolding__@_THE_END10"/>
      <sheetName val="Scaffolding_Ch10"/>
      <sheetName val="steel_up_10"/>
      <sheetName val="PM_CH110"/>
      <sheetName val="PM_Recon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Tower_cra-det10"/>
      <sheetName val="Tower_cra_Found10"/>
      <sheetName val="Tower_Cra_Maint_&amp;_depre10"/>
      <sheetName val="GERMAN_TOOL10"/>
      <sheetName val="C_class_cumulative10"/>
      <sheetName val="Rate_analysis10"/>
      <sheetName val="Tools_new10"/>
      <sheetName val="Spares_nw10"/>
      <sheetName val="blockwork_Qty_10"/>
      <sheetName val="A_Class_material_new10"/>
      <sheetName val="RENT_MASTER_FILE10"/>
      <sheetName val="TBAL9697_-group_wise__sdpl10"/>
      <sheetName val="Structure_Bills_Qty10"/>
      <sheetName val="Meas_-Hotel_Part10"/>
      <sheetName val="Package_split_-_Cost10"/>
      <sheetName val="Cashflow_projection10"/>
      <sheetName val="Fill_this_out_first___10"/>
      <sheetName val="expenses_up_to_07-0810"/>
      <sheetName val="beam-reinft-IIInd_floor10"/>
      <sheetName val="cutting_fint10"/>
      <sheetName val="cutting_fint?10"/>
      <sheetName val="WORK_TABLE10"/>
      <sheetName val="Inter_connect_Revenue10"/>
      <sheetName val="cutting_fint_10"/>
      <sheetName val="Break_up_Sheet10"/>
      <sheetName val="labour_coeff9"/>
      <sheetName val="Data_sheet9"/>
      <sheetName val="TULIP_new_PQS9"/>
      <sheetName val="Fin_Sum9"/>
      <sheetName val="PRECAST_lightconc-II9"/>
      <sheetName val="Sun_E_Type9"/>
      <sheetName val="Shuttering_analysis_(2)9"/>
      <sheetName val="Income_Statement8"/>
      <sheetName val="Name_List8"/>
      <sheetName val="Per_Unit8"/>
      <sheetName val="BeamRft-Stilt_02_&amp;_GF3"/>
      <sheetName val="Column_-Podium_3"/>
      <sheetName val="Beam-Stilt_02_&amp;_GF3"/>
      <sheetName val="Column_-NW_033"/>
      <sheetName val="SW_-NW_03_3"/>
      <sheetName val="NW03-Shear_wall_3"/>
      <sheetName val="BeamRft_Typ-NW_033"/>
      <sheetName val="Stilt_02_&amp;_GF_Slab3"/>
      <sheetName val="Slab_typ-NW_033"/>
      <sheetName val="EW01_&amp;_NW03_Staircase3"/>
      <sheetName val="Column_-EW_013"/>
      <sheetName val="SW_-_EW_013"/>
      <sheetName val="EW01-Shear_Wall_3"/>
      <sheetName val="Slab_typ_-EW_01_3"/>
      <sheetName val="Column_-SW_043"/>
      <sheetName val="SW_-_SW_043"/>
      <sheetName val="Slab_typ_-SW043"/>
      <sheetName val="cutting_fint_x005f_x0000_4"/>
      <sheetName val="Builtup_Area2"/>
      <sheetName val="Dayworks_Bill4"/>
      <sheetName val="Bills_of_Quantities4"/>
      <sheetName val="Tender_Summary4"/>
      <sheetName val="Order_Info4"/>
      <sheetName val="BOQ_LT4"/>
      <sheetName val="Intro_2"/>
      <sheetName val="Cashflow_-_Con4"/>
      <sheetName val="final_abstract4"/>
      <sheetName val="Download_DATA4"/>
      <sheetName val="cutting_fint_x005f_x005f_x005f_x0000_4"/>
      <sheetName val="Driveway_Beams2"/>
      <sheetName val="Labor_abs-NMR2"/>
      <sheetName val="2_civil-RA3"/>
      <sheetName val="INDIGINEOUS_ITEMS_2"/>
      <sheetName val="BOQ_Distribution2"/>
      <sheetName val="schedule_nos2"/>
      <sheetName val="Data_F8_BTR2"/>
      <sheetName val="Break_Dw2"/>
      <sheetName val="Cost_Index3"/>
      <sheetName val="Civil_Works2"/>
      <sheetName val="Budget_CF_-_Overall2"/>
      <sheetName val="MaterialReportVendorwise_rpt9"/>
      <sheetName val="Recon_9"/>
      <sheetName val="AS_PER_TALLY9"/>
      <sheetName val="04-05_Det9"/>
      <sheetName val="Working_sheet9"/>
      <sheetName val="A_block9"/>
      <sheetName val="B_block9"/>
      <sheetName val="master_QTY9"/>
      <sheetName val="A-Class_material_new9"/>
      <sheetName val="MS_Items9"/>
      <sheetName val="Establishment_ch_9"/>
      <sheetName val="Staff_Salary9"/>
      <sheetName val="Training_sheet9"/>
      <sheetName val="Shuttering_Working9"/>
      <sheetName val="Scaffolding__@_THE_END9"/>
      <sheetName val="Scaffolding_Ch9"/>
      <sheetName val="steel_up_9"/>
      <sheetName val="PM_CH19"/>
      <sheetName val="PM_Recon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Tools_new9"/>
      <sheetName val="Spares_nw9"/>
      <sheetName val="blockwork_Qty_9"/>
      <sheetName val="A_Class_material_new9"/>
      <sheetName val="RENT_MASTER_FILE9"/>
      <sheetName val="TBAL9697_-group_wise__sdpl9"/>
      <sheetName val="Structure_Bills_Qty9"/>
      <sheetName val="Meas_-Hotel_Part9"/>
      <sheetName val="Package_split_-_Cost9"/>
      <sheetName val="Cashflow_projection9"/>
      <sheetName val="Fill_this_out_first___9"/>
      <sheetName val="expenses_up_to_07-089"/>
      <sheetName val="beam-reinft-IIInd_floor9"/>
      <sheetName val="cutting_fint9"/>
      <sheetName val="cutting_fint?9"/>
      <sheetName val="WORK_TABLE9"/>
      <sheetName val="Inter_connect_Revenue9"/>
      <sheetName val="cutting_fint_9"/>
      <sheetName val="Break_up_Sheet9"/>
      <sheetName val="labour_coeff8"/>
      <sheetName val="Data_sheet8"/>
      <sheetName val="TULIP_new_PQS8"/>
      <sheetName val="Fin_Sum8"/>
      <sheetName val="PRECAST_lightconc-II8"/>
      <sheetName val="Sun_E_Type8"/>
      <sheetName val="Shuttering_analysis_(2)8"/>
      <sheetName val="Income_Statement7"/>
      <sheetName val="Name_List7"/>
      <sheetName val="Per_Unit7"/>
      <sheetName val="BeamRft-Stilt_02_&amp;_GF2"/>
      <sheetName val="Column_-Podium_2"/>
      <sheetName val="Beam-Stilt_02_&amp;_GF2"/>
      <sheetName val="Column_-NW_032"/>
      <sheetName val="SW_-NW_03_2"/>
      <sheetName val="NW03-Shear_wall_2"/>
      <sheetName val="BeamRft_Typ-NW_032"/>
      <sheetName val="Stilt_02_&amp;_GF_Slab2"/>
      <sheetName val="Slab_typ-NW_032"/>
      <sheetName val="EW01_&amp;_NW03_Staircase2"/>
      <sheetName val="Column_-EW_012"/>
      <sheetName val="SW_-_EW_012"/>
      <sheetName val="EW01-Shear_Wall_2"/>
      <sheetName val="Slab_typ_-EW_01_2"/>
      <sheetName val="Column_-SW_042"/>
      <sheetName val="SW_-_SW_042"/>
      <sheetName val="Slab_typ_-SW042"/>
      <sheetName val="cutting_fint_x005f_x0000_3"/>
      <sheetName val="Builtup_Area1"/>
      <sheetName val="Dayworks_Bill3"/>
      <sheetName val="Bills_of_Quantities3"/>
      <sheetName val="Tender_Summary3"/>
      <sheetName val="Order_Info3"/>
      <sheetName val="BOQ_LT3"/>
      <sheetName val="Intro_1"/>
      <sheetName val="Cashflow_-_Con3"/>
      <sheetName val="final_abstract3"/>
      <sheetName val="Download_DATA3"/>
      <sheetName val="cutting_fint_x005f_x005f_x005f_x0000_3"/>
      <sheetName val="Driveway_Beams1"/>
      <sheetName val="Labor_abs-NMR1"/>
      <sheetName val="2_civil-RA2"/>
      <sheetName val="INDIGINEOUS_ITEMS_1"/>
      <sheetName val="BOQ_Distribution1"/>
      <sheetName val="schedule_nos1"/>
      <sheetName val="Data_F8_BTR1"/>
      <sheetName val="Break_Dw1"/>
      <sheetName val="Cost_Index2"/>
      <sheetName val="Civil_Works1"/>
      <sheetName val="Budget_CF_-_Overall1"/>
      <sheetName val="labour_rates1"/>
      <sheetName val="Consolidated_CF1"/>
      <sheetName val="St_co_91_5lvl1"/>
      <sheetName val="Contract_Night_Staff1"/>
      <sheetName val="Contract_Day_Staff1"/>
      <sheetName val="Day_Shift1"/>
      <sheetName val="Night_Shift1"/>
      <sheetName val="Capex_-_Hry1"/>
      <sheetName val="Design_sheet1"/>
      <sheetName val="BASIC_MATERIALS1"/>
      <sheetName val="Staff_Acco_1"/>
      <sheetName val="ACAD_Finishes1"/>
      <sheetName val="Site_Details1"/>
      <sheetName val="Site_Area_Statement1"/>
      <sheetName val="ITB_COST1"/>
      <sheetName val="cutting_fint_x005f_x005f_x005f_x005f_x005f1"/>
      <sheetName val="cutting_fint_x005f_x005f_1"/>
      <sheetName val="Item-_Compact1"/>
      <sheetName val="Service_Function1"/>
      <sheetName val="SITE_DATA1"/>
      <sheetName val="Bar_Budget1"/>
      <sheetName val="Machine_HC_-_19_08_1"/>
      <sheetName val="PNM_Justi1"/>
      <sheetName val="BOQ_Backup1"/>
      <sheetName val="MaterialReportVendorwise_rpt8"/>
      <sheetName val="Recon_8"/>
      <sheetName val="AS_PER_TALLY8"/>
      <sheetName val="04-05_Det8"/>
      <sheetName val="Working_sheet8"/>
      <sheetName val="A_block8"/>
      <sheetName val="B_block8"/>
      <sheetName val="master_QTY8"/>
      <sheetName val="A-Class_material_new8"/>
      <sheetName val="MS_Items8"/>
      <sheetName val="Establishment_ch_8"/>
      <sheetName val="Staff_Salary8"/>
      <sheetName val="Training_sheet8"/>
      <sheetName val="Shuttering_Working8"/>
      <sheetName val="Scaffolding__@_THE_END8"/>
      <sheetName val="Scaffolding_Ch8"/>
      <sheetName val="steel_up_8"/>
      <sheetName val="PM_CH18"/>
      <sheetName val="PM_Recon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Tools_new8"/>
      <sheetName val="Spares_nw8"/>
      <sheetName val="blockwork_Qty_8"/>
      <sheetName val="A_Class_material_new8"/>
      <sheetName val="RENT_MASTER_FILE8"/>
      <sheetName val="TBAL9697_-group_wise__sdpl8"/>
      <sheetName val="Structure_Bills_Qty8"/>
      <sheetName val="Meas_-Hotel_Part8"/>
      <sheetName val="Package_split_-_Cost8"/>
      <sheetName val="Cashflow_projection8"/>
      <sheetName val="Fill_this_out_first___8"/>
      <sheetName val="expenses_up_to_07-088"/>
      <sheetName val="beam-reinft-IIInd_floor8"/>
      <sheetName val="cutting_fint8"/>
      <sheetName val="cutting_fint?8"/>
      <sheetName val="WORK_TABLE8"/>
      <sheetName val="Inter_connect_Revenue8"/>
      <sheetName val="cutting_fint_8"/>
      <sheetName val="Break_up_Sheet8"/>
      <sheetName val="labour_coeff7"/>
      <sheetName val="Data_sheet7"/>
      <sheetName val="TULIP_new_PQS7"/>
      <sheetName val="Fin_Sum7"/>
      <sheetName val="PRECAST_lightconc-II7"/>
      <sheetName val="Sun_E_Type7"/>
      <sheetName val="Shuttering_analysis_(2)7"/>
      <sheetName val="Income_Statement6"/>
      <sheetName val="Name_List6"/>
      <sheetName val="Per_Unit6"/>
      <sheetName val="BeamRft-Stilt_02_&amp;_GF1"/>
      <sheetName val="Column_-Podium_1"/>
      <sheetName val="Beam-Stilt_02_&amp;_GF1"/>
      <sheetName val="Column_-NW_031"/>
      <sheetName val="SW_-NW_03_1"/>
      <sheetName val="NW03-Shear_wall_1"/>
      <sheetName val="BeamRft_Typ-NW_031"/>
      <sheetName val="Stilt_02_&amp;_GF_Slab1"/>
      <sheetName val="Slab_typ-NW_031"/>
      <sheetName val="EW01_&amp;_NW03_Staircase1"/>
      <sheetName val="Column_-EW_011"/>
      <sheetName val="SW_-_EW_011"/>
      <sheetName val="EW01-Shear_Wall_1"/>
      <sheetName val="Slab_typ_-EW_01_1"/>
      <sheetName val="Column_-SW_041"/>
      <sheetName val="SW_-_SW_041"/>
      <sheetName val="Slab_typ_-SW041"/>
      <sheetName val="cutting_fint_x005f_x0000_2"/>
      <sheetName val="Builtup_Area"/>
      <sheetName val="Dayworks_Bill2"/>
      <sheetName val="Bills_of_Quantities2"/>
      <sheetName val="Tender_Summary2"/>
      <sheetName val="Order_Info2"/>
      <sheetName val="BOQ_LT2"/>
      <sheetName val="Intro_"/>
      <sheetName val="Cashflow_-_Con2"/>
      <sheetName val="final_abstract2"/>
      <sheetName val="Download_DATA2"/>
      <sheetName val="cutting_fint_x005f_x005f_x005f_x0000_2"/>
      <sheetName val="Driveway_Beams"/>
      <sheetName val="Labor_abs-NMR"/>
      <sheetName val="2_civil-RA1"/>
      <sheetName val="INDIGINEOUS_ITEMS_"/>
      <sheetName val="BOQ_Distribution"/>
      <sheetName val="schedule_nos"/>
      <sheetName val="Data_F8_BTR"/>
      <sheetName val="Break_Dw"/>
      <sheetName val="Cost_Index1"/>
      <sheetName val="Civil_Works"/>
      <sheetName val="Budget_CF_-_Overall"/>
      <sheetName val="labour_rates"/>
      <sheetName val="Consolidated_CF"/>
      <sheetName val="St_co_91_5lvl"/>
      <sheetName val="Contract_Night_Staff"/>
      <sheetName val="Contract_Day_Staff"/>
      <sheetName val="Day_Shift"/>
      <sheetName val="Night_Shift"/>
      <sheetName val="Capex_-_Hry"/>
      <sheetName val="Design_sheet"/>
      <sheetName val="BASIC_MATERIALS"/>
      <sheetName val="Staff_Acco_"/>
      <sheetName val="ACAD_Finishes"/>
      <sheetName val="Site_Details"/>
      <sheetName val="Site_Area_Statement"/>
      <sheetName val="ITB_COST"/>
      <sheetName val="cutting_fint_x005f_x005f_x005f_x005f_x005f_x005f_"/>
      <sheetName val="cutting_fint_x005f_x005f_"/>
      <sheetName val="Item-_Compact"/>
      <sheetName val="Service_Function"/>
      <sheetName val="SITE_DATA"/>
      <sheetName val="Bar_Budget"/>
      <sheetName val="Machine_HC_-_19_08_"/>
      <sheetName val="PNM_Justi"/>
      <sheetName val="BOQ_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PTION"/>
      <sheetName val="IMPORTED EQUIPMENTS"/>
      <sheetName val="INDIGINEOUS ITEMS 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Rate analysis"/>
      <sheetName val="GBW"/>
      <sheetName val="Headings"/>
      <sheetName val="Names&amp;Cases"/>
      <sheetName val="MASTER_RATE ANALYSIS"/>
      <sheetName val="PRECAST lightconc-II"/>
      <sheetName val="RENT MASTER FILE"/>
      <sheetName val="Meas.-Hotel Part"/>
      <sheetName val="B.O.Q 04-05-07"/>
      <sheetName val="Cost summary"/>
      <sheetName val="Break up Sheet"/>
      <sheetName val="Budget"/>
      <sheetName val="Data sheet"/>
      <sheetName val="Per Unit"/>
      <sheetName val="1-Internal electrical"/>
      <sheetName val="3. Elemental Summary"/>
      <sheetName val="12a. CFTable"/>
      <sheetName val="SITE OVERHEADS"/>
      <sheetName val="TBAL9697 -group wise  sdpl"/>
      <sheetName val="LIST OF MAKES"/>
      <sheetName val="Lintel"/>
      <sheetName val="Labour"/>
      <sheetName val="labour coeff"/>
      <sheetName val="PRECAST lightconc_II"/>
      <sheetName val="WORKING boq"/>
      <sheetName val="S3 - Summary"/>
      <sheetName val="Chennai"/>
      <sheetName val="Input"/>
      <sheetName val="Phasing"/>
      <sheetName val="Design"/>
      <sheetName val="calcul"/>
      <sheetName val="list"/>
      <sheetName val="Analysis"/>
      <sheetName val="Cost of O &amp; O"/>
      <sheetName val="qty workout"/>
      <sheetName val="BeamRft-Stilt 02 &amp; GF"/>
      <sheetName val="Pacakges split"/>
      <sheetName val="9. Package split - Cost "/>
      <sheetName val="10. &amp; 11. Rate Code &amp; BQ"/>
      <sheetName val="Cashflow projection"/>
      <sheetName val="Summary"/>
      <sheetName val="PRELIM5"/>
      <sheetName val=" B1"/>
      <sheetName val="RA-markate"/>
      <sheetName val="F1a-Pile"/>
      <sheetName val="run"/>
      <sheetName val="product prices"/>
      <sheetName val="price"/>
      <sheetName val="07"/>
      <sheetName val="PUMP"/>
      <sheetName val=" B3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"/>
      <sheetName val="Break_Up"/>
      <sheetName val="RESULT"/>
      <sheetName val="CASHFLOWS"/>
      <sheetName val="dlvoid"/>
      <sheetName val="Sheet2"/>
      <sheetName val="PANEL ANNEXURE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INDEX"/>
      <sheetName val="AREAS"/>
      <sheetName val="Bill 1-BOQ-Civil Works"/>
      <sheetName val="ICO_budzet_97"/>
      <sheetName val="PHE"/>
      <sheetName val="A"/>
      <sheetName val="Basement"/>
      <sheetName val="External HT"/>
      <sheetName val="External LT"/>
      <sheetName val="status"/>
      <sheetName val="Meas__Hotel Part"/>
      <sheetName val="Inputs"/>
      <sheetName val="Data Input"/>
      <sheetName val="Ass4"/>
      <sheetName val="DCF"/>
      <sheetName val="Key Ass"/>
      <sheetName val="Shuttering costing-Annex-IV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Fill this out first..."/>
      <sheetName val="LCS SCHEDULE "/>
      <sheetName val="meas-wp"/>
      <sheetName val="Model"/>
      <sheetName val="CONSTRUCTION COMPONENT"/>
      <sheetName val="ELEC_BOQ"/>
      <sheetName val="currency"/>
      <sheetName val="Switch costs lookup"/>
      <sheetName val="Eqpmnt Plng"/>
      <sheetName val="환율"/>
      <sheetName val="BOQ "/>
      <sheetName val="BHANDUP"/>
      <sheetName val="Area Statement _ OPTION C"/>
      <sheetName val="Sheet 1"/>
      <sheetName val="Cover"/>
      <sheetName val="activit-graph  "/>
      <sheetName val="Driveway Beams"/>
      <sheetName val="FT-05-02IsoBOM"/>
      <sheetName val="May"/>
      <sheetName val="Lease rents"/>
      <sheetName val="Tender Summary"/>
      <sheetName val="System"/>
      <sheetName val="Background"/>
      <sheetName val="DetEst"/>
      <sheetName val="Codes"/>
      <sheetName val="HOTEL"/>
      <sheetName val="BOQ DG BQ PP"/>
      <sheetName val="ABS_"/>
      <sheetName val="SILICATE"/>
      <sheetName val="Civil Works"/>
      <sheetName val="Sheet3"/>
      <sheetName val="MB(2nd RA) -NTPC"/>
      <sheetName val="SB - reinf"/>
      <sheetName val="Assumptions"/>
      <sheetName val="SUMMARY_OPTION"/>
      <sheetName val="IMPORTED_EQUIPMENTS"/>
      <sheetName val="INDIGINEOUS_ITEMS_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MASTER_RATE_ANALYSIS"/>
      <sheetName val="PRECAST_lightconc-II"/>
      <sheetName val="Fill_this_out_first___"/>
      <sheetName val="Meas_-Hotel_Part"/>
      <sheetName val="PRECAST_lightconc_II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BOQ_"/>
      <sheetName val="INPUT_SHEET"/>
      <sheetName val="1-Internal_electrical"/>
      <sheetName val="3__Elemental_Summary"/>
      <sheetName val="12a__CFTable"/>
      <sheetName val="Data_sheet"/>
      <sheetName val="Per_Unit"/>
      <sheetName val="Cost_summary"/>
      <sheetName val="Pacakges_split"/>
      <sheetName val="9__Package_split_-_Cost_"/>
      <sheetName val="10__&amp;_11__Rate_Code_&amp;_BQ"/>
      <sheetName val="Cashflow_projection"/>
      <sheetName val="SITE_OVERHEADS"/>
      <sheetName val="SUMMARY_OPTION1"/>
      <sheetName val="IMPORTED_EQUIPMENTS1"/>
      <sheetName val="INDIGINEOUS_ITEMS_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MASTER_RATE_ANALYSIS1"/>
      <sheetName val="PRECAST_lightconc-II1"/>
      <sheetName val="Meas_-Hotel_Part1"/>
      <sheetName val="PRECAST_lightconc_II1"/>
      <sheetName val="B_O_Q_04-05-071"/>
      <sheetName val="Meas__Hotel_Part1"/>
      <sheetName val="INPUT_SHEET1"/>
      <sheetName val="Data_Input1"/>
      <sheetName val="Key_Ass1"/>
      <sheetName val="WORKING_boq1"/>
      <sheetName val="S3_-_Summary1"/>
      <sheetName val="Shuttering_costing-Annex-IV1"/>
      <sheetName val="BOQ_1"/>
      <sheetName val="1-Internal_electrical1"/>
      <sheetName val="3__Elemental_Summary1"/>
      <sheetName val="12a__CFTable1"/>
      <sheetName val="Data_sheet1"/>
      <sheetName val="Per_Unit1"/>
      <sheetName val="Cost_summary1"/>
      <sheetName val="Pacakges_split1"/>
      <sheetName val="9__Package_split_-_Cost_1"/>
      <sheetName val="10__&amp;_11__Rate_Code_&amp;_BQ1"/>
      <sheetName val="Cashflow_projection1"/>
      <sheetName val="SITE_OVERHEADS1"/>
      <sheetName val="Fill_this_out_first___1"/>
      <sheetName val="Bill_1-BOQ-Civil_Works"/>
      <sheetName val="_B1"/>
      <sheetName val="product_prices"/>
      <sheetName val="_B3"/>
      <sheetName val="ACAD_Finishes"/>
      <sheetName val="Site_Details"/>
      <sheetName val="Site_Area_Statement"/>
      <sheetName val="PANEL_ANNEXURE"/>
      <sheetName val="LIST_OF_MAKES"/>
      <sheetName val="CFForecast_detail"/>
      <sheetName val="Basement_Budget"/>
      <sheetName val="SCurv_(3)"/>
      <sheetName val="WORK_TABLE"/>
      <sheetName val="Abstract"/>
      <sheetName val="07016, Master List-Major Minor"/>
      <sheetName val="目录"/>
      <sheetName val="Q3"/>
      <sheetName val="OC 17-04-06"/>
      <sheetName val="Main Assump."/>
      <sheetName val="Sqn_Abs"/>
      <sheetName val="A.CIVIL AND INTERIOR WORKS"/>
      <sheetName val="Fin Sum"/>
      <sheetName val="Factor_sheet"/>
      <sheetName val="extra work elec bill "/>
      <sheetName val="Dels"/>
      <sheetName val="s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Tender Summary"/>
      <sheetName val="Cost summary"/>
      <sheetName val="management"/>
      <sheetName val="labour"/>
      <sheetName val="material"/>
      <sheetName val="general"/>
      <sheetName val="subcons"/>
      <sheetName val="site est"/>
      <sheetName val="hardware"/>
      <sheetName val="WORK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MASTER WORK SHEET - ESTIMATE HI"/>
      <sheetName val="RENT MASTER FILE"/>
      <sheetName val="Plumb BOQ"/>
      <sheetName val="Plumb Summary"/>
      <sheetName val="intr stool brkup"/>
      <sheetName val="Staff Salary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MASTER_WORK_SHEET_-_ESTIMATE_HI"/>
      <sheetName val="RENT_MASTER_FILE"/>
      <sheetName val="Plumb_BOQ"/>
      <sheetName val="Plumb_Summary"/>
      <sheetName val="intr_stool_brkup"/>
      <sheetName val="Staff_Salary"/>
      <sheetName val="INDIGINEOUS ITEMS "/>
      <sheetName val="Abstract"/>
      <sheetName val="POP Finishing&amp;Corner Beads"/>
      <sheetName val="Core cutting-SBE"/>
      <sheetName val="Hard finishes"/>
      <sheetName val="coping qty"/>
      <sheetName val="MS Works"/>
      <sheetName val="dBase"/>
      <sheetName val="Cost summary"/>
      <sheetName val="LIST OF MAKES"/>
      <sheetName val="RA-markate"/>
      <sheetName val="Estimate for approval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MASTER_WORK_SHEET_-_ESTIMATE_H6"/>
      <sheetName val="RENT_MASTER_FILE6"/>
      <sheetName val="Plumb_BOQ6"/>
      <sheetName val="Plumb_Summary6"/>
      <sheetName val="intr_stool_brkup6"/>
      <sheetName val="Staff_Salary6"/>
      <sheetName val="INDIGINEOUS_ITEMS_5"/>
      <sheetName val="POP_Finishing&amp;Corner_Beads5"/>
      <sheetName val="Core_cutting-SBE5"/>
      <sheetName val="Hard_finishes5"/>
      <sheetName val="coping_qty5"/>
      <sheetName val="MS_Works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MASTER_WORK_SHEET_-_ESTIMATE_H4"/>
      <sheetName val="RENT_MASTER_FILE4"/>
      <sheetName val="Plumb_BOQ4"/>
      <sheetName val="Plumb_Summary4"/>
      <sheetName val="intr_stool_brkup4"/>
      <sheetName val="Staff_Salary4"/>
      <sheetName val="INDIGINEOUS_ITEMS_3"/>
      <sheetName val="POP_Finishing&amp;Corner_Beads3"/>
      <sheetName val="Core_cutting-SBE3"/>
      <sheetName val="Hard_finishes3"/>
      <sheetName val="coping_qty3"/>
      <sheetName val="MS_Work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MASTER_WORK_SHEET_-_ESTIMATE_H3"/>
      <sheetName val="RENT_MASTER_FILE3"/>
      <sheetName val="Plumb_BOQ3"/>
      <sheetName val="Plumb_Summary3"/>
      <sheetName val="intr_stool_brkup3"/>
      <sheetName val="Staff_Salary3"/>
      <sheetName val="INDIGINEOUS_ITEMS_2"/>
      <sheetName val="POP_Finishing&amp;Corner_Beads2"/>
      <sheetName val="Core_cutting-SBE2"/>
      <sheetName val="Hard_finishes2"/>
      <sheetName val="coping_qty2"/>
      <sheetName val="MS_Works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MASTER_WORK_SHEET_-_ESTIMATE_H1"/>
      <sheetName val="RENT_MASTER_FILE1"/>
      <sheetName val="Plumb_BOQ1"/>
      <sheetName val="Plumb_Summary1"/>
      <sheetName val="intr_stool_brkup1"/>
      <sheetName val="Staff_Salary1"/>
      <sheetName val="INDIGINEOUS_ITEMS_"/>
      <sheetName val="POP_Finishing&amp;Corner_Beads"/>
      <sheetName val="Core_cutting-SBE"/>
      <sheetName val="Hard_finishes"/>
      <sheetName val="coping_qty"/>
      <sheetName val="MS_Works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MASTER_WORK_SHEET_-_ESTIMATE_H2"/>
      <sheetName val="RENT_MASTER_FILE2"/>
      <sheetName val="Plumb_BOQ2"/>
      <sheetName val="Plumb_Summary2"/>
      <sheetName val="intr_stool_brkup2"/>
      <sheetName val="Staff_Salary2"/>
      <sheetName val="INDIGINEOUS_ITEMS_1"/>
      <sheetName val="POP_Finishing&amp;Corner_Beads1"/>
      <sheetName val="Core_cutting-SBE1"/>
      <sheetName val="Hard_finishes1"/>
      <sheetName val="coping_qty1"/>
      <sheetName val="MS_Works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MASTER_WORK_SHEET_-_ESTIMATE_H5"/>
      <sheetName val="RENT_MASTER_FILE5"/>
      <sheetName val="Plumb_BOQ5"/>
      <sheetName val="Plumb_Summary5"/>
      <sheetName val="intr_stool_brkup5"/>
      <sheetName val="Staff_Salary5"/>
      <sheetName val="INDIGINEOUS_ITEMS_4"/>
      <sheetName val="POP_Finishing&amp;Corner_Beads4"/>
      <sheetName val="Core_cutting-SBE4"/>
      <sheetName val="Hard_finishes4"/>
      <sheetName val="coping_qty4"/>
      <sheetName val="MS_Works4"/>
      <sheetName val="Plastering"/>
      <sheetName val="Concrete"/>
      <sheetName val="Earthworks"/>
      <sheetName val="Meas.-Hotel Part"/>
      <sheetName val="DEW PH 1"/>
      <sheetName val="Feb Analysts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MASTER_WORK_SHEET_-_ESTIMATE_H7"/>
      <sheetName val="RENT_MASTER_FILE7"/>
      <sheetName val="Plumb_BOQ7"/>
      <sheetName val="Plumb_Summary7"/>
      <sheetName val="intr_stool_brkup7"/>
      <sheetName val="Staff_Salary7"/>
      <sheetName val="INDIGINEOUS_ITEMS_6"/>
      <sheetName val="POP_Finishing&amp;Corner_Beads6"/>
      <sheetName val="Core_cutting-SBE6"/>
      <sheetName val="Hard_finishes6"/>
      <sheetName val="coping_qty6"/>
      <sheetName val="MS_Works6"/>
      <sheetName val="Cost_summary"/>
      <sheetName val="Estimate_for_approval"/>
      <sheetName val="LIST_OF_MAKES"/>
      <sheetName val="Meas_-Hotel_Part"/>
      <sheetName val="gVL"/>
      <sheetName val="Temporary"/>
      <sheetName val="beam-reinft-IIInd floor"/>
      <sheetName val="Summary"/>
      <sheetName val="Equipment"/>
      <sheetName val="Labor"/>
      <sheetName val="Materials"/>
      <sheetName val="crews"/>
      <sheetName val="RCC,Ret. Wall"/>
      <sheetName val="07016, Master List-Major Minor"/>
      <sheetName val="GBW"/>
      <sheetName val="BOQ"/>
      <sheetName val="RCC,Ret__Wall"/>
      <sheetName val="07016,_Master_List-Major_Minor"/>
      <sheetName val="RCC,Ret__Wall1"/>
      <sheetName val="07016,_Master_List-Major_Minor1"/>
      <sheetName val="Appendix A"/>
      <sheetName val="RCC,Ret__Wall2"/>
      <sheetName val="07016,_Master_List-Major_Minor2"/>
      <sheetName val="Appendix_A"/>
      <sheetName val="PC_Elect_Q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MASTER_WORK_SHEET_-_ESTIMATE_H8"/>
      <sheetName val="RENT_MASTER_FILE8"/>
      <sheetName val="Plumb_BOQ8"/>
      <sheetName val="Plumb_Summary8"/>
      <sheetName val="intr_stool_brkup8"/>
      <sheetName val="Staff_Salary8"/>
      <sheetName val="INDIGINEOUS_ITEMS_7"/>
      <sheetName val="POP_Finishing&amp;Corner_Beads7"/>
      <sheetName val="Core_cutting-SBE7"/>
      <sheetName val="Hard_finishes7"/>
      <sheetName val="coping_qty7"/>
      <sheetName val="MS_Works7"/>
      <sheetName val="Cost_summary1"/>
      <sheetName val="LIST_OF_MAKES1"/>
      <sheetName val="Estimate_for_approval1"/>
      <sheetName val="Meas_-Hotel_Part1"/>
      <sheetName val="DEW_PH_1"/>
      <sheetName val="Feb_Analysts"/>
      <sheetName val="beam-reinft-IIInd_floor"/>
      <sheetName val="RCC,Ret__Wall3"/>
      <sheetName val="07016,_Master_List-Major_Minor3"/>
      <sheetName val="Appendix_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dBase"/>
      <sheetName val="O_x0000_IEery"/>
      <sheetName val="O"/>
      <sheetName val="O?IEery"/>
      <sheetName val="Plumb BOQ"/>
      <sheetName val="Plumb Summary"/>
      <sheetName val="O_IEery"/>
      <sheetName val="TBAL9697 -group wise  sdpl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OIEery"/>
      <sheetName val="Plumb_BOQ"/>
      <sheetName val="Plumb_Summary"/>
      <sheetName val="BLOCK-E"/>
      <sheetName val="Cost summary"/>
      <sheetName val="O_x005f_x0000_IEery"/>
      <sheetName val="Concrete PR PO Detail"/>
      <sheetName val="labour coeff"/>
      <sheetName val="p&amp;m"/>
      <sheetName val="gen"/>
      <sheetName val="data"/>
      <sheetName val="LIST OF MAKES"/>
      <sheetName val="MASTER WORK SHEET - ESTIMATE HI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Plumb_BOQ6"/>
      <sheetName val="Plumb_Summary6"/>
      <sheetName val="TBAL9697_-group_wise__sdpl5"/>
      <sheetName val="Cost_summar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Plumb_BOQ4"/>
      <sheetName val="Plumb_Summary4"/>
      <sheetName val="TBAL9697_-group_wise__sdp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Plumb_BOQ3"/>
      <sheetName val="Plumb_Summary3"/>
      <sheetName val="TBAL9697_-group_wise__sdpl2"/>
      <sheetName val="Cost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Plumb_BOQ1"/>
      <sheetName val="Plumb_Summary1"/>
      <sheetName val="TBAL9697_-group_wise__sdpl"/>
      <sheetName val="Cost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Plumb_BOQ2"/>
      <sheetName val="Plumb_Summary2"/>
      <sheetName val="TBAL9697_-group_wise__sdpl1"/>
      <sheetName val="Cost_summary1"/>
      <sheetName val="Cost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Plumb_BOQ5"/>
      <sheetName val="Plumb_Summary5"/>
      <sheetName val="TBAL9697_-group_wise__sdpl4"/>
      <sheetName val="Cost_summary4"/>
      <sheetName val="INDIGINEOUS ITEMS 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Plumb_BOQ7"/>
      <sheetName val="Plumb_Summary7"/>
      <sheetName val="TBAL9697_-group_wise__sdpl6"/>
      <sheetName val="Cost_summary6"/>
      <sheetName val="MASTER_WORK_SHEET_-_ESTIMATE_HI"/>
      <sheetName val="labour_coeff"/>
      <sheetName val="INDIGINEOUS_ITEMS_"/>
      <sheetName val="HPL"/>
      <sheetName val="ABB"/>
      <sheetName val="Costing"/>
      <sheetName val="Estimation"/>
      <sheetName val="beam-reinft"/>
      <sheetName val="BOQ"/>
      <sheetName val="Back filling"/>
      <sheetName val="NT items summary"/>
      <sheetName val="beam-reinft-IIInd floor"/>
      <sheetName val="datas"/>
      <sheetName val="Cost_Index"/>
      <sheetName val="Lead"/>
      <sheetName val="Names&amp;Cases"/>
      <sheetName val="Background"/>
      <sheetName val="calcul"/>
      <sheetName val="Sheet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Plumb_BOQ10"/>
      <sheetName val="Plumb_Summary10"/>
      <sheetName val="TBAL9697_-group_wise__sdpl9"/>
      <sheetName val="Cost_summary9"/>
      <sheetName val="Concrete_PR_PO_Detail2"/>
      <sheetName val="labour_coeff3"/>
      <sheetName val="LIST_OF_MAKES2"/>
      <sheetName val="MASTER_WORK_SHEET_-_ESTIMATE_H3"/>
      <sheetName val="INDIGINEOUS_ITEMS_3"/>
      <sheetName val="Back_filling2"/>
      <sheetName val="NT_items_summary2"/>
      <sheetName val="beam-reinft-IIInd_floor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Plumb_BOQ9"/>
      <sheetName val="Plumb_Summary9"/>
      <sheetName val="TBAL9697_-group_wise__sdpl8"/>
      <sheetName val="Cost_summary8"/>
      <sheetName val="Concrete_PR_PO_Detail1"/>
      <sheetName val="labour_coeff2"/>
      <sheetName val="LIST_OF_MAKES1"/>
      <sheetName val="MASTER_WORK_SHEET_-_ESTIMATE_H2"/>
      <sheetName val="INDIGINEOUS_ITEMS_2"/>
      <sheetName val="Back_filling1"/>
      <sheetName val="NT_items_summary1"/>
      <sheetName val="beam-reinft-IIInd_floor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Plumb_BOQ8"/>
      <sheetName val="Plumb_Summary8"/>
      <sheetName val="TBAL9697_-group_wise__sdpl7"/>
      <sheetName val="Cost_summary7"/>
      <sheetName val="Concrete_PR_PO_Detail"/>
      <sheetName val="labour_coeff1"/>
      <sheetName val="LIST_OF_MAKES"/>
      <sheetName val="MASTER_WORK_SHEET_-_ESTIMATE_H1"/>
      <sheetName val="INDIGINEOUS_ITEMS_1"/>
      <sheetName val="Back_filling"/>
      <sheetName val="NT_items_summary"/>
      <sheetName val="beam-reinft-IIInd_flo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Structure Bills Qty"/>
      <sheetName val="concrete"/>
      <sheetName val="dBase"/>
      <sheetName val="beam-reinft-IIInd floor"/>
      <sheetName val="Cost summary"/>
      <sheetName val="Data sheet"/>
      <sheetName val="CFForecast detail"/>
      <sheetName val="analysis"/>
      <sheetName val="Design"/>
      <sheetName val="F1a-Pile"/>
      <sheetName val="Factor_sheet"/>
      <sheetName val="sq ftg detail"/>
      <sheetName val="lookup"/>
      <sheetName val="Field Values"/>
      <sheetName val="Legend"/>
      <sheetName val="Plant Cost"/>
      <sheetName val="Fill this out first..."/>
      <sheetName val="Labor abs-NMR"/>
      <sheetName val="PCC"/>
      <sheetName val="MASTER WORK SHEET - ESTIMATE HI"/>
      <sheetName val="BS, PL, SCH 96"/>
      <sheetName val="RCC,Ret. Wall"/>
      <sheetName val="SBI(Siliguri)"/>
      <sheetName val="Civil Boq"/>
      <sheetName val="horizontal"/>
      <sheetName val="loadcal"/>
      <sheetName val="Summary"/>
      <sheetName val=" B3"/>
      <sheetName val=" B1"/>
      <sheetName val="DETAILED  BOQ"/>
      <sheetName val="HPL"/>
      <sheetName val="NetBQ"/>
      <sheetName val="LIST OF MAKES"/>
      <sheetName val="Budget"/>
      <sheetName val="Break_Up"/>
      <sheetName val="RESULT"/>
      <sheetName val="INDIGINEOUS ITEMS "/>
      <sheetName val="Cem_Recon"/>
      <sheetName val="Weightage-Sub Sht"/>
      <sheetName val="GreenSheet"/>
      <sheetName val="Risk &amp; Opportunitie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Structure_Bills_Qty"/>
      <sheetName val="beam-reinft-IIInd_floor"/>
      <sheetName val="Cost_summary"/>
      <sheetName val="Data_sheet"/>
      <sheetName val="CFForecast_detail"/>
      <sheetName val="sq_ftg_detail"/>
      <sheetName val="Field_Values"/>
      <sheetName val="Plant_Cost"/>
      <sheetName val="Fill_this_out_first___"/>
      <sheetName val="Labor_abs-NMR"/>
      <sheetName val="MASTER_WORK_SHEET_-_ESTIMATE_HI"/>
      <sheetName val="BS,_PL,_SCH_96"/>
      <sheetName val="RCC,Ret__Wall"/>
      <sheetName val="Civil_Boq"/>
      <sheetName val="_B3"/>
      <sheetName val="_B1"/>
      <sheetName val="DETAILED__BOQ"/>
      <sheetName val="LIST_OF_MAKES"/>
      <sheetName val="INDIGINEOUS_ITEMS_"/>
      <sheetName val="Weightage-Sub_Sht"/>
      <sheetName val="Risk_&amp;_Opportunities"/>
      <sheetName val="07016, Master List-Major Minor"/>
      <sheetName val="1st -vpd"/>
      <sheetName val="Inputs"/>
      <sheetName val="Macro1"/>
      <sheetName val="RCC Rates"/>
      <sheetName val="Electrical"/>
      <sheetName val="Boq"/>
      <sheetName val="ETC Plant Cost"/>
      <sheetName val="Data"/>
      <sheetName val="Lead"/>
      <sheetName val="Income Statement"/>
      <sheetName val="Estimation"/>
      <sheetName val="p&amp;m"/>
      <sheetName val="Costing"/>
      <sheetName val="ABB"/>
      <sheetName val="beam-reinft"/>
      <sheetName val="Drawing status"/>
      <sheetName val="labour coeff"/>
      <sheetName val="PRECAST lightconc-II"/>
      <sheetName val="RENT MASTER FILE"/>
      <sheetName val="Meas.-Hotel Part"/>
      <sheetName val="M.S."/>
      <sheetName val="GBW"/>
      <sheetName val="B7 MW SUB SUMMARY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Structure_Bills_Qty6"/>
      <sheetName val="beam-reinft-IIInd_floor6"/>
      <sheetName val="Cost_summary6"/>
      <sheetName val="Data_sheet6"/>
      <sheetName val="CFForecast_detail6"/>
      <sheetName val="sq_ftg_detail6"/>
      <sheetName val="Field_Values6"/>
      <sheetName val="Plant_Cost6"/>
      <sheetName val="Fill_this_out_first___6"/>
      <sheetName val="Labor_abs-NMR6"/>
      <sheetName val="MASTER_WORK_SHEET_-_ESTIMATE_H6"/>
      <sheetName val="BS,_PL,_SCH_966"/>
      <sheetName val="RCC,Ret__Wall6"/>
      <sheetName val="Civil_Boq6"/>
      <sheetName val="_B36"/>
      <sheetName val="_B16"/>
      <sheetName val="DETAILED__BOQ6"/>
      <sheetName val="LIST_OF_MAKES6"/>
      <sheetName val="INDIGINEOUS_ITEMS_6"/>
      <sheetName val="Weightage-Sub_Sht6"/>
      <sheetName val="Risk_&amp;_Opportunities6"/>
      <sheetName val="07016,_Master_List-Major_Minor5"/>
      <sheetName val="1st_-vpd5"/>
      <sheetName val="RCC_Rates5"/>
      <sheetName val="ETC_Plant_Cost5"/>
      <sheetName val="Income_Statement5"/>
      <sheetName val="RENT_MASTER_FILE5"/>
      <sheetName val="Meas_-Hotel_Part5"/>
      <sheetName val="Drawing_status5"/>
      <sheetName val="labour_coeff5"/>
      <sheetName val="PRECAST_lightconc-II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Structure_Bills_Qty4"/>
      <sheetName val="beam-reinft-IIInd_floor4"/>
      <sheetName val="Cost_summary4"/>
      <sheetName val="Data_sheet4"/>
      <sheetName val="CFForecast_detail4"/>
      <sheetName val="sq_ftg_detail4"/>
      <sheetName val="Field_Values4"/>
      <sheetName val="Plant_Cost4"/>
      <sheetName val="Fill_this_out_first___4"/>
      <sheetName val="Labor_abs-NMR4"/>
      <sheetName val="MASTER_WORK_SHEET_-_ESTIMATE_H4"/>
      <sheetName val="BS,_PL,_SCH_964"/>
      <sheetName val="RCC,Ret__Wall4"/>
      <sheetName val="Civil_Boq4"/>
      <sheetName val="_B34"/>
      <sheetName val="_B14"/>
      <sheetName val="DETAILED__BOQ4"/>
      <sheetName val="LIST_OF_MAKES4"/>
      <sheetName val="INDIGINEOUS_ITEMS_4"/>
      <sheetName val="Weightage-Sub_Sht4"/>
      <sheetName val="Risk_&amp;_Opportunities4"/>
      <sheetName val="07016,_Master_List-Major_Minor3"/>
      <sheetName val="1st_-vpd3"/>
      <sheetName val="RCC_Rates3"/>
      <sheetName val="ETC_Plant_Cost3"/>
      <sheetName val="Income_Statement3"/>
      <sheetName val="RENT_MASTER_FILE3"/>
      <sheetName val="Meas_-Hotel_Part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Structure_Bills_Qty3"/>
      <sheetName val="beam-reinft-IIInd_floor3"/>
      <sheetName val="Cost_summary3"/>
      <sheetName val="Data_sheet3"/>
      <sheetName val="CFForecast_detail3"/>
      <sheetName val="sq_ftg_detail3"/>
      <sheetName val="Field_Values3"/>
      <sheetName val="Plant_Cost3"/>
      <sheetName val="Fill_this_out_first___3"/>
      <sheetName val="Labor_abs-NMR3"/>
      <sheetName val="MASTER_WORK_SHEET_-_ESTIMATE_H3"/>
      <sheetName val="BS,_PL,_SCH_963"/>
      <sheetName val="RCC,Ret__Wall3"/>
      <sheetName val="Civil_Boq3"/>
      <sheetName val="_B33"/>
      <sheetName val="_B13"/>
      <sheetName val="DETAILED__BOQ3"/>
      <sheetName val="LIST_OF_MAKES3"/>
      <sheetName val="INDIGINEOUS_ITEMS_3"/>
      <sheetName val="Weightage-Sub_Sht3"/>
      <sheetName val="Risk_&amp;_Opportunities3"/>
      <sheetName val="07016,_Master_List-Major_Minor2"/>
      <sheetName val="1st_-vpd2"/>
      <sheetName val="RCC_Rates2"/>
      <sheetName val="ETC_Plant_Cost2"/>
      <sheetName val="Income_Statement2"/>
      <sheetName val="RENT_MASTER_FILE2"/>
      <sheetName val="Meas_-Hotel_Part2"/>
      <sheetName val="Drawing_status2"/>
      <sheetName val="labour_coeff2"/>
      <sheetName val="PRECAST_lightconc-II2"/>
      <sheetName val="M_S_2"/>
      <sheetName val="B7_MW_SUB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Structure_Bills_Qty1"/>
      <sheetName val="beam-reinft-IIInd_floor1"/>
      <sheetName val="Cost_summary1"/>
      <sheetName val="Data_sheet1"/>
      <sheetName val="CFForecast_detail1"/>
      <sheetName val="sq_ftg_detail1"/>
      <sheetName val="Field_Values1"/>
      <sheetName val="Plant_Cost1"/>
      <sheetName val="Fill_this_out_first___1"/>
      <sheetName val="Labor_abs-NMR1"/>
      <sheetName val="MASTER_WORK_SHEET_-_ESTIMATE_H1"/>
      <sheetName val="BS,_PL,_SCH_961"/>
      <sheetName val="RCC,Ret__Wall1"/>
      <sheetName val="Civil_Boq1"/>
      <sheetName val="_B31"/>
      <sheetName val="_B11"/>
      <sheetName val="DETAILED__BOQ1"/>
      <sheetName val="LIST_OF_MAKES1"/>
      <sheetName val="INDIGINEOUS_ITEMS_1"/>
      <sheetName val="Weightage-Sub_Sht1"/>
      <sheetName val="Risk_&amp;_Opportunities1"/>
      <sheetName val="07016,_Master_List-Major_Minor"/>
      <sheetName val="1st_-vpd"/>
      <sheetName val="RCC_Rates"/>
      <sheetName val="ETC_Plant_Cost"/>
      <sheetName val="Income_Statement"/>
      <sheetName val="RENT_MASTER_FILE"/>
      <sheetName val="Meas_-Hotel_Part"/>
      <sheetName val="Drawing_status"/>
      <sheetName val="labour_coeff"/>
      <sheetName val="PRECAST_lightconc-II"/>
      <sheetName val="M_S_"/>
      <sheetName val="B7_MW_SUB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Structure_Bills_Qty2"/>
      <sheetName val="beam-reinft-IIInd_floor2"/>
      <sheetName val="Cost_summary2"/>
      <sheetName val="Data_sheet2"/>
      <sheetName val="CFForecast_detail2"/>
      <sheetName val="sq_ftg_detail2"/>
      <sheetName val="Field_Values2"/>
      <sheetName val="Plant_Cost2"/>
      <sheetName val="Fill_this_out_first___2"/>
      <sheetName val="Labor_abs-NMR2"/>
      <sheetName val="MASTER_WORK_SHEET_-_ESTIMATE_H2"/>
      <sheetName val="BS,_PL,_SCH_962"/>
      <sheetName val="RCC,Ret__Wall2"/>
      <sheetName val="Civil_Boq2"/>
      <sheetName val="_B32"/>
      <sheetName val="_B12"/>
      <sheetName val="DETAILED__BOQ2"/>
      <sheetName val="LIST_OF_MAKES2"/>
      <sheetName val="INDIGINEOUS_ITEMS_2"/>
      <sheetName val="Weightage-Sub_Sht2"/>
      <sheetName val="Risk_&amp;_Opportunities2"/>
      <sheetName val="07016,_Master_List-Major_Minor1"/>
      <sheetName val="1st_-vpd1"/>
      <sheetName val="RCC_Rates1"/>
      <sheetName val="ETC_Plant_Cost1"/>
      <sheetName val="Income_Statement1"/>
      <sheetName val="RENT_MASTER_FILE1"/>
      <sheetName val="Meas_-Hotel_Part1"/>
      <sheetName val="Drawing_status1"/>
      <sheetName val="labour_coeff1"/>
      <sheetName val="PRECAST_lightconc-II1"/>
      <sheetName val="M_S_1"/>
      <sheetName val="B7_MW_SUB_SUMMARY1"/>
      <sheetName val="Drawing_status3"/>
      <sheetName val="labour_coeff3"/>
      <sheetName val="PRECAST_lightconc-II3"/>
      <sheetName val="M_S_3"/>
      <sheetName val="B7_MW_SUB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Structure_Bills_Qty5"/>
      <sheetName val="beam-reinft-IIInd_floor5"/>
      <sheetName val="Cost_summary5"/>
      <sheetName val="Data_sheet5"/>
      <sheetName val="CFForecast_detail5"/>
      <sheetName val="rcc( sub)"/>
      <sheetName val="BOQ (2)"/>
      <sheetName val="sq_ftg_detail5"/>
      <sheetName val="Field_Values5"/>
      <sheetName val="Plant_Cost5"/>
      <sheetName val="Fill_this_out_first___5"/>
      <sheetName val="Labor_abs-NMR5"/>
      <sheetName val="MASTER_WORK_SHEET_-_ESTIMATE_H5"/>
      <sheetName val="BS,_PL,_SCH_965"/>
      <sheetName val="RCC,Ret__Wall5"/>
      <sheetName val="Civil_Boq5"/>
      <sheetName val="_B35"/>
      <sheetName val="_B15"/>
      <sheetName val="DETAILED__BOQ5"/>
      <sheetName val="LIST_OF_MAKES5"/>
      <sheetName val="INDIGINEOUS_ITEMS_5"/>
      <sheetName val="Weightage-Sub_Sht5"/>
      <sheetName val="Risk_&amp;_Opportunities5"/>
      <sheetName val="07016,_Master_List-Major_Minor4"/>
      <sheetName val="1st_-vpd4"/>
      <sheetName val="RCC_Rates4"/>
      <sheetName val="ETC_Plant_Cost4"/>
      <sheetName val="Income_Statement4"/>
      <sheetName val="RENT_MASTER_FILE4"/>
      <sheetName val="Meas_-Hotel_Part4"/>
      <sheetName val="Drawing_status4"/>
      <sheetName val="labour_coeff4"/>
      <sheetName val="PRECAST_lightconc-II4"/>
      <sheetName val="M_S_4"/>
      <sheetName val="B7_MW_SUB_SUMMARY4"/>
      <sheetName val="M_S_5"/>
      <sheetName val="B7_MW_SUB_SUMMARY5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Structure_Bills_Qty7"/>
      <sheetName val="beam-reinft-IIInd_floor7"/>
      <sheetName val="Cost_summary7"/>
      <sheetName val="Data_sheet7"/>
      <sheetName val="CFForecast_detail7"/>
      <sheetName val="sq_ftg_detail7"/>
      <sheetName val="Field_Values7"/>
      <sheetName val="Plant_Cost7"/>
      <sheetName val="Fill_this_out_first___7"/>
      <sheetName val="Labor_abs-NMR7"/>
      <sheetName val="MASTER_WORK_SHEET_-_ESTIMATE_H7"/>
      <sheetName val="BS,_PL,_SCH_967"/>
      <sheetName val="RCC,Ret__Wall7"/>
      <sheetName val="Civil_Boq7"/>
      <sheetName val="_B37"/>
      <sheetName val="_B17"/>
      <sheetName val="DETAILED__BOQ7"/>
      <sheetName val="LIST_OF_MAKES7"/>
      <sheetName val="INDIGINEOUS_ITEMS_7"/>
      <sheetName val="Weightage-Sub_Sht7"/>
      <sheetName val="Risk_&amp;_Opportunities7"/>
      <sheetName val="07016,_Master_List-Major_Minor6"/>
      <sheetName val="1st_-vpd6"/>
      <sheetName val="RCC_Rates6"/>
      <sheetName val="ETC_Plant_Cost6"/>
      <sheetName val="Income_Statement6"/>
      <sheetName val="RENT_MASTER_FILE6"/>
      <sheetName val="Meas_-Hotel_Part6"/>
      <sheetName val="Drawing_status6"/>
      <sheetName val="labour_coeff6"/>
      <sheetName val="PRECAST_lightconc-II6"/>
      <sheetName val="M_S_6"/>
      <sheetName val="B7_MW_SUB_SUMMARY6"/>
      <sheetName val="rcc(_sub)"/>
      <sheetName val="BLOCK-E"/>
      <sheetName val="Driveway Beams"/>
      <sheetName val="C&amp;I SUMMARY"/>
      <sheetName val="electr_ work CA "/>
      <sheetName val="INTERIOR"/>
      <sheetName val="final abstract"/>
      <sheetName val="Internal"/>
      <sheetName val="협조전"/>
      <sheetName val="Actuals"/>
      <sheetName val="細目"/>
      <sheetName val="ACS(1)"/>
      <sheetName val="FAS-C(4)"/>
      <sheetName val="CCTV(old)"/>
      <sheetName val="직접비_Origin(315,430)"/>
      <sheetName val="OHT_Abs"/>
      <sheetName val="Retainingwall_f"/>
      <sheetName val="Masonary"/>
      <sheetName val="Mas-2nd floor"/>
      <sheetName val="Orig SG&amp;A Corp"/>
      <sheetName val="fa"/>
      <sheetName val="trial flow sheet"/>
      <sheetName val="sept-plan"/>
      <sheetName val="b.s.-p.l.-sch."/>
      <sheetName val="tables"/>
      <sheetName val="Summary year Plan"/>
      <sheetName val="MASTER%20WORK%20SHEET%20-%20EST"/>
      <sheetName val="RA-markate"/>
      <sheetName val="WWR"/>
      <sheetName val="Consolidated"/>
      <sheetName val="ndG-1_x0005_"/>
      <sheetName val="Sheet3 (2)"/>
      <sheetName val="9. Package split - Cost "/>
      <sheetName val="strand"/>
      <sheetName val="Main-Material"/>
      <sheetName val="Footings"/>
      <sheetName val="BOQ_Direct_selling cost"/>
      <sheetName val="13. Steel - Ratio"/>
      <sheetName val="Balustrade"/>
      <sheetName val="Approved MTD Proj #'s"/>
      <sheetName val="21"/>
      <sheetName val="PANEL ANNEXURE"/>
      <sheetName val="SP Break Up"/>
      <sheetName val="PEP-DATA"/>
      <sheetName val="est"/>
      <sheetName val="Parameter"/>
      <sheetName val="Hardware"/>
      <sheetName val="labour"/>
      <sheetName val="fcstdwld"/>
      <sheetName val="Plandwld"/>
      <sheetName val="재1"/>
      <sheetName val="0200 Siteworks"/>
      <sheetName val="07"/>
      <sheetName val="LOCAL RATES"/>
      <sheetName val="column(T) Gr. to Upp. Gr."/>
      <sheetName val="Manpower"/>
      <sheetName val="8"/>
      <sheetName val="Drawing status-1"/>
      <sheetName val="Notes"/>
      <sheetName val="ndG-1_x005f_x0005_"/>
      <sheetName val="ndG-1_x005f_x005f_x005f_x0005_"/>
      <sheetName val="dtxl"/>
      <sheetName val="Vind - BtB"/>
      <sheetName val="Summ"/>
      <sheetName val="meas-wp"/>
      <sheetName val="Fossil_DCF"/>
      <sheetName val="BOQ LT"/>
      <sheetName val="A.O.R."/>
      <sheetName val="Tender Summary"/>
      <sheetName val="Day Shift"/>
      <sheetName val="Night Shift"/>
      <sheetName val="Switch costs lookup"/>
      <sheetName val="para"/>
      <sheetName val="Eqpmnt Plng"/>
      <sheetName val="sheeet7"/>
      <sheetName val="HEAD"/>
      <sheetName val="ex - teak wood railing"/>
      <sheetName val="ex - teak wood steps"/>
      <sheetName val="ex - dg"/>
      <sheetName val="dpc cost"/>
      <sheetName val="SUMMERY"/>
      <sheetName val="Dec resp"/>
      <sheetName val="Jan HC"/>
      <sheetName val="Q3"/>
      <sheetName val="PLANT"/>
      <sheetName val="INSTRUMENT"/>
      <sheetName val="SpecITEM"/>
      <sheetName val="LINE_Sc"/>
      <sheetName val="MOTOR"/>
      <sheetName val="ndG-1_x005f_x005f_x005f_x005f_x005f_x005f_x005f_x0005_"/>
      <sheetName val="Set"/>
      <sheetName val="PCS DATA"/>
      <sheetName val="SILICATE"/>
      <sheetName val="소상 &quot;1&quot;"/>
      <sheetName val="C&amp;I_SUMMARY"/>
      <sheetName val="electr__work_CA_"/>
      <sheetName val="final_abstract"/>
      <sheetName val="Orig_SG&amp;A_Corp"/>
      <sheetName val="trial_flow_sheet"/>
      <sheetName val="b_s_-p_l_-sch_"/>
      <sheetName val="Summary_year_Plan"/>
      <sheetName val="ndG-1"/>
      <sheetName val="Sheet3_(2)"/>
      <sheetName val="9__Package_split_-_Cost_"/>
      <sheetName val="BOQ_Direct_selling_cost"/>
      <sheetName val="13__Steel_-_Ratio"/>
      <sheetName val="Approved_MTD_Proj_#'s"/>
      <sheetName val="PANEL_ANNEXURE"/>
      <sheetName val="SP_Break_Up"/>
      <sheetName val="BOQ_(2)"/>
      <sheetName val="0200_Siteworks"/>
      <sheetName val="Driveway_Beams"/>
      <sheetName val="C&amp;I_SUMMARY1"/>
      <sheetName val="electr__work_CA_1"/>
      <sheetName val="final_abstract1"/>
      <sheetName val="Orig_SG&amp;A_Corp1"/>
      <sheetName val="trial_flow_sheet1"/>
      <sheetName val="b_s_-p_l_-sch_1"/>
      <sheetName val="Summary_year_Plan1"/>
      <sheetName val="Sheet3_(2)1"/>
      <sheetName val="9__Package_split_-_Cost_1"/>
      <sheetName val="BOQ_Direct_selling_cost1"/>
      <sheetName val="13__Steel_-_Ratio1"/>
      <sheetName val="Approved_MTD_Proj_#'s1"/>
      <sheetName val="PANEL_ANNEXURE1"/>
      <sheetName val="SP_Break_Up1"/>
      <sheetName val="BOQ_(2)1"/>
      <sheetName val="0200_Siteworks1"/>
      <sheetName val="Driveway_Beams1"/>
      <sheetName val="Sheet2"/>
      <sheetName val="database-NO"/>
      <sheetName val="Edge_Multiservice"/>
      <sheetName val="Basic"/>
      <sheetName val="Headings"/>
      <sheetName val="Codes"/>
      <sheetName val="wordsdata"/>
      <sheetName val="factor"/>
      <sheetName val="calcul"/>
      <sheetName val="Europe Consolidated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TBAL9697_-group_wise__sdpl10"/>
      <sheetName val="Basement_Budget10"/>
      <sheetName val="Structure_Bills_Qty10"/>
      <sheetName val="Cost_summary10"/>
      <sheetName val="beam-reinft-IIInd_floor10"/>
      <sheetName val="Data_sheet10"/>
      <sheetName val="CFForecast_detail10"/>
      <sheetName val="sq_ftg_detail10"/>
      <sheetName val="Field_Values10"/>
      <sheetName val="Plant_Cost10"/>
      <sheetName val="Fill_this_out_first___10"/>
      <sheetName val="Labor_abs-NMR10"/>
      <sheetName val="MASTER_WORK_SHEET_-_ESTIMATE_10"/>
      <sheetName val="BS,_PL,_SCH_9610"/>
      <sheetName val="RCC,Ret__Wall10"/>
      <sheetName val="Civil_Boq10"/>
      <sheetName val="_B310"/>
      <sheetName val="_B110"/>
      <sheetName val="DETAILED__BOQ10"/>
      <sheetName val="LIST_OF_MAKES10"/>
      <sheetName val="INDIGINEOUS_ITEMS_10"/>
      <sheetName val="Weightage-Sub_Sht10"/>
      <sheetName val="Risk_&amp;_Opportunities10"/>
      <sheetName val="ETC_Plant_Cost9"/>
      <sheetName val="Income_Statement9"/>
      <sheetName val="07016,_Master_List-Major_Minor9"/>
      <sheetName val="1st_-vpd9"/>
      <sheetName val="RCC_Rates9"/>
      <sheetName val="Drawing_status9"/>
      <sheetName val="labour_coeff9"/>
      <sheetName val="PRECAST_lightconc-II9"/>
      <sheetName val="M_S_9"/>
      <sheetName val="B7_MW_SUB_SUMMARY9"/>
      <sheetName val="RENT_MASTER_FILE9"/>
      <sheetName val="Meas_-Hotel_Part9"/>
      <sheetName val="rcc(_sub)3"/>
      <sheetName val="BOQ_(2)4"/>
      <sheetName val="Driveway_Beams4"/>
      <sheetName val="C&amp;I_SUMMARY4"/>
      <sheetName val="electr__work_CA_4"/>
      <sheetName val="final_abstract4"/>
      <sheetName val="Mas-2nd_floor2"/>
      <sheetName val="Orig_SG&amp;A_Corp4"/>
      <sheetName val="trial_flow_sheet4"/>
      <sheetName val="b_s_-p_l_-sch_4"/>
      <sheetName val="Summary_year_Plan4"/>
      <sheetName val="Sheet3_(2)4"/>
      <sheetName val="9__Package_split_-_Cost_4"/>
      <sheetName val="BOQ_Direct_selling_cost4"/>
      <sheetName val="13__Steel_-_Ratio4"/>
      <sheetName val="Approved_MTD_Proj_#'s4"/>
      <sheetName val="PANEL_ANNEXURE4"/>
      <sheetName val="SP_Break_Up4"/>
      <sheetName val="0200_Siteworks4"/>
      <sheetName val="LOCAL_RATES2"/>
      <sheetName val="column(T)_Gr__to_Upp__Gr_2"/>
      <sheetName val="Drawing_status-12"/>
      <sheetName val="Vind_-_BtB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TBAL9697_-group_wise__sdpl9"/>
      <sheetName val="Basement_Budget9"/>
      <sheetName val="Structure_Bills_Qty9"/>
      <sheetName val="Cost_summary9"/>
      <sheetName val="beam-reinft-IIInd_floor9"/>
      <sheetName val="Data_sheet9"/>
      <sheetName val="CFForecast_detail9"/>
      <sheetName val="sq_ftg_detail9"/>
      <sheetName val="Field_Values9"/>
      <sheetName val="Plant_Cost9"/>
      <sheetName val="Fill_this_out_first___9"/>
      <sheetName val="Labor_abs-NMR9"/>
      <sheetName val="MASTER_WORK_SHEET_-_ESTIMATE_H9"/>
      <sheetName val="BS,_PL,_SCH_969"/>
      <sheetName val="RCC,Ret__Wall9"/>
      <sheetName val="Civil_Boq9"/>
      <sheetName val="_B39"/>
      <sheetName val="_B19"/>
      <sheetName val="DETAILED__BOQ9"/>
      <sheetName val="LIST_OF_MAKES9"/>
      <sheetName val="INDIGINEOUS_ITEMS_9"/>
      <sheetName val="Weightage-Sub_Sht9"/>
      <sheetName val="Risk_&amp;_Opportunities9"/>
      <sheetName val="07016,_Master_List-Major_Minor8"/>
      <sheetName val="1st_-vpd8"/>
      <sheetName val="RCC_Rates8"/>
      <sheetName val="ETC_Plant_Cost8"/>
      <sheetName val="Income_Statement8"/>
      <sheetName val="Drawing_status8"/>
      <sheetName val="labour_coeff8"/>
      <sheetName val="PRECAST_lightconc-II8"/>
      <sheetName val="M_S_8"/>
      <sheetName val="B7_MW_SUB_SUMMARY8"/>
      <sheetName val="RENT_MASTER_FILE8"/>
      <sheetName val="Meas_-Hotel_Part8"/>
      <sheetName val="rcc(_sub)2"/>
      <sheetName val="BOQ_(2)3"/>
      <sheetName val="Driveway_Beams3"/>
      <sheetName val="C&amp;I_SUMMARY3"/>
      <sheetName val="electr__work_CA_3"/>
      <sheetName val="final_abstract3"/>
      <sheetName val="Mas-2nd_floor1"/>
      <sheetName val="Orig_SG&amp;A_Corp3"/>
      <sheetName val="trial_flow_sheet3"/>
      <sheetName val="b_s_-p_l_-sch_3"/>
      <sheetName val="Summary_year_Plan3"/>
      <sheetName val="Sheet3_(2)3"/>
      <sheetName val="9__Package_split_-_Cost_3"/>
      <sheetName val="BOQ_Direct_selling_cost3"/>
      <sheetName val="13__Steel_-_Ratio3"/>
      <sheetName val="Approved_MTD_Proj_#'s3"/>
      <sheetName val="PANEL_ANNEXURE3"/>
      <sheetName val="SP_Break_Up3"/>
      <sheetName val="0200_Siteworks3"/>
      <sheetName val="LOCAL_RATES1"/>
      <sheetName val="column(T)_Gr__to_Upp__Gr_1"/>
      <sheetName val="Drawing_status-11"/>
      <sheetName val="Vind_-_BtB1"/>
      <sheetName val="BOQ_LT1"/>
      <sheetName val="A_O_R_1"/>
      <sheetName val="Tender_Summary1"/>
      <sheetName val="Day_Shift1"/>
      <sheetName val="Night_Shift1"/>
      <sheetName val="Switch_costs_lookup1"/>
      <sheetName val="Eqpmnt_Plng1"/>
      <sheetName val="ex_-_teak_wood_railing1"/>
      <sheetName val="ex_-_teak_wood_steps1"/>
      <sheetName val="ex_-_dg1"/>
      <sheetName val="dpc_cost1"/>
      <sheetName val="Dec_resp1"/>
      <sheetName val="Jan_HC1"/>
      <sheetName val="PCS_DATA1"/>
      <sheetName val="소상_&quot;1&quot;1"/>
      <sheetName val="Europe_Consolidated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Structure_Bills_Qty8"/>
      <sheetName val="Cost_summary8"/>
      <sheetName val="beam-reinft-IIInd_floor8"/>
      <sheetName val="Data_sheet8"/>
      <sheetName val="CFForecast_detail8"/>
      <sheetName val="sq_ftg_detail8"/>
      <sheetName val="Field_Values8"/>
      <sheetName val="Plant_Cost8"/>
      <sheetName val="Fill_this_out_first___8"/>
      <sheetName val="Labor_abs-NMR8"/>
      <sheetName val="MASTER_WORK_SHEET_-_ESTIMATE_H8"/>
      <sheetName val="BS,_PL,_SCH_968"/>
      <sheetName val="RCC,Ret__Wall8"/>
      <sheetName val="Civil_Boq8"/>
      <sheetName val="_B38"/>
      <sheetName val="_B18"/>
      <sheetName val="DETAILED__BOQ8"/>
      <sheetName val="LIST_OF_MAKES8"/>
      <sheetName val="INDIGINEOUS_ITEMS_8"/>
      <sheetName val="Weightage-Sub_Sht8"/>
      <sheetName val="Risk_&amp;_Opportunities8"/>
      <sheetName val="07016,_Master_List-Major_Minor7"/>
      <sheetName val="1st_-vpd7"/>
      <sheetName val="RCC_Rates7"/>
      <sheetName val="ETC_Plant_Cost7"/>
      <sheetName val="Income_Statement7"/>
      <sheetName val="Drawing_status7"/>
      <sheetName val="labour_coeff7"/>
      <sheetName val="PRECAST_lightconc-II7"/>
      <sheetName val="M_S_7"/>
      <sheetName val="B7_MW_SUB_SUMMARY7"/>
      <sheetName val="RENT_MASTER_FILE7"/>
      <sheetName val="Meas_-Hotel_Part7"/>
      <sheetName val="rcc(_sub)1"/>
      <sheetName val="BOQ_(2)2"/>
      <sheetName val="Driveway_Beams2"/>
      <sheetName val="C&amp;I_SUMMARY2"/>
      <sheetName val="electr__work_CA_2"/>
      <sheetName val="final_abstract2"/>
      <sheetName val="Mas-2nd_floor"/>
      <sheetName val="Orig_SG&amp;A_Corp2"/>
      <sheetName val="trial_flow_sheet2"/>
      <sheetName val="b_s_-p_l_-sch_2"/>
      <sheetName val="Summary_year_Plan2"/>
      <sheetName val="Sheet3_(2)2"/>
      <sheetName val="9__Package_split_-_Cost_2"/>
      <sheetName val="BOQ_Direct_selling_cost2"/>
      <sheetName val="13__Steel_-_Ratio2"/>
      <sheetName val="Approved_MTD_Proj_#'s2"/>
      <sheetName val="PANEL_ANNEXURE2"/>
      <sheetName val="SP_Break_Up2"/>
      <sheetName val="0200_Siteworks2"/>
      <sheetName val="LOCAL_RATES"/>
      <sheetName val="column(T)_Gr__to_Upp__Gr_"/>
      <sheetName val="Drawing_status-1"/>
      <sheetName val="Vind_-_BtB"/>
      <sheetName val="BOQ_LT"/>
      <sheetName val="A_O_R_"/>
      <sheetName val="Tender_Summary"/>
      <sheetName val="Day_Shift"/>
      <sheetName val="Night_Shift"/>
      <sheetName val="Switch_costs_lookup"/>
      <sheetName val="Eqpmnt_Plng"/>
      <sheetName val="ex_-_teak_wood_railing"/>
      <sheetName val="ex_-_teak_wood_steps"/>
      <sheetName val="ex_-_dg"/>
      <sheetName val="dpc_cost"/>
      <sheetName val="Dec_resp"/>
      <sheetName val="Jan_HC"/>
      <sheetName val="PCS_DATA"/>
      <sheetName val="소상_&quot;1&quot;"/>
      <sheetName val="Europe_Consolidated"/>
      <sheetName val="Formula"/>
      <sheetName val="LAB"/>
      <sheetName val="tie beam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Rate_analysis11"/>
      <sheetName val="TBAL9697_-group_wise__sdpl11"/>
      <sheetName val="Basement_Budget11"/>
      <sheetName val="Structure_Bills_Qty11"/>
      <sheetName val="beam-reinft-IIInd_floor11"/>
      <sheetName val="Cost_summary11"/>
      <sheetName val="Data_sheet11"/>
      <sheetName val="CFForecast_detail11"/>
      <sheetName val="Ch__List_(2)12"/>
      <sheetName val="Ch__List12"/>
      <sheetName val="PRE__ESTIMATE12"/>
      <sheetName val="QTY-RATE_(Site_09_12_04)12"/>
      <sheetName val="QTY-RATE_(2)12"/>
      <sheetName val="BRAKE_UP_SHEET12"/>
      <sheetName val="Break_up_Sheet12"/>
      <sheetName val="common_area12"/>
      <sheetName val="Block_Work,_Plastering12"/>
      <sheetName val="WATER_PROOFING12"/>
      <sheetName val="EXTENDED_BASEMENT12"/>
      <sheetName val="MASS_EXCAVATION12"/>
      <sheetName val="FOOTING_AND_EXCAVATION12"/>
      <sheetName val="Columns_Reinforcement12"/>
      <sheetName val="COLU_MN12"/>
      <sheetName val="Beams_Reinforcement12"/>
      <sheetName val="GYM_EQUIP12"/>
      <sheetName val="M_&amp;_E12"/>
      <sheetName val="P_&amp;_M12"/>
      <sheetName val="RCC_Retaining_wall12"/>
      <sheetName val="HYDERABAD_SWIMMING_POOL12"/>
      <sheetName val="Rate_analysis12"/>
      <sheetName val="TBAL9697_-group_wise__sdpl12"/>
      <sheetName val="Basement_Budget12"/>
      <sheetName val="Structure_Bills_Qty12"/>
      <sheetName val="beam-reinft-IIInd_floor12"/>
      <sheetName val="Cost_summary12"/>
      <sheetName val="Data_sheet12"/>
      <sheetName val="CFForecast_detail12"/>
      <sheetName val="Ch__List_(2)13"/>
      <sheetName val="Ch__List13"/>
      <sheetName val="PRE__ESTIMATE13"/>
      <sheetName val="QTY-RATE_(Site_09_12_04)13"/>
      <sheetName val="QTY-RATE_(2)13"/>
      <sheetName val="BRAKE_UP_SHEET13"/>
      <sheetName val="Break_up_Sheet13"/>
      <sheetName val="Ch__List_(2)19"/>
      <sheetName val="Ch__List19"/>
      <sheetName val="PRE__ESTIMATE19"/>
      <sheetName val="QTY-RATE_(Site_09_12_04)19"/>
      <sheetName val="QTY-RATE_(2)19"/>
      <sheetName val="BRAKE_UP_SHEET19"/>
      <sheetName val="Break_up_Sheet19"/>
      <sheetName val="common_area19"/>
      <sheetName val="Block_Work,_Plastering19"/>
      <sheetName val="WATER_PROOFING19"/>
      <sheetName val="EXTENDED_BASEMENT19"/>
      <sheetName val="MASS_EXCAVATION19"/>
      <sheetName val="FOOTING_AND_EXCAVATION19"/>
      <sheetName val="Columns_Reinforcement19"/>
      <sheetName val="COLU_MN19"/>
      <sheetName val="Beams_Reinforcement19"/>
      <sheetName val="GYM_EQUIP19"/>
      <sheetName val="M_&amp;_E19"/>
      <sheetName val="P_&amp;_M19"/>
      <sheetName val="RCC_Retaining_wall19"/>
      <sheetName val="HYDERABAD_SWIMMING_POOL19"/>
      <sheetName val="Rate_analysis19"/>
      <sheetName val="TBAL9697_-group_wise__sdpl19"/>
      <sheetName val="Basement_Budget19"/>
      <sheetName val="Structure_Bills_Qty19"/>
      <sheetName val="beam-reinft-IIInd_floor19"/>
      <sheetName val="Cost_summary19"/>
      <sheetName val="Data_sheet19"/>
      <sheetName val="CFForecast_detail19"/>
      <sheetName val="common_area13"/>
      <sheetName val="Block_Work,_Plastering13"/>
      <sheetName val="WATER_PROOFING13"/>
      <sheetName val="EXTENDED_BASEMENT13"/>
      <sheetName val="MASS_EXCAVATION13"/>
      <sheetName val="FOOTING_AND_EXCAVATION13"/>
      <sheetName val="Columns_Reinforcement13"/>
      <sheetName val="COLU_MN13"/>
      <sheetName val="Beams_Reinforcement13"/>
      <sheetName val="GYM_EQUIP13"/>
      <sheetName val="M_&amp;_E13"/>
      <sheetName val="P_&amp;_M13"/>
      <sheetName val="RCC_Retaining_wall13"/>
      <sheetName val="HYDERABAD_SWIMMING_POOL13"/>
      <sheetName val="Rate_analysis13"/>
      <sheetName val="TBAL9697_-group_wise__sdpl13"/>
      <sheetName val="Basement_Budget13"/>
      <sheetName val="Structure_Bills_Qty13"/>
      <sheetName val="beam-reinft-IIInd_floor13"/>
      <sheetName val="Cost_summary13"/>
      <sheetName val="Data_sheet13"/>
      <sheetName val="CFForecast_detail13"/>
      <sheetName val="Ch__List_(2)14"/>
      <sheetName val="Ch__List14"/>
      <sheetName val="PRE__ESTIMATE14"/>
      <sheetName val="QTY-RATE_(Site_09_12_04)14"/>
      <sheetName val="QTY-RATE_(2)14"/>
      <sheetName val="BRAKE_UP_SHEET14"/>
      <sheetName val="Break_up_Sheet14"/>
      <sheetName val="common_area14"/>
      <sheetName val="Block_Work,_Plastering14"/>
      <sheetName val="WATER_PROOFING14"/>
      <sheetName val="EXTENDED_BASEMENT14"/>
      <sheetName val="MASS_EXCAVATION14"/>
      <sheetName val="FOOTING_AND_EXCAVATION14"/>
      <sheetName val="Columns_Reinforcement14"/>
      <sheetName val="COLU_MN14"/>
      <sheetName val="Beams_Reinforcement14"/>
      <sheetName val="GYM_EQUIP14"/>
      <sheetName val="M_&amp;_E14"/>
      <sheetName val="P_&amp;_M14"/>
      <sheetName val="RCC_Retaining_wall14"/>
      <sheetName val="HYDERABAD_SWIMMING_POOL14"/>
      <sheetName val="Rate_analysis14"/>
      <sheetName val="TBAL9697_-group_wise__sdpl14"/>
      <sheetName val="Basement_Budget14"/>
      <sheetName val="Structure_Bills_Qty14"/>
      <sheetName val="beam-reinft-IIInd_floor14"/>
      <sheetName val="Cost_summary14"/>
      <sheetName val="Data_sheet14"/>
      <sheetName val="CFForecast_detail14"/>
      <sheetName val="Ch__List_(2)15"/>
      <sheetName val="Ch__List15"/>
      <sheetName val="PRE__ESTIMATE15"/>
      <sheetName val="QTY-RATE_(Site_09_12_04)15"/>
      <sheetName val="QTY-RATE_(2)15"/>
      <sheetName val="BRAKE_UP_SHEET15"/>
      <sheetName val="Break_up_Sheet15"/>
      <sheetName val="common_area15"/>
      <sheetName val="Block_Work,_Plastering15"/>
      <sheetName val="WATER_PROOFING15"/>
      <sheetName val="EXTENDED_BASEMENT15"/>
      <sheetName val="MASS_EXCAVATION15"/>
      <sheetName val="FOOTING_AND_EXCAVATION15"/>
      <sheetName val="Columns_Reinforcement15"/>
      <sheetName val="COLU_MN15"/>
      <sheetName val="Beams_Reinforcement15"/>
      <sheetName val="GYM_EQUIP15"/>
      <sheetName val="M_&amp;_E15"/>
      <sheetName val="P_&amp;_M15"/>
      <sheetName val="RCC_Retaining_wall15"/>
      <sheetName val="HYDERABAD_SWIMMING_POOL15"/>
      <sheetName val="Rate_analysis15"/>
      <sheetName val="TBAL9697_-group_wise__sdpl15"/>
      <sheetName val="Basement_Budget15"/>
      <sheetName val="Structure_Bills_Qty15"/>
      <sheetName val="beam-reinft-IIInd_floor15"/>
      <sheetName val="Cost_summary15"/>
      <sheetName val="Data_sheet15"/>
      <sheetName val="CFForecast_detail15"/>
      <sheetName val="Ch__List_(2)16"/>
      <sheetName val="Ch__List16"/>
      <sheetName val="PRE__ESTIMATE16"/>
      <sheetName val="QTY-RATE_(Site_09_12_04)16"/>
      <sheetName val="QTY-RATE_(2)16"/>
      <sheetName val="BRAKE_UP_SHEET16"/>
      <sheetName val="Break_up_Sheet16"/>
      <sheetName val="common_area16"/>
      <sheetName val="Block_Work,_Plastering16"/>
      <sheetName val="WATER_PROOFING16"/>
      <sheetName val="EXTENDED_BASEMENT16"/>
      <sheetName val="MASS_EXCAVATION16"/>
      <sheetName val="FOOTING_AND_EXCAVATION16"/>
      <sheetName val="Columns_Reinforcement16"/>
      <sheetName val="COLU_MN16"/>
      <sheetName val="Beams_Reinforcement16"/>
      <sheetName val="GYM_EQUIP16"/>
      <sheetName val="M_&amp;_E16"/>
      <sheetName val="P_&amp;_M16"/>
      <sheetName val="RCC_Retaining_wall16"/>
      <sheetName val="HYDERABAD_SWIMMING_POOL16"/>
      <sheetName val="Rate_analysis16"/>
      <sheetName val="TBAL9697_-group_wise__sdpl16"/>
      <sheetName val="Basement_Budget16"/>
      <sheetName val="Structure_Bills_Qty16"/>
      <sheetName val="beam-reinft-IIInd_floor16"/>
      <sheetName val="Cost_summary16"/>
      <sheetName val="Data_sheet16"/>
      <sheetName val="CFForecast_detail16"/>
      <sheetName val="Ch__List_(2)17"/>
      <sheetName val="Ch__List17"/>
      <sheetName val="PRE__ESTIMATE17"/>
      <sheetName val="QTY-RATE_(Site_09_12_04)17"/>
      <sheetName val="QTY-RATE_(2)17"/>
      <sheetName val="BRAKE_UP_SHEET17"/>
      <sheetName val="Break_up_Sheet17"/>
      <sheetName val="common_area17"/>
      <sheetName val="Block_Work,_Plastering17"/>
      <sheetName val="WATER_PROOFING17"/>
      <sheetName val="EXTENDED_BASEMENT17"/>
      <sheetName val="MASS_EXCAVATION17"/>
      <sheetName val="FOOTING_AND_EXCAVATION17"/>
      <sheetName val="Columns_Reinforcement17"/>
      <sheetName val="COLU_MN17"/>
      <sheetName val="Beams_Reinforcement17"/>
      <sheetName val="GYM_EQUIP17"/>
      <sheetName val="M_&amp;_E17"/>
      <sheetName val="P_&amp;_M17"/>
      <sheetName val="RCC_Retaining_wall17"/>
      <sheetName val="HYDERABAD_SWIMMING_POOL17"/>
      <sheetName val="Rate_analysis17"/>
      <sheetName val="TBAL9697_-group_wise__sdpl17"/>
      <sheetName val="Basement_Budget17"/>
      <sheetName val="Structure_Bills_Qty17"/>
      <sheetName val="beam-reinft-IIInd_floor17"/>
      <sheetName val="Cost_summary17"/>
      <sheetName val="Data_sheet17"/>
      <sheetName val="CFForecast_detail17"/>
      <sheetName val="Ch__List_(2)18"/>
      <sheetName val="Ch__List18"/>
      <sheetName val="PRE__ESTIMATE18"/>
      <sheetName val="QTY-RATE_(Site_09_12_04)18"/>
      <sheetName val="QTY-RATE_(2)18"/>
      <sheetName val="BRAKE_UP_SHEET18"/>
      <sheetName val="Break_up_Sheet18"/>
      <sheetName val="common_area18"/>
      <sheetName val="Block_Work,_Plastering18"/>
      <sheetName val="WATER_PROOFING18"/>
      <sheetName val="EXTENDED_BASEMENT18"/>
      <sheetName val="MASS_EXCAVATION18"/>
      <sheetName val="FOOTING_AND_EXCAVATION18"/>
      <sheetName val="Columns_Reinforcement18"/>
      <sheetName val="COLU_MN18"/>
      <sheetName val="Beams_Reinforcement18"/>
      <sheetName val="GYM_EQUIP18"/>
      <sheetName val="M_&amp;_E18"/>
      <sheetName val="P_&amp;_M18"/>
      <sheetName val="RCC_Retaining_wall18"/>
      <sheetName val="HYDERABAD_SWIMMING_POOL18"/>
      <sheetName val="Rate_analysis18"/>
      <sheetName val="TBAL9697_-group_wise__sdpl18"/>
      <sheetName val="Basement_Budget18"/>
      <sheetName val="Structure_Bills_Qty18"/>
      <sheetName val="beam-reinft-IIInd_floor18"/>
      <sheetName val="Cost_summary18"/>
      <sheetName val="Data_sheet18"/>
      <sheetName val="CFForecast_detail18"/>
      <sheetName val="Ch__List_(2)20"/>
      <sheetName val="Ch__List20"/>
      <sheetName val="PRE__ESTIMATE20"/>
      <sheetName val="QTY-RATE_(Site_09_12_04)20"/>
      <sheetName val="QTY-RATE_(2)20"/>
      <sheetName val="BRAKE_UP_SHEET20"/>
      <sheetName val="Break_up_Sheet20"/>
      <sheetName val="common_area20"/>
      <sheetName val="Block_Work,_Plastering20"/>
      <sheetName val="WATER_PROOFING20"/>
      <sheetName val="EXTENDED_BASEMENT20"/>
      <sheetName val="MASS_EXCAVATION20"/>
      <sheetName val="FOOTING_AND_EXCAVATION20"/>
      <sheetName val="Columns_Reinforcement20"/>
      <sheetName val="COLU_MN20"/>
      <sheetName val="Beams_Reinforcement20"/>
      <sheetName val="GYM_EQUIP20"/>
      <sheetName val="M_&amp;_E20"/>
      <sheetName val="P_&amp;_M20"/>
      <sheetName val="RCC_Retaining_wall20"/>
      <sheetName val="HYDERABAD_SWIMMING_POOL20"/>
      <sheetName val="Rate_analysis20"/>
      <sheetName val="TBAL9697_-group_wise__sdpl20"/>
      <sheetName val="Basement_Budget20"/>
      <sheetName val="Structure_Bills_Qty20"/>
      <sheetName val="beam-reinft-IIInd_floor20"/>
      <sheetName val="Cost_summary20"/>
      <sheetName val="Data_sheet20"/>
      <sheetName val="CFForecast_detail20"/>
      <sheetName val="Ch__List_(2)22"/>
      <sheetName val="Ch__List22"/>
      <sheetName val="PRE__ESTIMATE22"/>
      <sheetName val="QTY-RATE_(Site_09_12_04)22"/>
      <sheetName val="QTY-RATE_(2)22"/>
      <sheetName val="BRAKE_UP_SHEET22"/>
      <sheetName val="Break_up_Sheet22"/>
      <sheetName val="common_area22"/>
      <sheetName val="Block_Work,_Plastering22"/>
      <sheetName val="WATER_PROOFING22"/>
      <sheetName val="EXTENDED_BASEMENT22"/>
      <sheetName val="MASS_EXCAVATION22"/>
      <sheetName val="FOOTING_AND_EXCAVATION22"/>
      <sheetName val="Columns_Reinforcement22"/>
      <sheetName val="COLU_MN22"/>
      <sheetName val="Beams_Reinforcement22"/>
      <sheetName val="GYM_EQUIP22"/>
      <sheetName val="M_&amp;_E22"/>
      <sheetName val="P_&amp;_M22"/>
      <sheetName val="RCC_Retaining_wall22"/>
      <sheetName val="HYDERABAD_SWIMMING_POOL22"/>
      <sheetName val="Rate_analysis22"/>
      <sheetName val="TBAL9697_-group_wise__sdpl22"/>
      <sheetName val="Basement_Budget22"/>
      <sheetName val="Structure_Bills_Qty22"/>
      <sheetName val="beam-reinft-IIInd_floor22"/>
      <sheetName val="Cost_summary22"/>
      <sheetName val="Data_sheet22"/>
      <sheetName val="CFForecast_detail22"/>
      <sheetName val="Ch__List_(2)21"/>
      <sheetName val="Ch__List21"/>
      <sheetName val="PRE__ESTIMATE21"/>
      <sheetName val="QTY-RATE_(Site_09_12_04)21"/>
      <sheetName val="QTY-RATE_(2)21"/>
      <sheetName val="BRAKE_UP_SHEET21"/>
      <sheetName val="Break_up_Sheet21"/>
      <sheetName val="common_area21"/>
      <sheetName val="Block_Work,_Plastering21"/>
      <sheetName val="WATER_PROOFING21"/>
      <sheetName val="EXTENDED_BASEMENT21"/>
      <sheetName val="MASS_EXCAVATION21"/>
      <sheetName val="FOOTING_AND_EXCAVATION21"/>
      <sheetName val="Columns_Reinforcement21"/>
      <sheetName val="COLU_MN21"/>
      <sheetName val="Beams_Reinforcement21"/>
      <sheetName val="GYM_EQUIP21"/>
      <sheetName val="M_&amp;_E21"/>
      <sheetName val="P_&amp;_M21"/>
      <sheetName val="RCC_Retaining_wall21"/>
      <sheetName val="HYDERABAD_SWIMMING_POOL21"/>
      <sheetName val="Rate_analysis21"/>
      <sheetName val="TBAL9697_-group_wise__sdpl21"/>
      <sheetName val="Basement_Budget21"/>
      <sheetName val="Structure_Bills_Qty21"/>
      <sheetName val="beam-reinft-IIInd_floor21"/>
      <sheetName val="Cost_summary21"/>
      <sheetName val="Data_sheet21"/>
      <sheetName val="CFForecast_detail21"/>
      <sheetName val="Ch__List_(2)23"/>
      <sheetName val="Ch__List23"/>
      <sheetName val="PRE__ESTIMATE23"/>
      <sheetName val="QTY-RATE_(Site_09_12_04)23"/>
      <sheetName val="QTY-RATE_(2)23"/>
      <sheetName val="BRAKE_UP_SHEET23"/>
      <sheetName val="Break_up_Sheet23"/>
      <sheetName val="common_area23"/>
      <sheetName val="Block_Work,_Plastering23"/>
      <sheetName val="WATER_PROOFING23"/>
      <sheetName val="EXTENDED_BASEMENT23"/>
      <sheetName val="MASS_EXCAVATION23"/>
      <sheetName val="FOOTING_AND_EXCAVATION23"/>
      <sheetName val="Columns_Reinforcement23"/>
      <sheetName val="COLU_MN23"/>
      <sheetName val="Beams_Reinforcement23"/>
      <sheetName val="GYM_EQUIP23"/>
      <sheetName val="M_&amp;_E23"/>
      <sheetName val="P_&amp;_M23"/>
      <sheetName val="RCC_Retaining_wall23"/>
      <sheetName val="HYDERABAD_SWIMMING_POOL23"/>
      <sheetName val="Rate_analysis23"/>
      <sheetName val="TBAL9697_-group_wise__sdpl23"/>
      <sheetName val="Basement_Budget23"/>
      <sheetName val="Structure_Bills_Qty23"/>
      <sheetName val="beam-reinft-IIInd_floor23"/>
      <sheetName val="Cost_summary23"/>
      <sheetName val="Data_sheet23"/>
      <sheetName val="CFForecast_detail23"/>
      <sheetName val="Ch__List_(2)24"/>
      <sheetName val="Ch__List24"/>
      <sheetName val="PRE__ESTIMATE24"/>
      <sheetName val="QTY-RATE_(Site_09_12_04)24"/>
      <sheetName val="QTY-RATE_(2)24"/>
      <sheetName val="BRAKE_UP_SHEET24"/>
      <sheetName val="Break_up_Sheet24"/>
      <sheetName val="common_area24"/>
      <sheetName val="Block_Work,_Plastering24"/>
      <sheetName val="WATER_PROOFING24"/>
      <sheetName val="EXTENDED_BASEMENT24"/>
      <sheetName val="MASS_EXCAVATION24"/>
      <sheetName val="FOOTING_AND_EXCAVATION24"/>
      <sheetName val="Columns_Reinforcement24"/>
      <sheetName val="COLU_MN24"/>
      <sheetName val="Beams_Reinforcement24"/>
      <sheetName val="GYM_EQUIP24"/>
      <sheetName val="M_&amp;_E24"/>
      <sheetName val="P_&amp;_M24"/>
      <sheetName val="RCC_Retaining_wall24"/>
      <sheetName val="HYDERABAD_SWIMMING_POOL24"/>
      <sheetName val="Rate_analysis24"/>
      <sheetName val="TBAL9697_-group_wise__sdpl24"/>
      <sheetName val="Basement_Budget24"/>
      <sheetName val="Structure_Bills_Qty24"/>
      <sheetName val="beam-reinft-IIInd_floor24"/>
      <sheetName val="Cost_summary24"/>
      <sheetName val="Data_sheet24"/>
      <sheetName val="CFForecast_detail24"/>
      <sheetName val="Ch__List_(2)30"/>
      <sheetName val="Ch__List30"/>
      <sheetName val="PRE__ESTIMATE30"/>
      <sheetName val="QTY-RATE_(Site_09_12_04)30"/>
      <sheetName val="QTY-RATE_(2)30"/>
      <sheetName val="BRAKE_UP_SHEET30"/>
      <sheetName val="Break_up_Sheet30"/>
      <sheetName val="common_area30"/>
      <sheetName val="Block_Work,_Plastering30"/>
      <sheetName val="WATER_PROOFING30"/>
      <sheetName val="EXTENDED_BASEMENT30"/>
      <sheetName val="MASS_EXCAVATION30"/>
      <sheetName val="FOOTING_AND_EXCAVATION30"/>
      <sheetName val="Columns_Reinforcement30"/>
      <sheetName val="COLU_MN30"/>
      <sheetName val="Beams_Reinforcement30"/>
      <sheetName val="GYM_EQUIP30"/>
      <sheetName val="M_&amp;_E30"/>
      <sheetName val="P_&amp;_M30"/>
      <sheetName val="RCC_Retaining_wall30"/>
      <sheetName val="HYDERABAD_SWIMMING_POOL30"/>
      <sheetName val="Rate_analysis30"/>
      <sheetName val="TBAL9697_-group_wise__sdpl30"/>
      <sheetName val="Basement_Budget30"/>
      <sheetName val="Structure_Bills_Qty30"/>
      <sheetName val="beam-reinft-IIInd_floor30"/>
      <sheetName val="Cost_summary30"/>
      <sheetName val="Data_sheet30"/>
      <sheetName val="CFForecast_detail30"/>
      <sheetName val="Ch__List_(2)25"/>
      <sheetName val="Ch__List25"/>
      <sheetName val="PRE__ESTIMATE25"/>
      <sheetName val="QTY-RATE_(Site_09_12_04)25"/>
      <sheetName val="QTY-RATE_(2)25"/>
      <sheetName val="BRAKE_UP_SHEET25"/>
      <sheetName val="Break_up_Sheet25"/>
      <sheetName val="common_area25"/>
      <sheetName val="Block_Work,_Plastering25"/>
      <sheetName val="WATER_PROOFING25"/>
      <sheetName val="EXTENDED_BASEMENT25"/>
      <sheetName val="MASS_EXCAVATION25"/>
      <sheetName val="FOOTING_AND_EXCAVATION25"/>
      <sheetName val="Columns_Reinforcement25"/>
      <sheetName val="COLU_MN25"/>
      <sheetName val="Beams_Reinforcement25"/>
      <sheetName val="GYM_EQUIP25"/>
      <sheetName val="M_&amp;_E25"/>
      <sheetName val="P_&amp;_M25"/>
      <sheetName val="RCC_Retaining_wall25"/>
      <sheetName val="HYDERABAD_SWIMMING_POOL25"/>
      <sheetName val="Rate_analysis25"/>
      <sheetName val="TBAL9697_-group_wise__sdpl25"/>
      <sheetName val="Basement_Budget25"/>
      <sheetName val="Structure_Bills_Qty25"/>
      <sheetName val="beam-reinft-IIInd_floor25"/>
      <sheetName val="Cost_summary25"/>
      <sheetName val="Data_sheet25"/>
      <sheetName val="CFForecast_detail25"/>
      <sheetName val="Ch__List_(2)29"/>
      <sheetName val="Ch__List29"/>
      <sheetName val="PRE__ESTIMATE29"/>
      <sheetName val="QTY-RATE_(Site_09_12_04)29"/>
      <sheetName val="QTY-RATE_(2)29"/>
      <sheetName val="BRAKE_UP_SHEET29"/>
      <sheetName val="Break_up_Sheet29"/>
      <sheetName val="common_area29"/>
      <sheetName val="Block_Work,_Plastering29"/>
      <sheetName val="WATER_PROOFING29"/>
      <sheetName val="EXTENDED_BASEMENT29"/>
      <sheetName val="MASS_EXCAVATION29"/>
      <sheetName val="FOOTING_AND_EXCAVATION29"/>
      <sheetName val="Columns_Reinforcement29"/>
      <sheetName val="COLU_MN29"/>
      <sheetName val="Beams_Reinforcement29"/>
      <sheetName val="GYM_EQUIP29"/>
      <sheetName val="M_&amp;_E29"/>
      <sheetName val="P_&amp;_M29"/>
      <sheetName val="RCC_Retaining_wall29"/>
      <sheetName val="HYDERABAD_SWIMMING_POOL29"/>
      <sheetName val="Rate_analysis29"/>
      <sheetName val="TBAL9697_-group_wise__sdpl29"/>
      <sheetName val="Basement_Budget29"/>
      <sheetName val="Structure_Bills_Qty29"/>
      <sheetName val="beam-reinft-IIInd_floor29"/>
      <sheetName val="Cost_summary29"/>
      <sheetName val="Data_sheet29"/>
      <sheetName val="CFForecast_detail29"/>
      <sheetName val="Ch__List_(2)26"/>
      <sheetName val="Ch__List26"/>
      <sheetName val="PRE__ESTIMATE26"/>
      <sheetName val="QTY-RATE_(Site_09_12_04)26"/>
      <sheetName val="QTY-RATE_(2)26"/>
      <sheetName val="BRAKE_UP_SHEET26"/>
      <sheetName val="Break_up_Sheet26"/>
      <sheetName val="common_area26"/>
      <sheetName val="Block_Work,_Plastering26"/>
      <sheetName val="WATER_PROOFING26"/>
      <sheetName val="EXTENDED_BASEMENT26"/>
      <sheetName val="MASS_EXCAVATION26"/>
      <sheetName val="FOOTING_AND_EXCAVATION26"/>
      <sheetName val="Columns_Reinforcement26"/>
      <sheetName val="COLU_MN26"/>
      <sheetName val="Beams_Reinforcement26"/>
      <sheetName val="GYM_EQUIP26"/>
      <sheetName val="M_&amp;_E26"/>
      <sheetName val="P_&amp;_M26"/>
      <sheetName val="RCC_Retaining_wall26"/>
      <sheetName val="HYDERABAD_SWIMMING_POOL26"/>
      <sheetName val="Rate_analysis26"/>
      <sheetName val="TBAL9697_-group_wise__sdpl26"/>
      <sheetName val="Basement_Budget26"/>
      <sheetName val="Structure_Bills_Qty26"/>
      <sheetName val="beam-reinft-IIInd_floor26"/>
      <sheetName val="Cost_summary26"/>
      <sheetName val="Data_sheet26"/>
      <sheetName val="CFForecast_detail26"/>
      <sheetName val="Ch__List_(2)27"/>
      <sheetName val="Ch__List27"/>
      <sheetName val="PRE__ESTIMATE27"/>
      <sheetName val="QTY-RATE_(Site_09_12_04)27"/>
      <sheetName val="QTY-RATE_(2)27"/>
      <sheetName val="BRAKE_UP_SHEET27"/>
      <sheetName val="Break_up_Sheet27"/>
      <sheetName val="common_area27"/>
      <sheetName val="Block_Work,_Plastering27"/>
      <sheetName val="WATER_PROOFING27"/>
      <sheetName val="EXTENDED_BASEMENT27"/>
      <sheetName val="MASS_EXCAVATION27"/>
      <sheetName val="FOOTING_AND_EXCAVATION27"/>
      <sheetName val="Columns_Reinforcement27"/>
      <sheetName val="COLU_MN27"/>
      <sheetName val="Beams_Reinforcement27"/>
      <sheetName val="GYM_EQUIP27"/>
      <sheetName val="M_&amp;_E27"/>
      <sheetName val="P_&amp;_M27"/>
      <sheetName val="RCC_Retaining_wall27"/>
      <sheetName val="HYDERABAD_SWIMMING_POOL27"/>
      <sheetName val="Rate_analysis27"/>
      <sheetName val="TBAL9697_-group_wise__sdpl27"/>
      <sheetName val="Basement_Budget27"/>
      <sheetName val="Structure_Bills_Qty27"/>
      <sheetName val="beam-reinft-IIInd_floor27"/>
      <sheetName val="Cost_summary27"/>
      <sheetName val="Data_sheet27"/>
      <sheetName val="CFForecast_detail27"/>
      <sheetName val="Ch__List_(2)28"/>
      <sheetName val="Ch__List28"/>
      <sheetName val="PRE__ESTIMATE28"/>
      <sheetName val="QTY-RATE_(Site_09_12_04)28"/>
      <sheetName val="QTY-RATE_(2)28"/>
      <sheetName val="BRAKE_UP_SHEET28"/>
      <sheetName val="Break_up_Sheet28"/>
      <sheetName val="common_area28"/>
      <sheetName val="Block_Work,_Plastering28"/>
      <sheetName val="WATER_PROOFING28"/>
      <sheetName val="EXTENDED_BASEMENT28"/>
      <sheetName val="MASS_EXCAVATION28"/>
      <sheetName val="FOOTING_AND_EXCAVATION28"/>
      <sheetName val="Columns_Reinforcement28"/>
      <sheetName val="COLU_MN28"/>
      <sheetName val="Beams_Reinforcement28"/>
      <sheetName val="GYM_EQUIP28"/>
      <sheetName val="M_&amp;_E28"/>
      <sheetName val="P_&amp;_M28"/>
      <sheetName val="RCC_Retaining_wall28"/>
      <sheetName val="HYDERABAD_SWIMMING_POOL28"/>
      <sheetName val="Rate_analysis28"/>
      <sheetName val="TBAL9697_-group_wise__sdpl28"/>
      <sheetName val="Basement_Budget28"/>
      <sheetName val="Structure_Bills_Qty28"/>
      <sheetName val="beam-reinft-IIInd_floor28"/>
      <sheetName val="Cost_summary28"/>
      <sheetName val="Data_sheet28"/>
      <sheetName val="CFForecast_detail28"/>
      <sheetName val="Ch__List_(2)38"/>
      <sheetName val="Ch__List38"/>
      <sheetName val="PRE__ESTIMATE38"/>
      <sheetName val="QTY-RATE_(Site_09_12_04)38"/>
      <sheetName val="QTY-RATE_(2)38"/>
      <sheetName val="BRAKE_UP_SHEET38"/>
      <sheetName val="Break_up_Sheet38"/>
      <sheetName val="common_area38"/>
      <sheetName val="Block_Work,_Plastering38"/>
      <sheetName val="WATER_PROOFING38"/>
      <sheetName val="EXTENDED_BASEMENT38"/>
      <sheetName val="MASS_EXCAVATION38"/>
      <sheetName val="FOOTING_AND_EXCAVATION38"/>
      <sheetName val="Columns_Reinforcement38"/>
      <sheetName val="COLU_MN38"/>
      <sheetName val="Beams_Reinforcement38"/>
      <sheetName val="GYM_EQUIP38"/>
      <sheetName val="M_&amp;_E38"/>
      <sheetName val="P_&amp;_M38"/>
      <sheetName val="RCC_Retaining_wall38"/>
      <sheetName val="HYDERABAD_SWIMMING_POOL38"/>
      <sheetName val="Rate_analysis38"/>
      <sheetName val="TBAL9697_-group_wise__sdpl38"/>
      <sheetName val="Basement_Budget38"/>
      <sheetName val="Structure_Bills_Qty38"/>
      <sheetName val="beam-reinft-IIInd_floor38"/>
      <sheetName val="Cost_summary38"/>
      <sheetName val="Data_sheet38"/>
      <sheetName val="CFForecast_detail38"/>
      <sheetName val="Ch__List_(2)31"/>
      <sheetName val="Ch__List31"/>
      <sheetName val="PRE__ESTIMATE31"/>
      <sheetName val="QTY-RATE_(Site_09_12_04)31"/>
      <sheetName val="QTY-RATE_(2)31"/>
      <sheetName val="BRAKE_UP_SHEET31"/>
      <sheetName val="Break_up_Sheet31"/>
      <sheetName val="common_area31"/>
      <sheetName val="Block_Work,_Plastering31"/>
      <sheetName val="WATER_PROOFING31"/>
      <sheetName val="EXTENDED_BASEMENT31"/>
      <sheetName val="MASS_EXCAVATION31"/>
      <sheetName val="FOOTING_AND_EXCAVATION31"/>
      <sheetName val="Columns_Reinforcement31"/>
      <sheetName val="COLU_MN31"/>
      <sheetName val="Beams_Reinforcement31"/>
      <sheetName val="GYM_EQUIP31"/>
      <sheetName val="M_&amp;_E31"/>
      <sheetName val="P_&amp;_M31"/>
      <sheetName val="RCC_Retaining_wall31"/>
      <sheetName val="HYDERABAD_SWIMMING_POOL31"/>
      <sheetName val="Rate_analysis31"/>
      <sheetName val="TBAL9697_-group_wise__sdpl31"/>
      <sheetName val="Basement_Budget31"/>
      <sheetName val="Structure_Bills_Qty31"/>
      <sheetName val="beam-reinft-IIInd_floor31"/>
      <sheetName val="Cost_summary31"/>
      <sheetName val="Data_sheet31"/>
      <sheetName val="CFForecast_detail31"/>
      <sheetName val="Ch__List_(2)32"/>
      <sheetName val="Ch__List32"/>
      <sheetName val="PRE__ESTIMATE32"/>
      <sheetName val="QTY-RATE_(Site_09_12_04)32"/>
      <sheetName val="QTY-RATE_(2)32"/>
      <sheetName val="BRAKE_UP_SHEET32"/>
      <sheetName val="Break_up_Sheet32"/>
      <sheetName val="common_area32"/>
      <sheetName val="Block_Work,_Plastering32"/>
      <sheetName val="WATER_PROOFING32"/>
      <sheetName val="EXTENDED_BASEMENT32"/>
      <sheetName val="MASS_EXCAVATION32"/>
      <sheetName val="FOOTING_AND_EXCAVATION32"/>
      <sheetName val="Columns_Reinforcement32"/>
      <sheetName val="COLU_MN32"/>
      <sheetName val="Beams_Reinforcement32"/>
      <sheetName val="GYM_EQUIP32"/>
      <sheetName val="M_&amp;_E32"/>
      <sheetName val="P_&amp;_M32"/>
      <sheetName val="RCC_Retaining_wall32"/>
      <sheetName val="HYDERABAD_SWIMMING_POOL32"/>
      <sheetName val="Rate_analysis32"/>
      <sheetName val="TBAL9697_-group_wise__sdpl32"/>
      <sheetName val="Basement_Budget32"/>
      <sheetName val="Structure_Bills_Qty32"/>
      <sheetName val="beam-reinft-IIInd_floor32"/>
      <sheetName val="Cost_summary32"/>
      <sheetName val="Data_sheet32"/>
      <sheetName val="CFForecast_detail32"/>
      <sheetName val="Ch__List_(2)33"/>
      <sheetName val="Ch__List33"/>
      <sheetName val="PRE__ESTIMATE33"/>
      <sheetName val="QTY-RATE_(Site_09_12_04)33"/>
      <sheetName val="QTY-RATE_(2)33"/>
      <sheetName val="BRAKE_UP_SHEET33"/>
      <sheetName val="Break_up_Sheet33"/>
      <sheetName val="common_area33"/>
      <sheetName val="Block_Work,_Plastering33"/>
      <sheetName val="WATER_PROOFING33"/>
      <sheetName val="EXTENDED_BASEMENT33"/>
      <sheetName val="MASS_EXCAVATION33"/>
      <sheetName val="FOOTING_AND_EXCAVATION33"/>
      <sheetName val="Columns_Reinforcement33"/>
      <sheetName val="COLU_MN33"/>
      <sheetName val="Beams_Reinforcement33"/>
      <sheetName val="GYM_EQUIP33"/>
      <sheetName val="M_&amp;_E33"/>
      <sheetName val="P_&amp;_M33"/>
      <sheetName val="RCC_Retaining_wall33"/>
      <sheetName val="HYDERABAD_SWIMMING_POOL33"/>
      <sheetName val="Rate_analysis33"/>
      <sheetName val="TBAL9697_-group_wise__sdpl33"/>
      <sheetName val="Basement_Budget33"/>
      <sheetName val="Structure_Bills_Qty33"/>
      <sheetName val="beam-reinft-IIInd_floor33"/>
      <sheetName val="Cost_summary33"/>
      <sheetName val="Data_sheet33"/>
      <sheetName val="CFForecast_detail33"/>
      <sheetName val="Ch__List_(2)34"/>
      <sheetName val="Ch__List34"/>
      <sheetName val="PRE__ESTIMATE34"/>
      <sheetName val="QTY-RATE_(Site_09_12_04)34"/>
      <sheetName val="QTY-RATE_(2)34"/>
      <sheetName val="BRAKE_UP_SHEET34"/>
      <sheetName val="Break_up_Sheet34"/>
      <sheetName val="common_area34"/>
      <sheetName val="Block_Work,_Plastering34"/>
      <sheetName val="WATER_PROOFING34"/>
      <sheetName val="EXTENDED_BASEMENT34"/>
      <sheetName val="MASS_EXCAVATION34"/>
      <sheetName val="FOOTING_AND_EXCAVATION34"/>
      <sheetName val="Columns_Reinforcement34"/>
      <sheetName val="COLU_MN34"/>
      <sheetName val="Beams_Reinforcement34"/>
      <sheetName val="GYM_EQUIP34"/>
      <sheetName val="M_&amp;_E34"/>
      <sheetName val="P_&amp;_M34"/>
      <sheetName val="RCC_Retaining_wall34"/>
      <sheetName val="HYDERABAD_SWIMMING_POOL34"/>
      <sheetName val="Rate_analysis34"/>
      <sheetName val="TBAL9697_-group_wise__sdpl34"/>
      <sheetName val="Basement_Budget34"/>
      <sheetName val="Structure_Bills_Qty34"/>
      <sheetName val="beam-reinft-IIInd_floor34"/>
      <sheetName val="Cost_summary34"/>
      <sheetName val="Data_sheet34"/>
      <sheetName val="CFForecast_detail34"/>
      <sheetName val="Ch__List_(2)36"/>
      <sheetName val="Ch__List36"/>
      <sheetName val="PRE__ESTIMATE36"/>
      <sheetName val="QTY-RATE_(Site_09_12_04)36"/>
      <sheetName val="QTY-RATE_(2)36"/>
      <sheetName val="BRAKE_UP_SHEET36"/>
      <sheetName val="Break_up_Sheet36"/>
      <sheetName val="common_area36"/>
      <sheetName val="Block_Work,_Plastering36"/>
      <sheetName val="WATER_PROOFING36"/>
      <sheetName val="EXTENDED_BASEMENT36"/>
      <sheetName val="MASS_EXCAVATION36"/>
      <sheetName val="FOOTING_AND_EXCAVATION36"/>
      <sheetName val="Columns_Reinforcement36"/>
      <sheetName val="COLU_MN36"/>
      <sheetName val="Beams_Reinforcement36"/>
      <sheetName val="GYM_EQUIP36"/>
      <sheetName val="M_&amp;_E36"/>
      <sheetName val="P_&amp;_M36"/>
      <sheetName val="RCC_Retaining_wall36"/>
      <sheetName val="HYDERABAD_SWIMMING_POOL36"/>
      <sheetName val="Rate_analysis36"/>
      <sheetName val="TBAL9697_-group_wise__sdpl36"/>
      <sheetName val="Basement_Budget36"/>
      <sheetName val="Structure_Bills_Qty36"/>
      <sheetName val="beam-reinft-IIInd_floor36"/>
      <sheetName val="Cost_summary36"/>
      <sheetName val="Data_sheet36"/>
      <sheetName val="CFForecast_detail36"/>
      <sheetName val="Ch__List_(2)35"/>
      <sheetName val="Ch__List35"/>
      <sheetName val="PRE__ESTIMATE35"/>
      <sheetName val="QTY-RATE_(Site_09_12_04)35"/>
      <sheetName val="QTY-RATE_(2)35"/>
      <sheetName val="BRAKE_UP_SHEET35"/>
      <sheetName val="Break_up_Sheet35"/>
      <sheetName val="common_area35"/>
      <sheetName val="Block_Work,_Plastering35"/>
      <sheetName val="WATER_PROOFING35"/>
      <sheetName val="EXTENDED_BASEMENT35"/>
      <sheetName val="MASS_EXCAVATION35"/>
      <sheetName val="FOOTING_AND_EXCAVATION35"/>
      <sheetName val="Columns_Reinforcement35"/>
      <sheetName val="COLU_MN35"/>
      <sheetName val="Beams_Reinforcement35"/>
      <sheetName val="GYM_EQUIP35"/>
      <sheetName val="M_&amp;_E35"/>
      <sheetName val="P_&amp;_M35"/>
      <sheetName val="RCC_Retaining_wall35"/>
      <sheetName val="HYDERABAD_SWIMMING_POOL35"/>
      <sheetName val="Rate_analysis35"/>
      <sheetName val="TBAL9697_-group_wise__sdpl35"/>
      <sheetName val="Basement_Budget35"/>
      <sheetName val="Structure_Bills_Qty35"/>
      <sheetName val="beam-reinft-IIInd_floor35"/>
      <sheetName val="Cost_summary35"/>
      <sheetName val="Data_sheet35"/>
      <sheetName val="CFForecast_detail35"/>
      <sheetName val="Ch__List_(2)37"/>
      <sheetName val="Ch__List37"/>
      <sheetName val="PRE__ESTIMATE37"/>
      <sheetName val="QTY-RATE_(Site_09_12_04)37"/>
      <sheetName val="QTY-RATE_(2)37"/>
      <sheetName val="BRAKE_UP_SHEET37"/>
      <sheetName val="Break_up_Sheet37"/>
      <sheetName val="common_area37"/>
      <sheetName val="Block_Work,_Plastering37"/>
      <sheetName val="WATER_PROOFING37"/>
      <sheetName val="EXTENDED_BASEMENT37"/>
      <sheetName val="MASS_EXCAVATION37"/>
      <sheetName val="FOOTING_AND_EXCAVATION37"/>
      <sheetName val="Columns_Reinforcement37"/>
      <sheetName val="COLU_MN37"/>
      <sheetName val="Beams_Reinforcement37"/>
      <sheetName val="GYM_EQUIP37"/>
      <sheetName val="M_&amp;_E37"/>
      <sheetName val="P_&amp;_M37"/>
      <sheetName val="RCC_Retaining_wall37"/>
      <sheetName val="HYDERABAD_SWIMMING_POOL37"/>
      <sheetName val="Rate_analysis37"/>
      <sheetName val="TBAL9697_-group_wise__sdpl37"/>
      <sheetName val="Basement_Budget37"/>
      <sheetName val="Structure_Bills_Qty37"/>
      <sheetName val="beam-reinft-IIInd_floor37"/>
      <sheetName val="Cost_summary37"/>
      <sheetName val="Data_sheet37"/>
      <sheetName val="CFForecast_detail37"/>
      <sheetName val="Ch__List_(2)39"/>
      <sheetName val="Ch__List39"/>
      <sheetName val="PRE__ESTIMATE39"/>
      <sheetName val="QTY-RATE_(Site_09_12_04)39"/>
      <sheetName val="QTY-RATE_(2)39"/>
      <sheetName val="BRAKE_UP_SHEET39"/>
      <sheetName val="Break_up_Sheet39"/>
      <sheetName val="common_area39"/>
      <sheetName val="Block_Work,_Plastering39"/>
      <sheetName val="WATER_PROOFING39"/>
      <sheetName val="EXTENDED_BASEMENT39"/>
      <sheetName val="MASS_EXCAVATION39"/>
      <sheetName val="FOOTING_AND_EXCAVATION39"/>
      <sheetName val="Columns_Reinforcement39"/>
      <sheetName val="COLU_MN39"/>
      <sheetName val="Beams_Reinforcement39"/>
      <sheetName val="GYM_EQUIP39"/>
      <sheetName val="M_&amp;_E39"/>
      <sheetName val="P_&amp;_M39"/>
      <sheetName val="RCC_Retaining_wall39"/>
      <sheetName val="HYDERABAD_SWIMMING_POOL39"/>
      <sheetName val="Rate_analysis39"/>
      <sheetName val="TBAL9697_-group_wise__sdpl39"/>
      <sheetName val="Basement_Budget39"/>
      <sheetName val="Structure_Bills_Qty39"/>
      <sheetName val="beam-reinft-IIInd_floor39"/>
      <sheetName val="Cost_summary39"/>
      <sheetName val="Data_sheet39"/>
      <sheetName val="CFForecast_detail39"/>
      <sheetName val="Ch__List_(2)40"/>
      <sheetName val="Ch__List40"/>
      <sheetName val="PRE__ESTIMATE40"/>
      <sheetName val="QTY-RATE_(Site_09_12_04)40"/>
      <sheetName val="QTY-RATE_(2)40"/>
      <sheetName val="BRAKE_UP_SHEET40"/>
      <sheetName val="Break_up_Sheet40"/>
      <sheetName val="common_area40"/>
      <sheetName val="Block_Work,_Plastering40"/>
      <sheetName val="WATER_PROOFING40"/>
      <sheetName val="EXTENDED_BASEMENT40"/>
      <sheetName val="MASS_EXCAVATION40"/>
      <sheetName val="FOOTING_AND_EXCAVATION40"/>
      <sheetName val="Columns_Reinforcement40"/>
      <sheetName val="COLU_MN40"/>
      <sheetName val="Beams_Reinforcement40"/>
      <sheetName val="GYM_EQUIP40"/>
      <sheetName val="M_&amp;_E40"/>
      <sheetName val="P_&amp;_M40"/>
      <sheetName val="RCC_Retaining_wall40"/>
      <sheetName val="HYDERABAD_SWIMMING_POOL40"/>
      <sheetName val="Rate_analysis40"/>
      <sheetName val="TBAL9697_-group_wise__sdpl40"/>
      <sheetName val="Basement_Budget40"/>
      <sheetName val="Structure_Bills_Qty40"/>
      <sheetName val="beam-reinft-IIInd_floor40"/>
      <sheetName val="Cost_summary40"/>
      <sheetName val="Data_sheet40"/>
      <sheetName val="CFForecast_detail40"/>
      <sheetName val="Ch__List_(2)41"/>
      <sheetName val="Ch__List41"/>
      <sheetName val="PRE__ESTIMATE41"/>
      <sheetName val="QTY-RATE_(Site_09_12_04)41"/>
      <sheetName val="QTY-RATE_(2)41"/>
      <sheetName val="BRAKE_UP_SHEET41"/>
      <sheetName val="Break_up_Sheet41"/>
      <sheetName val="common_area41"/>
      <sheetName val="Block_Work,_Plastering41"/>
      <sheetName val="WATER_PROOFING41"/>
      <sheetName val="EXTENDED_BASEMENT41"/>
      <sheetName val="MASS_EXCAVATION41"/>
      <sheetName val="FOOTING_AND_EXCAVATION41"/>
      <sheetName val="Columns_Reinforcement41"/>
      <sheetName val="COLU_MN41"/>
      <sheetName val="Beams_Reinforcement41"/>
      <sheetName val="GYM_EQUIP41"/>
      <sheetName val="M_&amp;_E41"/>
      <sheetName val="P_&amp;_M41"/>
      <sheetName val="RCC_Retaining_wall41"/>
      <sheetName val="HYDERABAD_SWIMMING_POOL41"/>
      <sheetName val="Rate_analysis41"/>
      <sheetName val="TBAL9697_-group_wise__sdpl41"/>
      <sheetName val="Basement_Budget41"/>
      <sheetName val="Structure_Bills_Qty41"/>
      <sheetName val="beam-reinft-IIInd_floor41"/>
      <sheetName val="Cost_summary41"/>
      <sheetName val="Data_sheet41"/>
      <sheetName val="CFForecast_detail41"/>
      <sheetName val="Ch__List_(2)42"/>
      <sheetName val="Ch__List42"/>
      <sheetName val="PRE__ESTIMATE42"/>
      <sheetName val="QTY-RATE_(Site_09_12_04)42"/>
      <sheetName val="QTY-RATE_(2)42"/>
      <sheetName val="BRAKE_UP_SHEET42"/>
      <sheetName val="Break_up_Sheet42"/>
      <sheetName val="common_area42"/>
      <sheetName val="Block_Work,_Plastering42"/>
      <sheetName val="WATER_PROOFING42"/>
      <sheetName val="EXTENDED_BASEMENT42"/>
      <sheetName val="MASS_EXCAVATION42"/>
      <sheetName val="FOOTING_AND_EXCAVATION42"/>
      <sheetName val="Columns_Reinforcement42"/>
      <sheetName val="COLU_MN42"/>
      <sheetName val="Beams_Reinforcement42"/>
      <sheetName val="GYM_EQUIP42"/>
      <sheetName val="M_&amp;_E42"/>
      <sheetName val="P_&amp;_M42"/>
      <sheetName val="RCC_Retaining_wall42"/>
      <sheetName val="HYDERABAD_SWIMMING_POOL42"/>
      <sheetName val="Rate_analysis42"/>
      <sheetName val="TBAL9697_-group_wise__sdpl42"/>
      <sheetName val="Basement_Budget42"/>
      <sheetName val="Structure_Bills_Qty42"/>
      <sheetName val="beam-reinft-IIInd_floor42"/>
      <sheetName val="Cost_summary42"/>
      <sheetName val="Data_sheet42"/>
      <sheetName val="CFForecast_detail42"/>
      <sheetName val="Ch__List_(2)43"/>
      <sheetName val="Ch__List43"/>
      <sheetName val="PRE__ESTIMATE43"/>
      <sheetName val="QTY-RATE_(Site_09_12_04)43"/>
      <sheetName val="QTY-RATE_(2)43"/>
      <sheetName val="BRAKE_UP_SHEET43"/>
      <sheetName val="Break_up_Sheet43"/>
      <sheetName val="common_area43"/>
      <sheetName val="Block_Work,_Plastering43"/>
      <sheetName val="WATER_PROOFING43"/>
      <sheetName val="EXTENDED_BASEMENT43"/>
      <sheetName val="MASS_EXCAVATION43"/>
      <sheetName val="FOOTING_AND_EXCAVATION43"/>
      <sheetName val="Columns_Reinforcement43"/>
      <sheetName val="COLU_MN43"/>
      <sheetName val="Beams_Reinforcement43"/>
      <sheetName val="GYM_EQUIP43"/>
      <sheetName val="M_&amp;_E43"/>
      <sheetName val="P_&amp;_M43"/>
      <sheetName val="RCC_Retaining_wall43"/>
      <sheetName val="HYDERABAD_SWIMMING_POOL43"/>
      <sheetName val="Rate_analysis43"/>
      <sheetName val="TBAL9697_-group_wise__sdpl43"/>
      <sheetName val="Basement_Budget43"/>
      <sheetName val="Structure_Bills_Qty43"/>
      <sheetName val="beam-reinft-IIInd_floor43"/>
      <sheetName val="Cost_summary43"/>
      <sheetName val="Data_sheet43"/>
      <sheetName val="CFForecast_detail43"/>
      <sheetName val="Ch__List_(2)44"/>
      <sheetName val="Ch__List44"/>
      <sheetName val="PRE__ESTIMATE44"/>
      <sheetName val="QTY-RATE_(Site_09_12_04)44"/>
      <sheetName val="QTY-RATE_(2)44"/>
      <sheetName val="BRAKE_UP_SHEET44"/>
      <sheetName val="Break_up_Sheet44"/>
      <sheetName val="common_area44"/>
      <sheetName val="Block_Work,_Plastering44"/>
      <sheetName val="WATER_PROOFING44"/>
      <sheetName val="EXTENDED_BASEMENT44"/>
      <sheetName val="MASS_EXCAVATION44"/>
      <sheetName val="FOOTING_AND_EXCAVATION44"/>
      <sheetName val="Columns_Reinforcement44"/>
      <sheetName val="COLU_MN44"/>
      <sheetName val="Beams_Reinforcement44"/>
      <sheetName val="GYM_EQUIP44"/>
      <sheetName val="M_&amp;_E44"/>
      <sheetName val="P_&amp;_M44"/>
      <sheetName val="RCC_Retaining_wall44"/>
      <sheetName val="HYDERABAD_SWIMMING_POOL44"/>
      <sheetName val="Rate_analysis44"/>
      <sheetName val="TBAL9697_-group_wise__sdpl44"/>
      <sheetName val="Basement_Budget44"/>
      <sheetName val="Structure_Bills_Qty44"/>
      <sheetName val="beam-reinft-IIInd_floor44"/>
      <sheetName val="Cost_summary44"/>
      <sheetName val="Data_sheet44"/>
      <sheetName val="CFForecast_detail44"/>
      <sheetName val="Ch__List_(2)47"/>
      <sheetName val="Ch__List47"/>
      <sheetName val="PRE__ESTIMATE47"/>
      <sheetName val="QTY-RATE_(Site_09_12_04)47"/>
      <sheetName val="QTY-RATE_(2)47"/>
      <sheetName val="BRAKE_UP_SHEET47"/>
      <sheetName val="Break_up_Sheet47"/>
      <sheetName val="common_area47"/>
      <sheetName val="Block_Work,_Plastering47"/>
      <sheetName val="WATER_PROOFING47"/>
      <sheetName val="EXTENDED_BASEMENT47"/>
      <sheetName val="MASS_EXCAVATION47"/>
      <sheetName val="FOOTING_AND_EXCAVATION47"/>
      <sheetName val="Columns_Reinforcement47"/>
      <sheetName val="COLU_MN47"/>
      <sheetName val="Beams_Reinforcement47"/>
      <sheetName val="GYM_EQUIP47"/>
      <sheetName val="M_&amp;_E47"/>
      <sheetName val="P_&amp;_M47"/>
      <sheetName val="RCC_Retaining_wall47"/>
      <sheetName val="HYDERABAD_SWIMMING_POOL47"/>
      <sheetName val="Rate_analysis47"/>
      <sheetName val="TBAL9697_-group_wise__sdpl47"/>
      <sheetName val="Basement_Budget47"/>
      <sheetName val="Structure_Bills_Qty47"/>
      <sheetName val="beam-reinft-IIInd_floor47"/>
      <sheetName val="Cost_summary47"/>
      <sheetName val="Data_sheet47"/>
      <sheetName val="CFForecast_detail47"/>
      <sheetName val="Ch__List_(2)46"/>
      <sheetName val="Ch__List46"/>
      <sheetName val="PRE__ESTIMATE46"/>
      <sheetName val="QTY-RATE_(Site_09_12_04)46"/>
      <sheetName val="QTY-RATE_(2)46"/>
      <sheetName val="BRAKE_UP_SHEET46"/>
      <sheetName val="Break_up_Sheet46"/>
      <sheetName val="common_area46"/>
      <sheetName val="Block_Work,_Plastering46"/>
      <sheetName val="WATER_PROOFING46"/>
      <sheetName val="EXTENDED_BASEMENT46"/>
      <sheetName val="MASS_EXCAVATION46"/>
      <sheetName val="FOOTING_AND_EXCAVATION46"/>
      <sheetName val="Columns_Reinforcement46"/>
      <sheetName val="COLU_MN46"/>
      <sheetName val="Beams_Reinforcement46"/>
      <sheetName val="GYM_EQUIP46"/>
      <sheetName val="M_&amp;_E46"/>
      <sheetName val="P_&amp;_M46"/>
      <sheetName val="RCC_Retaining_wall46"/>
      <sheetName val="HYDERABAD_SWIMMING_POOL46"/>
      <sheetName val="Rate_analysis46"/>
      <sheetName val="TBAL9697_-group_wise__sdpl46"/>
      <sheetName val="Basement_Budget46"/>
      <sheetName val="Structure_Bills_Qty46"/>
      <sheetName val="beam-reinft-IIInd_floor46"/>
      <sheetName val="Cost_summary46"/>
      <sheetName val="Data_sheet46"/>
      <sheetName val="CFForecast_detail46"/>
      <sheetName val="Ch__List_(2)45"/>
      <sheetName val="Ch__List45"/>
      <sheetName val="PRE__ESTIMATE45"/>
      <sheetName val="QTY-RATE_(Site_09_12_04)45"/>
      <sheetName val="QTY-RATE_(2)45"/>
      <sheetName val="BRAKE_UP_SHEET45"/>
      <sheetName val="Break_up_Sheet45"/>
      <sheetName val="common_area45"/>
      <sheetName val="Block_Work,_Plastering45"/>
      <sheetName val="WATER_PROOFING45"/>
      <sheetName val="EXTENDED_BASEMENT45"/>
      <sheetName val="MASS_EXCAVATION45"/>
      <sheetName val="FOOTING_AND_EXCAVATION45"/>
      <sheetName val="Columns_Reinforcement45"/>
      <sheetName val="COLU_MN45"/>
      <sheetName val="Beams_Reinforcement45"/>
      <sheetName val="GYM_EQUIP45"/>
      <sheetName val="M_&amp;_E45"/>
      <sheetName val="P_&amp;_M45"/>
      <sheetName val="RCC_Retaining_wall45"/>
      <sheetName val="HYDERABAD_SWIMMING_POOL45"/>
      <sheetName val="Rate_analysis45"/>
      <sheetName val="TBAL9697_-group_wise__sdpl45"/>
      <sheetName val="Basement_Budget45"/>
      <sheetName val="Structure_Bills_Qty45"/>
      <sheetName val="beam-reinft-IIInd_floor45"/>
      <sheetName val="Cost_summary45"/>
      <sheetName val="Data_sheet45"/>
      <sheetName val="CFForecast_detail45"/>
      <sheetName val="Ch__List_(2)48"/>
      <sheetName val="Ch__List48"/>
      <sheetName val="PRE__ESTIMATE48"/>
      <sheetName val="QTY-RATE_(Site_09_12_04)48"/>
      <sheetName val="QTY-RATE_(2)48"/>
      <sheetName val="BRAKE_UP_SHEET48"/>
      <sheetName val="Break_up_Sheet48"/>
      <sheetName val="common_area48"/>
      <sheetName val="Block_Work,_Plastering48"/>
      <sheetName val="WATER_PROOFING48"/>
      <sheetName val="EXTENDED_BASEMENT48"/>
      <sheetName val="MASS_EXCAVATION48"/>
      <sheetName val="FOOTING_AND_EXCAVATION48"/>
      <sheetName val="Columns_Reinforcement48"/>
      <sheetName val="COLU_MN48"/>
      <sheetName val="Beams_Reinforcement48"/>
      <sheetName val="GYM_EQUIP48"/>
      <sheetName val="M_&amp;_E48"/>
      <sheetName val="P_&amp;_M48"/>
      <sheetName val="RCC_Retaining_wall48"/>
      <sheetName val="HYDERABAD_SWIMMING_POOL48"/>
      <sheetName val="Rate_analysis48"/>
      <sheetName val="TBAL9697_-group_wise__sdpl48"/>
      <sheetName val="Basement_Budget48"/>
      <sheetName val="Structure_Bills_Qty48"/>
      <sheetName val="beam-reinft-IIInd_floor48"/>
      <sheetName val="Cost_summary48"/>
      <sheetName val="Data_sheet48"/>
      <sheetName val="CFForecast_detail48"/>
      <sheetName val="Ch__List_(2)49"/>
      <sheetName val="Ch__List49"/>
      <sheetName val="PRE__ESTIMATE49"/>
      <sheetName val="QTY-RATE_(Site_09_12_04)49"/>
      <sheetName val="QTY-RATE_(2)49"/>
      <sheetName val="BRAKE_UP_SHEET49"/>
      <sheetName val="Break_up_Sheet49"/>
      <sheetName val="common_area49"/>
      <sheetName val="Block_Work,_Plastering49"/>
      <sheetName val="WATER_PROOFING49"/>
      <sheetName val="EXTENDED_BASEMENT49"/>
      <sheetName val="MASS_EXCAVATION49"/>
      <sheetName val="FOOTING_AND_EXCAVATION49"/>
      <sheetName val="Columns_Reinforcement49"/>
      <sheetName val="COLU_MN49"/>
      <sheetName val="Beams_Reinforcement49"/>
      <sheetName val="GYM_EQUIP49"/>
      <sheetName val="M_&amp;_E49"/>
      <sheetName val="P_&amp;_M49"/>
      <sheetName val="RCC_Retaining_wall49"/>
      <sheetName val="HYDERABAD_SWIMMING_POOL49"/>
      <sheetName val="Rate_analysis49"/>
      <sheetName val="TBAL9697_-group_wise__sdpl49"/>
      <sheetName val="Basement_Budget49"/>
      <sheetName val="Structure_Bills_Qty49"/>
      <sheetName val="beam-reinft-IIInd_floor49"/>
      <sheetName val="Cost_summary49"/>
      <sheetName val="Data_sheet49"/>
      <sheetName val="CFForecast_detail49"/>
      <sheetName val="Ch__List_(2)51"/>
      <sheetName val="Ch__List51"/>
      <sheetName val="PRE__ESTIMATE51"/>
      <sheetName val="QTY-RATE_(Site_09_12_04)51"/>
      <sheetName val="QTY-RATE_(2)51"/>
      <sheetName val="BRAKE_UP_SHEET51"/>
      <sheetName val="Break_up_Sheet51"/>
      <sheetName val="common_area51"/>
      <sheetName val="Block_Work,_Plastering51"/>
      <sheetName val="WATER_PROOFING51"/>
      <sheetName val="EXTENDED_BASEMENT51"/>
      <sheetName val="MASS_EXCAVATION51"/>
      <sheetName val="FOOTING_AND_EXCAVATION51"/>
      <sheetName val="Columns_Reinforcement51"/>
      <sheetName val="COLU_MN51"/>
      <sheetName val="Beams_Reinforcement51"/>
      <sheetName val="GYM_EQUIP51"/>
      <sheetName val="M_&amp;_E51"/>
      <sheetName val="P_&amp;_M51"/>
      <sheetName val="RCC_Retaining_wall51"/>
      <sheetName val="HYDERABAD_SWIMMING_POOL51"/>
      <sheetName val="Rate_analysis51"/>
      <sheetName val="TBAL9697_-group_wise__sdpl51"/>
      <sheetName val="Basement_Budget51"/>
      <sheetName val="Structure_Bills_Qty51"/>
      <sheetName val="beam-reinft-IIInd_floor51"/>
      <sheetName val="Cost_summary51"/>
      <sheetName val="Data_sheet51"/>
      <sheetName val="CFForecast_detail51"/>
      <sheetName val="Ch__List_(2)50"/>
      <sheetName val="Ch__List50"/>
      <sheetName val="PRE__ESTIMATE50"/>
      <sheetName val="QTY-RATE_(Site_09_12_04)50"/>
      <sheetName val="QTY-RATE_(2)50"/>
      <sheetName val="BRAKE_UP_SHEET50"/>
      <sheetName val="Break_up_Sheet50"/>
      <sheetName val="common_area50"/>
      <sheetName val="Block_Work,_Plastering50"/>
      <sheetName val="WATER_PROOFING50"/>
      <sheetName val="EXTENDED_BASEMENT50"/>
      <sheetName val="MASS_EXCAVATION50"/>
      <sheetName val="FOOTING_AND_EXCAVATION50"/>
      <sheetName val="Columns_Reinforcement50"/>
      <sheetName val="COLU_MN50"/>
      <sheetName val="Beams_Reinforcement50"/>
      <sheetName val="GYM_EQUIP50"/>
      <sheetName val="M_&amp;_E50"/>
      <sheetName val="P_&amp;_M50"/>
      <sheetName val="RCC_Retaining_wall50"/>
      <sheetName val="HYDERABAD_SWIMMING_POOL50"/>
      <sheetName val="Rate_analysis50"/>
      <sheetName val="TBAL9697_-group_wise__sdpl50"/>
      <sheetName val="Basement_Budget50"/>
      <sheetName val="Structure_Bills_Qty50"/>
      <sheetName val="beam-reinft-IIInd_floor50"/>
      <sheetName val="Cost_summary50"/>
      <sheetName val="Data_sheet50"/>
      <sheetName val="CFForecast_detail50"/>
      <sheetName val="Ch__List_(2)54"/>
      <sheetName val="Ch__List54"/>
      <sheetName val="PRE__ESTIMATE54"/>
      <sheetName val="QTY-RATE_(Site_09_12_04)54"/>
      <sheetName val="QTY-RATE_(2)54"/>
      <sheetName val="BRAKE_UP_SHEET54"/>
      <sheetName val="Break_up_Sheet54"/>
      <sheetName val="common_area54"/>
      <sheetName val="Block_Work,_Plastering54"/>
      <sheetName val="WATER_PROOFING54"/>
      <sheetName val="EXTENDED_BASEMENT54"/>
      <sheetName val="MASS_EXCAVATION54"/>
      <sheetName val="FOOTING_AND_EXCAVATION54"/>
      <sheetName val="Columns_Reinforcement54"/>
      <sheetName val="COLU_MN54"/>
      <sheetName val="Beams_Reinforcement54"/>
      <sheetName val="GYM_EQUIP54"/>
      <sheetName val="M_&amp;_E54"/>
      <sheetName val="P_&amp;_M54"/>
      <sheetName val="RCC_Retaining_wall54"/>
      <sheetName val="HYDERABAD_SWIMMING_POOL54"/>
      <sheetName val="Rate_analysis54"/>
      <sheetName val="TBAL9697_-group_wise__sdpl54"/>
      <sheetName val="Basement_Budget54"/>
      <sheetName val="Structure_Bills_Qty54"/>
      <sheetName val="beam-reinft-IIInd_floor54"/>
      <sheetName val="Cost_summary54"/>
      <sheetName val="Data_sheet54"/>
      <sheetName val="CFForecast_detail54"/>
      <sheetName val="Ch__List_(2)53"/>
      <sheetName val="Ch__List53"/>
      <sheetName val="PRE__ESTIMATE53"/>
      <sheetName val="QTY-RATE_(Site_09_12_04)53"/>
      <sheetName val="QTY-RATE_(2)53"/>
      <sheetName val="BRAKE_UP_SHEET53"/>
      <sheetName val="Break_up_Sheet53"/>
      <sheetName val="common_area53"/>
      <sheetName val="Block_Work,_Plastering53"/>
      <sheetName val="WATER_PROOFING53"/>
      <sheetName val="EXTENDED_BASEMENT53"/>
      <sheetName val="MASS_EXCAVATION53"/>
      <sheetName val="FOOTING_AND_EXCAVATION53"/>
      <sheetName val="Columns_Reinforcement53"/>
      <sheetName val="COLU_MN53"/>
      <sheetName val="Beams_Reinforcement53"/>
      <sheetName val="GYM_EQUIP53"/>
      <sheetName val="M_&amp;_E53"/>
      <sheetName val="P_&amp;_M53"/>
      <sheetName val="RCC_Retaining_wall53"/>
      <sheetName val="HYDERABAD_SWIMMING_POOL53"/>
      <sheetName val="Rate_analysis53"/>
      <sheetName val="TBAL9697_-group_wise__sdpl53"/>
      <sheetName val="Basement_Budget53"/>
      <sheetName val="Structure_Bills_Qty53"/>
      <sheetName val="beam-reinft-IIInd_floor53"/>
      <sheetName val="Cost_summary53"/>
      <sheetName val="Data_sheet53"/>
      <sheetName val="CFForecast_detail53"/>
      <sheetName val="Ch__List_(2)52"/>
      <sheetName val="Ch__List52"/>
      <sheetName val="PRE__ESTIMATE52"/>
      <sheetName val="QTY-RATE_(Site_09_12_04)52"/>
      <sheetName val="QTY-RATE_(2)52"/>
      <sheetName val="BRAKE_UP_SHEET52"/>
      <sheetName val="Break_up_Sheet52"/>
      <sheetName val="common_area52"/>
      <sheetName val="Block_Work,_Plastering52"/>
      <sheetName val="WATER_PROOFING52"/>
      <sheetName val="EXTENDED_BASEMENT52"/>
      <sheetName val="MASS_EXCAVATION52"/>
      <sheetName val="FOOTING_AND_EXCAVATION52"/>
      <sheetName val="Columns_Reinforcement52"/>
      <sheetName val="COLU_MN52"/>
      <sheetName val="Beams_Reinforcement52"/>
      <sheetName val="GYM_EQUIP52"/>
      <sheetName val="M_&amp;_E52"/>
      <sheetName val="P_&amp;_M52"/>
      <sheetName val="RCC_Retaining_wall52"/>
      <sheetName val="HYDERABAD_SWIMMING_POOL52"/>
      <sheetName val="Rate_analysis52"/>
      <sheetName val="TBAL9697_-group_wise__sdpl52"/>
      <sheetName val="Basement_Budget52"/>
      <sheetName val="Structure_Bills_Qty52"/>
      <sheetName val="beam-reinft-IIInd_floor52"/>
      <sheetName val="Cost_summary52"/>
      <sheetName val="Data_sheet52"/>
      <sheetName val="CFForecast_detail52"/>
      <sheetName val="Ch__List_(2)55"/>
      <sheetName val="Ch__List55"/>
      <sheetName val="PRE__ESTIMATE55"/>
      <sheetName val="QTY-RATE_(Site_09_12_04)55"/>
      <sheetName val="QTY-RATE_(2)55"/>
      <sheetName val="BRAKE_UP_SHEET55"/>
      <sheetName val="Break_up_Sheet55"/>
      <sheetName val="common_area55"/>
      <sheetName val="Block_Work,_Plastering55"/>
      <sheetName val="WATER_PROOFING55"/>
      <sheetName val="EXTENDED_BASEMENT55"/>
      <sheetName val="MASS_EXCAVATION55"/>
      <sheetName val="FOOTING_AND_EXCAVATION55"/>
      <sheetName val="Columns_Reinforcement55"/>
      <sheetName val="COLU_MN55"/>
      <sheetName val="Beams_Reinforcement55"/>
      <sheetName val="GYM_EQUIP55"/>
      <sheetName val="M_&amp;_E55"/>
      <sheetName val="P_&amp;_M55"/>
      <sheetName val="RCC_Retaining_wall55"/>
      <sheetName val="HYDERABAD_SWIMMING_POOL55"/>
      <sheetName val="Rate_analysis55"/>
      <sheetName val="TBAL9697_-group_wise__sdpl55"/>
      <sheetName val="Basement_Budget55"/>
      <sheetName val="Structure_Bills_Qty55"/>
      <sheetName val="beam-reinft-IIInd_floor55"/>
      <sheetName val="Cost_summary55"/>
      <sheetName val="Data_sheet55"/>
      <sheetName val="CFForecast_detail55"/>
      <sheetName val="Dayworks Bill"/>
      <sheetName val="Bills of Quantities"/>
      <sheetName val="GF Colum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ors&amp;wind"/>
      <sheetName val="ABST"/>
      <sheetName val="fin grud"/>
      <sheetName val="fin gym)"/>
      <sheetName val="fin roof &amp; Misc"/>
      <sheetName val="fin TYP"/>
      <sheetName val="rcc( sub)"/>
      <sheetName val="rcc( super) "/>
      <sheetName val="External"/>
      <sheetName val="Misc &amp; roof"/>
      <sheetName val="mas &amp; ext.plast"/>
      <sheetName val="concrete"/>
      <sheetName val="Break up Shee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Break_up_Sheet"/>
      <sheetName val="intr stool brkup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Break_up_Sheet6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Break_up_Sheet4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Break_up_Sheet3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Break_up_Sheet1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Break_up_Sheet2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Break_up_Sheet5"/>
      <sheetName val="P&amp;L"/>
      <sheetName val="EAW Final Accounts - 99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Break_up_Sheet7"/>
      <sheetName val="intr_stool_brkup"/>
      <sheetName val="BILL COV"/>
      <sheetName val="Cost summary"/>
      <sheetName val="Conc"/>
      <sheetName val="std"/>
      <sheetName val="CERTIFICATE"/>
      <sheetName val="CTC"/>
      <sheetName val="Sheet3"/>
      <sheetName val="2 &amp; 3 CG 78 V"/>
      <sheetName val="Main Villa-Walls"/>
      <sheetName val="beam-reinft-IIInd floor"/>
      <sheetName val="Summ"/>
      <sheetName val="meas-wp"/>
      <sheetName val="Fossil_DCF"/>
      <sheetName val="NT items summary"/>
      <sheetName val="Sheet1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Break_up_Sheet8"/>
      <sheetName val="intr_stool_brkup1"/>
      <sheetName val="EAW_Final_Accounts_-_99"/>
      <sheetName val="BILL_COV"/>
      <sheetName val="Cost_summary"/>
      <sheetName val="2_&amp;_3_CG_78_V"/>
      <sheetName val="Main_Villa-Walls"/>
      <sheetName val="beam-reinft-IIInd_floor"/>
      <sheetName val="NT_items_summary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Break_up_Sheet11"/>
      <sheetName val="intr_stool_brkup4"/>
      <sheetName val="EAW_Final_Accounts_-_993"/>
      <sheetName val="BILL_COV3"/>
      <sheetName val="Cost_summary3"/>
      <sheetName val="2_&amp;_3_CG_78_V3"/>
      <sheetName val="Main_Villa-Walls3"/>
      <sheetName val="beam-reinft-IIInd_floor3"/>
      <sheetName val="NT_items_summary3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Break_up_Sheet10"/>
      <sheetName val="intr_stool_brkup3"/>
      <sheetName val="EAW_Final_Accounts_-_992"/>
      <sheetName val="BILL_COV2"/>
      <sheetName val="Cost_summary2"/>
      <sheetName val="2_&amp;_3_CG_78_V2"/>
      <sheetName val="Main_Villa-Walls2"/>
      <sheetName val="beam-reinft-IIInd_floor2"/>
      <sheetName val="NT_items_summary2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Break_up_Sheet9"/>
      <sheetName val="intr_stool_brkup2"/>
      <sheetName val="EAW_Final_Accounts_-_991"/>
      <sheetName val="BILL_COV1"/>
      <sheetName val="Cost_summary1"/>
      <sheetName val="2_&amp;_3_CG_78_V1"/>
      <sheetName val="Main_Villa-Walls1"/>
      <sheetName val="beam-reinft-IIInd_floor1"/>
      <sheetName val="NT_items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eas-Masonry"/>
      <sheetName val="meas-plaster"/>
      <sheetName val="meas-wp"/>
      <sheetName val="Assumptions"/>
      <sheetName val="rcc( sub)"/>
      <sheetName val="Break up She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Rate analysis"/>
      <sheetName val="beam-reinft"/>
      <sheetName val="GM &amp; TA"/>
      <sheetName val="final abstract"/>
      <sheetName val="Civil Boq"/>
      <sheetName val="Fin Sum"/>
      <sheetName val="SBI(Siliguri)"/>
      <sheetName val="D5"/>
      <sheetName val="RATE.XLS"/>
      <sheetName val="gf"/>
      <sheetName val="Analy_7-10"/>
      <sheetName val="Summary 0506"/>
      <sheetName val="Summary 0607- 31.MAR"/>
      <sheetName val="RENT MASTER FILE"/>
      <sheetName val="May"/>
      <sheetName val="IV-Utility"/>
      <sheetName val="jobhist"/>
      <sheetName val="Data sheet"/>
      <sheetName val="Qty Tracking With Rate"/>
      <sheetName val="COST"/>
      <sheetName val="Main-Material"/>
      <sheetName val="analysis"/>
      <sheetName val="13. Steel - Ratio"/>
      <sheetName val="recon_"/>
      <sheetName val="_04_-_0_5"/>
      <sheetName val="05_-__0_6_"/>
      <sheetName val="Prelims_Rose"/>
      <sheetName val="Indian_tools"/>
      <sheetName val="COST-SFT-_FOR_COS"/>
      <sheetName val="RMC_Backup"/>
      <sheetName val="MS_ITEMS"/>
      <sheetName val="German_tools_"/>
      <sheetName val="OTHER_PRELIM"/>
      <sheetName val="SALARY_Company_-Rose"/>
      <sheetName val="PETTY_CASH-Rose"/>
      <sheetName val="Site_Operating_Expenses"/>
      <sheetName val="Break_up_Sheet"/>
      <sheetName val="Rate_analysis"/>
      <sheetName val="final_abstract"/>
      <sheetName val="GM_&amp;_TA"/>
      <sheetName val="Civil_Boq"/>
      <sheetName val="Fin_Sum"/>
      <sheetName val="RATE_XLS"/>
      <sheetName val="Summary_0506"/>
      <sheetName val="Summary_0607-_31_MAR"/>
      <sheetName val="RENT_MASTER_FILE"/>
      <sheetName val="Data_sheet"/>
      <sheetName val="Qty_Tracking_With_Rate"/>
      <sheetName val="13__Steel_-_Ratio"/>
      <sheetName val="rcc( sub)"/>
      <sheetName val="NLD - Assum"/>
      <sheetName val="Introduction"/>
      <sheetName val="Model (Not Merged)"/>
      <sheetName val="Summary year Plan"/>
      <sheetName val="D5-P&amp;L"/>
      <sheetName val="wordsdata"/>
      <sheetName val="ELECT"/>
      <sheetName val="Notes"/>
      <sheetName val="recon_1"/>
      <sheetName val="_04_-_0_51"/>
      <sheetName val="05_-__0_6_1"/>
      <sheetName val="Prelims_Rose1"/>
      <sheetName val="Indian_tools1"/>
      <sheetName val="COST-SFT-_FOR_COS1"/>
      <sheetName val="RMC_Backup1"/>
      <sheetName val="MS_ITEMS1"/>
      <sheetName val="German_tools_1"/>
      <sheetName val="OTHER_PRELIM1"/>
      <sheetName val="SALARY_Company_-Rose1"/>
      <sheetName val="PETTY_CASH-Rose1"/>
      <sheetName val="Site_Operating_Expenses1"/>
      <sheetName val="Break_up_Sheet1"/>
      <sheetName val="Rate_analysis1"/>
      <sheetName val="GM_&amp;_TA1"/>
      <sheetName val="final_abstract1"/>
      <sheetName val="Civil_Boq1"/>
      <sheetName val="Fin_Sum1"/>
      <sheetName val="RATE_XLS1"/>
      <sheetName val="Summary_05061"/>
      <sheetName val="Summary_0607-_31_MAR1"/>
      <sheetName val="RENT_MASTER_FILE1"/>
      <sheetName val="Data_sheet1"/>
      <sheetName val="Qty_Tracking_With_Rate1"/>
      <sheetName val="13__Steel_-_Ratio1"/>
      <sheetName val="rcc(_sub)"/>
      <sheetName val="NLD_-_Assum"/>
      <sheetName val="Model_(Not_Merged)"/>
      <sheetName val="Summary_year_Plan"/>
      <sheetName val="ONCOST-N_top sheet j&amp;p"/>
      <sheetName val="Sheet1"/>
      <sheetName val="concrete"/>
      <sheetName val="CFForecast detail"/>
      <sheetName val="細目"/>
      <sheetName val="RateAnalysis"/>
      <sheetName val="tuong"/>
      <sheetName val="Abstract Sheet"/>
      <sheetName val="Abstract_Sheet"/>
      <sheetName val="Abstract_Sheet1"/>
      <sheetName val="PRECAST lightconc-II"/>
      <sheetName val="Page1"/>
      <sheetName val="Window"/>
      <sheetName val="Mar03Atp"/>
      <sheetName val="tables"/>
      <sheetName val="Name Lists"/>
      <sheetName val="Boq_ structure "/>
      <sheetName val="Input"/>
      <sheetName val="seT"/>
      <sheetName val="monitoring-breakup Feb02"/>
      <sheetName val="analysis-superstructure"/>
      <sheetName val="Quote Sheet"/>
      <sheetName val="Aug 05-SOBHA Rose- P Q S Revise"/>
      <sheetName val="Sheet2"/>
      <sheetName val="Boq"/>
      <sheetName val="Direct cost shed A-2 "/>
      <sheetName val="Basic Rates"/>
      <sheetName val="Quote_Sheet"/>
      <sheetName val="meas-wp"/>
      <sheetName val="Conc"/>
      <sheetName val="Footings"/>
      <sheetName val="149"/>
      <sheetName val="sept-plan"/>
      <sheetName val="PRL"/>
      <sheetName val="A.O.R."/>
      <sheetName val="SRC-B3U2"/>
      <sheetName val="Contents"/>
      <sheetName val="TBAL9697 -group wise  sdpl"/>
      <sheetName val="Civil Meas"/>
      <sheetName val="est"/>
      <sheetName val="Staff"/>
      <sheetName val="PURCHASE REQUISITION STATUS"/>
      <sheetName val="Staff Forecast spread"/>
      <sheetName val="Arch"/>
      <sheetName val="Load Details(B1)"/>
      <sheetName val="Wag&amp;Sal"/>
      <sheetName val="master"/>
      <sheetName val="Construction"/>
      <sheetName val="Labor abs-NMR"/>
      <sheetName val="Sheet3 (2)"/>
      <sheetName val="XREF"/>
      <sheetName val="Summary"/>
      <sheetName val="Interior"/>
      <sheetName val="ELECTRICAL"/>
      <sheetName val="FAS"/>
      <sheetName val="Breakup"/>
      <sheetName val="Network "/>
      <sheetName val="HVAC"/>
      <sheetName val="AV works"/>
      <sheetName val="HPL"/>
      <sheetName val="재1"/>
      <sheetName val="Settings"/>
      <sheetName val="Pile cap"/>
      <sheetName val="d-safe specs"/>
      <sheetName val="Material_"/>
      <sheetName val="2gii"/>
      <sheetName val="Design"/>
      <sheetName val="RP2"/>
      <sheetName val="RCC,Ret. Wall"/>
      <sheetName val="dBase"/>
      <sheetName val="Factor_sheet"/>
      <sheetName val="recon_2"/>
      <sheetName val="_04_-_0_52"/>
      <sheetName val="05_-__0_6_2"/>
      <sheetName val="Prelims_Rose2"/>
      <sheetName val="Indian_tools2"/>
      <sheetName val="COST-SFT-_FOR_COS2"/>
      <sheetName val="RMC_Backup2"/>
      <sheetName val="MS_ITEMS2"/>
      <sheetName val="German_tools_2"/>
      <sheetName val="OTHER_PRELIM2"/>
      <sheetName val="SALARY_Company_-Rose2"/>
      <sheetName val="PETTY_CASH-Rose2"/>
      <sheetName val="Site_Operating_Expenses2"/>
      <sheetName val="Break_up_Sheet2"/>
      <sheetName val="Rate_analysis2"/>
      <sheetName val="GM_&amp;_TA2"/>
      <sheetName val="final_abstract2"/>
      <sheetName val="Civil_Boq2"/>
      <sheetName val="Fin_Sum2"/>
      <sheetName val="RATE_XLS2"/>
      <sheetName val="Summary_05062"/>
      <sheetName val="Summary_0607-_31_MAR2"/>
      <sheetName val="RENT_MASTER_FILE2"/>
      <sheetName val="Data_sheet2"/>
      <sheetName val="Qty_Tracking_With_Rate2"/>
      <sheetName val="13__Steel_-_Ratio2"/>
      <sheetName val="rcc(_sub)1"/>
      <sheetName val="NLD_-_Assum1"/>
      <sheetName val="Model_(Not_Merged)1"/>
      <sheetName val="Summary_year_Plan1"/>
      <sheetName val="ONCOST-N_top_sheet_j&amp;p"/>
      <sheetName val="CFForecast_detail"/>
      <sheetName val="Abstract_Sheet2"/>
      <sheetName val="PRECAST_lightconc-II"/>
      <sheetName val="Name_Lists"/>
      <sheetName val="Boq__structure_"/>
      <sheetName val="monitoring-breakup_Feb02"/>
      <sheetName val="Quote_Sheet1"/>
      <sheetName val="Aug_05-SOBHA_Rose-_P_Q_S_Revise"/>
      <sheetName val="Direct_cost_shed_A-2_"/>
      <sheetName val="Basic_Rates"/>
      <sheetName val="A_O_R_"/>
      <sheetName val="TBAL9697_-group_wise__sdpl"/>
      <sheetName val="Civil_Meas"/>
      <sheetName val="PURCHASE_REQUISITION_STATUS"/>
      <sheetName val="Staff_Forecast_spread"/>
      <sheetName val="Load_Details(B1)"/>
      <sheetName val="Labor_abs-NMR"/>
      <sheetName val="Sheet3_(2)"/>
      <sheetName val="Network_"/>
      <sheetName val="AV_works"/>
      <sheetName val="Pile_cap"/>
      <sheetName val="d-safe_specs"/>
      <sheetName val="RCC,Ret__Wall"/>
      <sheetName val="Bu_Lookup"/>
      <sheetName val="GL_Lookup"/>
      <sheetName val="L.B.D"/>
      <sheetName val="GD"/>
      <sheetName val="Fee Rate Summary"/>
      <sheetName val="Legend-Finishing Activities"/>
      <sheetName val="ACS(1)"/>
      <sheetName val="FAS-C(4)"/>
      <sheetName val="CCTV(old)"/>
      <sheetName val="SSR _ NSSR Market final"/>
      <sheetName val="预算"/>
      <sheetName val="B1"/>
      <sheetName val="Material "/>
      <sheetName val="Risk Analysis"/>
      <sheetName val="Back filling"/>
      <sheetName val="NT items summary"/>
      <sheetName val="Basement Budget"/>
      <sheetName val="CABLERET"/>
      <sheetName val="Load Details(B2)"/>
      <sheetName val="3"/>
      <sheetName val="Factors"/>
      <sheetName val="Bill 3 - Site Works"/>
      <sheetName val="9"/>
      <sheetName val="BFS"/>
      <sheetName val="Controls"/>
      <sheetName val="Names&amp;Cases"/>
      <sheetName val="Assumptions"/>
      <sheetName val="RA-markate"/>
      <sheetName val="girder"/>
      <sheetName val="Calc_ISC"/>
      <sheetName val="99 조정금액"/>
      <sheetName val="경비공통"/>
      <sheetName val="PointNo.5"/>
      <sheetName val="COA-17"/>
      <sheetName val="C-18"/>
      <sheetName val="Column steel"/>
      <sheetName val="FCCB "/>
      <sheetName val="SITEL"/>
      <sheetName val="Inter unit set off"/>
      <sheetName val="BHANDUP"/>
      <sheetName val="12"/>
      <sheetName val="MASTER - MARCH"/>
      <sheetName val="?????"/>
      <sheetName val="Top_Sheet"/>
      <sheetName val="_____"/>
      <sheetName val="Boq__structure_1"/>
      <sheetName val="Direct_cost_shed_A-2_1"/>
      <sheetName val="nanjprofit"/>
      <sheetName val="계정"/>
      <sheetName val="shuttering"/>
      <sheetName val="Attributes"/>
      <sheetName val="allocation"/>
      <sheetName val="FCCB_"/>
      <sheetName val="labour coeff"/>
      <sheetName val="PFF-est"/>
      <sheetName val="Timesheet"/>
      <sheetName val="Measurment"/>
      <sheetName val="NON-TOWER WATER TANK"/>
      <sheetName val="num-word"/>
      <sheetName val="A"/>
      <sheetName val="INTERIOR "/>
      <sheetName val="CASHFLOWS"/>
      <sheetName val="MASTER_RATE ANALYSIS"/>
      <sheetName val="9. Package split - Cost "/>
      <sheetName val="crews"/>
      <sheetName val="Boiler&amp;TG"/>
      <sheetName val="CERTIFICATE"/>
      <sheetName val="PriceSummary"/>
      <sheetName val="Consolidated"/>
      <sheetName val="#REF"/>
      <sheetName val="sheeet7"/>
      <sheetName val="Project Info"/>
      <sheetName val="recon_3"/>
      <sheetName val="_04_-_0_53"/>
      <sheetName val="05_-__0_6_3"/>
      <sheetName val="Prelims_Rose3"/>
      <sheetName val="Indian_tools3"/>
      <sheetName val="COST-SFT-_FOR_COS3"/>
      <sheetName val="RMC_Backup3"/>
      <sheetName val="MS_ITEMS3"/>
      <sheetName val="German_tools_3"/>
      <sheetName val="OTHER_PRELIM3"/>
      <sheetName val="SALARY_Company_-Rose3"/>
      <sheetName val="PETTY_CASH-Rose3"/>
      <sheetName val="Site_Operating_Expenses3"/>
      <sheetName val="Break_up_Sheet3"/>
      <sheetName val="Rate_analysis3"/>
      <sheetName val="GM_&amp;_TA3"/>
      <sheetName val="final_abstract3"/>
      <sheetName val="Civil_Boq3"/>
      <sheetName val="Fin_Sum3"/>
      <sheetName val="RATE_XLS3"/>
      <sheetName val="Summary_05063"/>
      <sheetName val="Summary_0607-_31_MAR3"/>
      <sheetName val="RENT_MASTER_FILE3"/>
      <sheetName val="Data_sheet3"/>
      <sheetName val="Qty_Tracking_With_Rate3"/>
      <sheetName val="13__Steel_-_Ratio3"/>
      <sheetName val="rcc(_sub)2"/>
      <sheetName val="NLD_-_Assum2"/>
      <sheetName val="Model_(Not_Merged)2"/>
      <sheetName val="Summary_year_Plan2"/>
      <sheetName val="ONCOST-N_top_sheet_j&amp;p1"/>
      <sheetName val="A_O_R_1"/>
      <sheetName val="CFForecast_detail1"/>
      <sheetName val="Abstract_Sheet3"/>
      <sheetName val="PRECAST_lightconc-II1"/>
      <sheetName val="Name_Lists1"/>
      <sheetName val="RCC,Ret__Wall1"/>
      <sheetName val="monitoring-breakup_Feb021"/>
      <sheetName val="Quote_Sheet2"/>
      <sheetName val="Aug_05-SOBHA_Rose-_P_Q_S_Revis1"/>
      <sheetName val="Basic_Rates1"/>
      <sheetName val="Civil_Meas1"/>
      <sheetName val="PURCHASE_REQUISITION_STATUS1"/>
      <sheetName val="Load_Details(B1)1"/>
      <sheetName val="Project_Info"/>
      <sheetName val="Site Dev BOQ"/>
      <sheetName val="PNL"/>
      <sheetName val="horizontal"/>
      <sheetName val="CashFlow"/>
      <sheetName val="Comp"/>
      <sheetName val="orderbking_0204_0209"/>
      <sheetName val="YTD"/>
      <sheetName val="Q-Data"/>
      <sheetName val="Cal"/>
      <sheetName val="Data"/>
      <sheetName val="Voucher"/>
      <sheetName val="GS- Pro Services EMEA"/>
      <sheetName val="Old"/>
      <sheetName val="switch"/>
      <sheetName val="Report"/>
      <sheetName val="Validation list"/>
      <sheetName val="Pile径1m･27"/>
      <sheetName val="Ass4"/>
      <sheetName val="DCF"/>
      <sheetName val="Key Ass"/>
      <sheetName val="Parametry"/>
      <sheetName val="BOQ -II ph 2"/>
      <sheetName val="Inter_unit_set_off"/>
      <sheetName val="recon_4"/>
      <sheetName val="_04_-_0_54"/>
      <sheetName val="05_-__0_6_4"/>
      <sheetName val="Prelims_Rose4"/>
      <sheetName val="Indian_tools4"/>
      <sheetName val="COST-SFT-_FOR_COS4"/>
      <sheetName val="RMC_Backup4"/>
      <sheetName val="MS_ITEMS4"/>
      <sheetName val="German_tools_4"/>
      <sheetName val="OTHER_PRELIM4"/>
      <sheetName val="SALARY_Company_-Rose4"/>
      <sheetName val="PETTY_CASH-Rose4"/>
      <sheetName val="Site_Operating_Expenses4"/>
      <sheetName val="Break_up_Sheet4"/>
      <sheetName val="recon_5"/>
      <sheetName val="_04_-_0_55"/>
      <sheetName val="05_-__0_6_5"/>
      <sheetName val="Prelims_Rose5"/>
      <sheetName val="Indian_tools5"/>
      <sheetName val="COST-SFT-_FOR_COS5"/>
      <sheetName val="RMC_Backup5"/>
      <sheetName val="MS_ITEMS5"/>
      <sheetName val="German_tools_5"/>
      <sheetName val="OTHER_PRELIM5"/>
      <sheetName val="SALARY_Company_-Rose5"/>
      <sheetName val="PETTY_CASH-Rose5"/>
      <sheetName val="Site_Operating_Expenses5"/>
      <sheetName val="Break_up_Sheet5"/>
      <sheetName val="bar bending"/>
      <sheetName val="GF Columns"/>
      <sheetName val="Costing"/>
      <sheetName val="품의서(TL)"/>
      <sheetName val="INDIGINEOUS ITEMS "/>
      <sheetName val="Supplier"/>
      <sheetName val="GRSummary"/>
      <sheetName val="Stacked Column"/>
      <sheetName val="Scatter"/>
      <sheetName val="Parameter"/>
      <sheetName val="1_Project_Profile"/>
      <sheetName val="s"/>
      <sheetName val="keyword"/>
      <sheetName val="2.1 受電設備棟"/>
      <sheetName val="2.2 受・防火水槽"/>
      <sheetName val="2.3 排水処理設備棟"/>
      <sheetName val="2.4 倉庫棟"/>
      <sheetName val="2.5 守衛棟"/>
      <sheetName val="電気設備表"/>
      <sheetName val="Price Comparison"/>
      <sheetName val="Detail"/>
      <sheetName val="Headings"/>
      <sheetName val="calcul"/>
      <sheetName val="Lead"/>
      <sheetName val="10. &amp; 11. Rate Code &amp; BQ"/>
      <sheetName val="NOT FULL RESTRAINT"/>
      <sheetName val="BEARING &amp; BUCKLING"/>
      <sheetName val="PFC"/>
      <sheetName val="UC"/>
      <sheetName val="RSJ"/>
      <sheetName val="Sheet3"/>
      <sheetName val="PRICE COMP"/>
      <sheetName val="except wiring"/>
      <sheetName val="Field Values"/>
      <sheetName val="Material"/>
      <sheetName val="GBW"/>
      <sheetName val="REPAIR&amp; MAINT"/>
      <sheetName val="BOQ Distribution"/>
      <sheetName val="Projects"/>
      <sheetName val="App Q"/>
      <sheetName val="SALE"/>
      <sheetName val="Digestion"/>
      <sheetName val="Aseet1998"/>
      <sheetName val="RECAPITULATION"/>
      <sheetName val="Schd 8 Input"/>
      <sheetName val="PC Master List"/>
      <sheetName val="cubes_M20"/>
      <sheetName val="Ward areas"/>
      <sheetName val="STEEL STRUCTURE"/>
      <sheetName val="Code"/>
      <sheetName val="Dashboard"/>
      <sheetName val="Finishing"/>
      <sheetName val="Commercial Impact"/>
      <sheetName val="Deviation Impact"/>
      <sheetName val="Deviation Impact_Closure"/>
      <sheetName val="Irregularities"/>
      <sheetName val="Abstract"/>
      <sheetName val="200mm BW"/>
      <sheetName val="VDF"/>
      <sheetName val="Kotah skirting"/>
      <sheetName val="COMPLEXALL"/>
      <sheetName val="Project Budget Worksheet"/>
      <sheetName val="L&amp;T Shop Floor Drawings Status"/>
      <sheetName val="SECURITY 1"/>
      <sheetName val="Macro1"/>
      <sheetName val="INPUT SHEET"/>
      <sheetName val="pri-com"/>
      <sheetName val="COLUMN"/>
      <sheetName val="QS Name"/>
      <sheetName val="Insts"/>
      <sheetName val="Approved MTD Proj #'s"/>
      <sheetName val="Indices"/>
      <sheetName val="Pile Cap-Design"/>
      <sheetName val="Lead (Final)"/>
      <sheetName val="Boq__structure_2"/>
      <sheetName val="Direct_cost_shed_A-2_2"/>
      <sheetName val="Legend-Finishing_Activities"/>
      <sheetName val="Risk_Analysis"/>
      <sheetName val="INTERIOR_"/>
      <sheetName val="MASTER_-_MARCH"/>
      <sheetName val="Macro4"/>
      <sheetName val="Plant &amp;  Machinery"/>
      <sheetName val="THK"/>
      <sheetName val="Project Details.."/>
      <sheetName val="co_5"/>
      <sheetName val="SSR &amp; NSSR Market final"/>
      <sheetName val="Legal Risk Analysis"/>
      <sheetName val="DGT"/>
      <sheetName val="det_est"/>
      <sheetName val="Rate_analysis4"/>
      <sheetName val="GM_&amp;_TA4"/>
      <sheetName val="final_abstract4"/>
      <sheetName val="Civil_Boq4"/>
      <sheetName val="Fin_Sum4"/>
      <sheetName val="RATE_XLS4"/>
      <sheetName val="Summary_05064"/>
      <sheetName val="Summary_0607-_31_MAR4"/>
      <sheetName val="RENT_MASTER_FILE4"/>
      <sheetName val="Data_sheet4"/>
      <sheetName val="Qty_Tracking_With_Rate4"/>
      <sheetName val="13__Steel_-_Ratio4"/>
      <sheetName val="rcc(_sub)3"/>
      <sheetName val="NLD_-_Assum3"/>
      <sheetName val="Model_(Not_Merged)3"/>
      <sheetName val="Summary_year_Plan3"/>
      <sheetName val="ONCOST-N_top_sheet_j&amp;p2"/>
      <sheetName val="A_O_R_2"/>
      <sheetName val="CFForecast_detail2"/>
      <sheetName val="Abstract_Sheet4"/>
      <sheetName val="PRECAST_lightconc-II2"/>
      <sheetName val="Name_Lists2"/>
      <sheetName val="monitoring-breakup_Feb022"/>
      <sheetName val="Quote_Sheet3"/>
      <sheetName val="Aug_05-SOBHA_Rose-_P_Q_S_Revis2"/>
      <sheetName val="Basic_Rates2"/>
      <sheetName val="RCC,Ret__Wall2"/>
      <sheetName val="Civil_Meas2"/>
      <sheetName val="PURCHASE_REQUISITION_STATUS2"/>
      <sheetName val="Load_Details(B1)2"/>
      <sheetName val="Project_Info1"/>
      <sheetName val="Jan rej "/>
      <sheetName val="C.T Master"/>
      <sheetName val="Cost red  dt"/>
      <sheetName val="Dt D.T"/>
      <sheetName val="Tie Beams "/>
      <sheetName val="BOQ (2)"/>
      <sheetName val="Options"/>
      <sheetName val="Totowa commitment"/>
      <sheetName val="Service Tax payable"/>
      <sheetName val="DATA ENTRY"/>
      <sheetName val="Balustrade"/>
      <sheetName val="3C,3.5C &amp; 4C Data"/>
      <sheetName val="KPIs"/>
      <sheetName val="recon_6"/>
      <sheetName val="_04_-_0_56"/>
      <sheetName val="05_-__0_6_6"/>
      <sheetName val="Prelims_Rose6"/>
      <sheetName val="Indian_tools6"/>
      <sheetName val="COST-SFT-_FOR_COS6"/>
      <sheetName val="RMC_Backup6"/>
      <sheetName val="MS_ITEMS6"/>
      <sheetName val="German_tools_6"/>
      <sheetName val="OTHER_PRELIM6"/>
      <sheetName val="SALARY_Company_-Rose6"/>
      <sheetName val="PETTY_CASH-Rose6"/>
      <sheetName val="Site_Operating_Expenses6"/>
      <sheetName val="Break_up_Sheet6"/>
      <sheetName val="Rate_analysis5"/>
      <sheetName val="GM_&amp;_TA5"/>
      <sheetName val="final_abstract5"/>
      <sheetName val="Civil_Boq5"/>
      <sheetName val="Fin_Sum5"/>
      <sheetName val="RATE_XLS5"/>
      <sheetName val="Summary_05065"/>
      <sheetName val="Summary_0607-_31_MAR5"/>
      <sheetName val="RENT_MASTER_FILE5"/>
      <sheetName val="Data_sheet5"/>
      <sheetName val="Qty_Tracking_With_Rate5"/>
      <sheetName val="13__Steel_-_Ratio5"/>
      <sheetName val="rcc(_sub)4"/>
      <sheetName val="NLD_-_Assum4"/>
      <sheetName val="Model_(Not_Merged)4"/>
      <sheetName val="Summary_year_Plan4"/>
      <sheetName val="ONCOST-N_top_sheet_j&amp;p3"/>
      <sheetName val="CFForecast_detail3"/>
      <sheetName val="Abstract_Sheet5"/>
      <sheetName val="PRECAST_lightconc-II3"/>
      <sheetName val="Name_Lists3"/>
      <sheetName val="Boq__structure_3"/>
      <sheetName val="monitoring-breakup_Feb023"/>
      <sheetName val="Quote_Sheet4"/>
      <sheetName val="Aug_05-SOBHA_Rose-_P_Q_S_Revis3"/>
      <sheetName val="Direct_cost_shed_A-2_3"/>
      <sheetName val="Basic_Rates3"/>
      <sheetName val="A_O_R_3"/>
      <sheetName val="TBAL9697_-group_wise__sdpl1"/>
      <sheetName val="Civil_Meas3"/>
      <sheetName val="PURCHASE_REQUISITION_STATUS3"/>
      <sheetName val="Staff_Forecast_spread1"/>
      <sheetName val="Load_Details(B1)3"/>
      <sheetName val="Labor_abs-NMR1"/>
      <sheetName val="Sheet3_(2)1"/>
      <sheetName val="Network_1"/>
      <sheetName val="AV_works1"/>
      <sheetName val="Pile_cap1"/>
      <sheetName val="d-safe_specs1"/>
      <sheetName val="RCC,Ret__Wall3"/>
      <sheetName val="L_B_D"/>
      <sheetName val="Fee_Rate_Summary"/>
      <sheetName val="Legend-Finishing_Activities1"/>
      <sheetName val="SSR___NSSR_Market_final"/>
      <sheetName val="Material_1"/>
      <sheetName val="Risk_Analysis1"/>
      <sheetName val="Back_filling"/>
      <sheetName val="NT_items_summary"/>
      <sheetName val="Basement_Budget"/>
      <sheetName val="Load_Details(B2)"/>
      <sheetName val="Bill_3_-_Site_Works"/>
      <sheetName val="99_조정금액"/>
      <sheetName val="PointNo_5"/>
      <sheetName val="Column_steel"/>
      <sheetName val="FCCB_1"/>
      <sheetName val="Inter_unit_set_off1"/>
      <sheetName val="MASTER_-_MARCH1"/>
      <sheetName val="labour_coeff"/>
      <sheetName val="NON-TOWER_WATER_TANK"/>
      <sheetName val="INTERIOR_1"/>
      <sheetName val="MASTER_RATE_ANALYSIS"/>
      <sheetName val="9__Package_split_-_Cost_"/>
      <sheetName val="Project_Info2"/>
      <sheetName val="Site_Dev_BOQ"/>
      <sheetName val="GS-_Pro_Services_EMEA"/>
      <sheetName val="Validation_list"/>
      <sheetName val="Key_Ass"/>
      <sheetName val="BOQ_-II_ph_2"/>
      <sheetName val="bar_bending"/>
      <sheetName val="GF_Columns"/>
      <sheetName val="Jan_rej_"/>
      <sheetName val="C_T_Master"/>
      <sheetName val="Cost_red__dt"/>
      <sheetName val="Dt_D_T"/>
      <sheetName val="Project_Details__"/>
      <sheetName val="SSR_&amp;_NSSR_Market_final"/>
      <sheetName val="INDIGINEOUS_ITEMS_"/>
      <sheetName val="Stacked_Column"/>
      <sheetName val="2_1_受電設備棟"/>
      <sheetName val="2_2_受・防火水槽"/>
      <sheetName val="2_3_排水処理設備棟"/>
      <sheetName val="2_4_倉庫棟"/>
      <sheetName val="2_5_守衛棟"/>
      <sheetName val="Price_Comparison"/>
      <sheetName val="10__&amp;_11__Rate_Code_&amp;_BQ"/>
      <sheetName val="NOT_FULL_RESTRAINT"/>
      <sheetName val="BEARING_&amp;_BUCKLING"/>
      <sheetName val="PRICE_COMP"/>
      <sheetName val="except_wiring"/>
      <sheetName val="Field_Values"/>
      <sheetName val="REPAIR&amp;_MAINT"/>
      <sheetName val="BOQ_Distribution"/>
      <sheetName val="App_Q"/>
      <sheetName val="Schd_8_Input"/>
      <sheetName val="PC_Master_List"/>
      <sheetName val="Ward_areas"/>
      <sheetName val="STEEL_STRUCTURE"/>
      <sheetName val="Commercial_Impact"/>
      <sheetName val="Deviation_Impact"/>
      <sheetName val="Deviation_Impact_Closure"/>
      <sheetName val="200mm_BW"/>
      <sheetName val="Kotah_skirting"/>
      <sheetName val="Project_Budget_Worksheet"/>
      <sheetName val="L&amp;T_Shop_Floor_Drawings_Status"/>
      <sheetName val="SECURITY_1"/>
      <sheetName val="INPUT_SHEET"/>
      <sheetName val="QS_Name"/>
      <sheetName val="Approved_MTD_Proj_#'s"/>
      <sheetName val="Pile_Cap-Design"/>
      <sheetName val="Lead_(Final)"/>
      <sheetName val="Plant_&amp;__Machinery"/>
      <sheetName val="Legal_Risk_Analysis"/>
      <sheetName val="Variables_x"/>
      <sheetName val="Fixed Assets Schedule"/>
      <sheetName val="XL4Poppy"/>
      <sheetName val="Detail In Door Stad"/>
      <sheetName val="1997 IPO"/>
      <sheetName val="Beams "/>
      <sheetName val="Brickwork "/>
      <sheetName val="Finishing items"/>
      <sheetName val="sumary"/>
      <sheetName val="2nd "/>
      <sheetName val="Pay_Sep06"/>
      <sheetName val="FORM7"/>
      <sheetName val="BM"/>
      <sheetName val="doq"/>
      <sheetName val="ICO_budzet_97"/>
      <sheetName val="Ref"/>
      <sheetName val="VCH-SLC"/>
      <sheetName val="factor"/>
      <sheetName val="P&amp;L-BDMC"/>
      <sheetName val="Final Bill of Material"/>
      <sheetName val="Final_Bill_of_Material"/>
      <sheetName val="Basisdaten"/>
      <sheetName val="1.Civil"/>
      <sheetName val="사진"/>
      <sheetName val="A 3.7"/>
      <sheetName val="Anlysis"/>
      <sheetName val="Pur"/>
      <sheetName val="List"/>
      <sheetName val="std.wt."/>
      <sheetName val="HEAD"/>
      <sheetName val="CABLE DATA"/>
      <sheetName val="Detailed Summary (5)"/>
      <sheetName val="COST SUMMARY"/>
      <sheetName val="UNP-NCW "/>
      <sheetName val="labour"/>
      <sheetName val=" COP 100%"/>
      <sheetName val="RA"/>
      <sheetName val="Data Base"/>
      <sheetName val="POI_MASTER_1"/>
      <sheetName val="Hardware"/>
      <sheetName val="PM2"/>
      <sheetName val="MG"/>
      <sheetName val="FY00Budget info"/>
      <sheetName val="pivot"/>
      <sheetName val="ASSETMST"/>
      <sheetName val="SOR"/>
      <sheetName val="moments-table(tri)"/>
      <sheetName val="Global Assmptions"/>
      <sheetName val="sheet6"/>
      <sheetName val="TB"/>
      <sheetName val="FitOutConfCentre"/>
      <sheetName val="DIV 2"/>
      <sheetName val="External VO Log"/>
      <sheetName val="MSH51C"/>
      <sheetName val="DIV_2"/>
      <sheetName val="External_VO_Log"/>
      <sheetName val="0. Index"/>
      <sheetName val="Quantity"/>
      <sheetName val="KP1590_E"/>
      <sheetName val="rc01"/>
      <sheetName val="Doors"/>
      <sheetName val="IO LIST"/>
      <sheetName val="Publicbuilding"/>
      <sheetName val="Inputs"/>
      <sheetName val="00001-00200"/>
      <sheetName val="Calender"/>
      <sheetName val="EmplTable_1-1"/>
      <sheetName val="#Lookup"/>
      <sheetName val="Grade"/>
      <sheetName val="Nationalties"/>
      <sheetName val="Positions"/>
      <sheetName val="Titles"/>
      <sheetName val="Build-up"/>
      <sheetName val="NEWtrn"/>
      <sheetName val="Trend"/>
      <sheetName val="Database"/>
      <sheetName val="SCHEDULE"/>
      <sheetName val="schedule nos"/>
      <sheetName val="Civil Works"/>
      <sheetName val="coa_ramco_168"/>
      <sheetName val="two way-1"/>
      <sheetName val="ridgewood"/>
      <sheetName val="Crash anad corner Guard"/>
      <sheetName val="JOINERY &amp; ALLIED WORKS "/>
      <sheetName val="Legend"/>
      <sheetName val="Name List"/>
      <sheetName val="WPC"/>
      <sheetName val="기계내역서"/>
      <sheetName val="MA"/>
      <sheetName val="Detail 1A"/>
      <sheetName val="200205C"/>
      <sheetName val="Makro1"/>
      <sheetName val="Internal Finishes (Unit types)"/>
      <sheetName val="Reference"/>
      <sheetName val="MAT cost"/>
      <sheetName val="BOQ_Furniture"/>
      <sheetName val="Data-Works (Final)"/>
      <sheetName val="Nov 02 &amp; Dec 02 sal"/>
      <sheetName val="7.0 CLIENT TEMPLATE CAPEX"/>
      <sheetName val="REFERANCE DATA"/>
      <sheetName val="Gen Info"/>
      <sheetName val="Staff Acco."/>
      <sheetName val="BOQELECT"/>
      <sheetName val="2.civil-RA"/>
      <sheetName val="M.R.List (2)"/>
      <sheetName val="Stacked_Column_w_labels"/>
      <sheetName val="DIV.9 CLADDING"/>
      <sheetName val="PERCENTAGE"/>
      <sheetName val="L_B_D1"/>
      <sheetName val="eq_data"/>
      <sheetName val="0000000000000"/>
      <sheetName val="Annexure 2"/>
      <sheetName val="EAW Final Accounts - 99"/>
      <sheetName val="Xenon(R2)"/>
      <sheetName val=" AT-1-220 "/>
      <sheetName val=" BC-220"/>
      <sheetName val="Input "/>
      <sheetName val="WPR-IV"/>
      <sheetName val="PCRPT01 341"/>
      <sheetName val="Intro"/>
      <sheetName val="M-Book for Conc"/>
      <sheetName val="M-Book for FW"/>
      <sheetName val="MB.Prod"/>
      <sheetName val="detail'02"/>
      <sheetName val="DATI_CONS"/>
      <sheetName val="材料"/>
      <sheetName val="#REF!"/>
      <sheetName val="报价明细表"/>
      <sheetName val="cables"/>
      <sheetName val="Electrical Works"/>
      <sheetName val="Struct-Grass root"/>
      <sheetName val="Total  Amoun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입찰내역 발주처 양식"/>
      <sheetName val="SW-TEO"/>
      <sheetName val="工程量"/>
      <sheetName val="4-ME"/>
      <sheetName val="FNI_Spec"/>
      <sheetName val="AN2"/>
      <sheetName val="eqpmad2"/>
      <sheetName val="Material Master"/>
      <sheetName val="CON PROD STOCK RM"/>
      <sheetName val="Section 3_DPR"/>
      <sheetName val="MTO REV.2(ARMOR)"/>
      <sheetName val="Customize Your Invoice"/>
      <sheetName val="Combi"/>
      <sheetName val="HotelFin"/>
      <sheetName val="11-hsd"/>
      <sheetName val="13-septic"/>
      <sheetName val="Fill this out first..."/>
      <sheetName val="MOTO"/>
      <sheetName val="Submitted"/>
      <sheetName val="F.I(BYPASS)"/>
      <sheetName val="Sump_cal"/>
      <sheetName val="Meas.-Hotel Part"/>
      <sheetName val="Rates_PVC"/>
      <sheetName val="산근"/>
      <sheetName val="Calc1"/>
      <sheetName val="Steel Reinforcement Schedule"/>
      <sheetName val="Rollup Summary"/>
      <sheetName val="Analysis-Pav"/>
      <sheetName val="暂估材料"/>
      <sheetName val="sum-all"/>
      <sheetName val="Occ, Other Rev, Exp, Dispo"/>
      <sheetName val="Rate An"/>
      <sheetName val="SAP DATA"/>
      <sheetName val="W SUMMERY"/>
      <sheetName val="PL1"/>
      <sheetName val="H.O. RATES"/>
      <sheetName val="nopat_vdf"/>
      <sheetName val="GIC Template"/>
      <sheetName val="invested capital_vdf"/>
      <sheetName val="ra bill"/>
      <sheetName val="Ins &amp; Bonds"/>
      <sheetName val="1C Data"/>
      <sheetName val="organi synthesis lab"/>
      <sheetName val="Septic Tank"/>
      <sheetName val="recon_9"/>
      <sheetName val="_04_-_0_59"/>
      <sheetName val="05_-__0_6_9"/>
      <sheetName val="Prelims_Rose9"/>
      <sheetName val="Indian_tools9"/>
      <sheetName val="COST-SFT-_FOR_COS9"/>
      <sheetName val="RMC_Backup9"/>
      <sheetName val="MS_ITEMS9"/>
      <sheetName val="German_tools_9"/>
      <sheetName val="OTHER_PRELIM9"/>
      <sheetName val="SALARY_Company_-Rose9"/>
      <sheetName val="PETTY_CASH-Rose9"/>
      <sheetName val="Site_Operating_Expenses9"/>
      <sheetName val="Break_up_Sheet9"/>
      <sheetName val="Rate_analysis8"/>
      <sheetName val="Abstract_Sheet8"/>
      <sheetName val="GM_&amp;_TA8"/>
      <sheetName val="final_abstract8"/>
      <sheetName val="Civil_Boq8"/>
      <sheetName val="Fin_Sum8"/>
      <sheetName val="RATE_XLS8"/>
      <sheetName val="Data_sheet8"/>
      <sheetName val="NLD_-_Assum7"/>
      <sheetName val="Model_(Not_Merged)7"/>
      <sheetName val="Summary_year_Plan7"/>
      <sheetName val="Qty_Tracking_With_Rate8"/>
      <sheetName val="13__Steel_-_Ratio8"/>
      <sheetName val="PRECAST_lightconc-II6"/>
      <sheetName val="Summary_05068"/>
      <sheetName val="Summary_0607-_31_MAR8"/>
      <sheetName val="RENT_MASTER_FILE8"/>
      <sheetName val="rcc(_sub)7"/>
      <sheetName val="Boq__structure_6"/>
      <sheetName val="Direct_cost_shed_A-2_6"/>
      <sheetName val="Basic_Rates6"/>
      <sheetName val="Quote_Sheet7"/>
      <sheetName val="Name_Lists6"/>
      <sheetName val="monitoring-breakup_Feb026"/>
      <sheetName val="CFForecast_detail6"/>
      <sheetName val="Aug_05-SOBHA_Rose-_P_Q_S_Revis6"/>
      <sheetName val="Civil_Meas6"/>
      <sheetName val="PURCHASE_REQUISITION_STATUS6"/>
      <sheetName val="Fee_Rate_Summary3"/>
      <sheetName val="ONCOST-N_top_sheet_j&amp;p6"/>
      <sheetName val="TBAL9697_-group_wise__sdpl4"/>
      <sheetName val="d-safe_specs4"/>
      <sheetName val="Labor_abs-NMR4"/>
      <sheetName val="Sheet3_(2)4"/>
      <sheetName val="Load_Details(B1)6"/>
      <sheetName val="Network_4"/>
      <sheetName val="AV_works4"/>
      <sheetName val="Staff_Forecast_spread4"/>
      <sheetName val="RCC,Ret__Wall6"/>
      <sheetName val="Back_filling3"/>
      <sheetName val="NT_items_summary3"/>
      <sheetName val="Basement_Budget3"/>
      <sheetName val="Risk_Analysis4"/>
      <sheetName val="Legend-Finishing_Activities4"/>
      <sheetName val="A_O_R_6"/>
      <sheetName val="Pile_cap4"/>
      <sheetName val="L_B_D3"/>
      <sheetName val="FCCB_4"/>
      <sheetName val="Material_4"/>
      <sheetName val="Inter_unit_set_off4"/>
      <sheetName val="MASTER_-_MARCH4"/>
      <sheetName val="INTERIOR_4"/>
      <sheetName val="Validation_list3"/>
      <sheetName val="Load_Details(B2)3"/>
      <sheetName val="NON-TOWER_WATER_TANK3"/>
      <sheetName val="bar_bending3"/>
      <sheetName val="GF_Columns3"/>
      <sheetName val="Bill_3_-_Site_Works3"/>
      <sheetName val="99_조정금액3"/>
      <sheetName val="PointNo_53"/>
      <sheetName val="Column_steel3"/>
      <sheetName val="labour_coeff3"/>
      <sheetName val="MASTER_RATE_ANALYSIS3"/>
      <sheetName val="9__Package_split_-_Cost_3"/>
      <sheetName val="BOQ_-II_ph_23"/>
      <sheetName val="SECURITY_13"/>
      <sheetName val="BOQ_Distribution3"/>
      <sheetName val="Ward_areas3"/>
      <sheetName val="INDIGINEOUS_ITEMS_3"/>
      <sheetName val="Stacked_Column3"/>
      <sheetName val="Schd_8_Input3"/>
      <sheetName val="STEEL_STRUCTURE3"/>
      <sheetName val="Commercial_Impact3"/>
      <sheetName val="Deviation_Impact3"/>
      <sheetName val="Deviation_Impact_Closure3"/>
      <sheetName val="200mm_BW3"/>
      <sheetName val="Kotah_skirting3"/>
      <sheetName val="Project_Budget_Worksheet3"/>
      <sheetName val="App_Q3"/>
      <sheetName val="PC_Master_List3"/>
      <sheetName val="L&amp;T_Shop_Floor_Drawings_Status3"/>
      <sheetName val="2_1_受電設備棟3"/>
      <sheetName val="2_2_受・防火水槽3"/>
      <sheetName val="2_3_排水処理設備棟3"/>
      <sheetName val="2_4_倉庫棟3"/>
      <sheetName val="2_5_守衛棟3"/>
      <sheetName val="INPUT_SHEET3"/>
      <sheetName val="Price_Comparison3"/>
      <sheetName val="10__&amp;_11__Rate_Code_&amp;_BQ3"/>
      <sheetName val="NOT_FULL_RESTRAINT3"/>
      <sheetName val="BEARING_&amp;_BUCKLING3"/>
      <sheetName val="PRICE_COMP3"/>
      <sheetName val="except_wiring3"/>
      <sheetName val="Field_Values3"/>
      <sheetName val="REPAIR&amp;_MAINT3"/>
      <sheetName val="QS_Name3"/>
      <sheetName val="Approved_MTD_Proj_#'s3"/>
      <sheetName val="Site_Dev_BOQ3"/>
      <sheetName val="Lead_(Final)3"/>
      <sheetName val="Pile_Cap-Design3"/>
      <sheetName val="Fixed_Assets_Schedule2"/>
      <sheetName val="3C,3_5C_&amp;_4C_Data2"/>
      <sheetName val="Detail_In_Door_Stad2"/>
      <sheetName val="1997_IPO2"/>
      <sheetName val="Tie_Beams_2"/>
      <sheetName val="Beams_2"/>
      <sheetName val="Brickwork_2"/>
      <sheetName val="Finishing_items2"/>
      <sheetName val="BOQ_(2)2"/>
      <sheetName val="2nd_2"/>
      <sheetName val="SSR___NSSR_Market_final3"/>
      <sheetName val="Key_Ass3"/>
      <sheetName val="Project_Details__3"/>
      <sheetName val="SSR_&amp;_NSSR_Market_final3"/>
      <sheetName val="Legal_Risk_Analysis3"/>
      <sheetName val="Plant_&amp;__Machinery3"/>
      <sheetName val="Final_Bill_of_Material3"/>
      <sheetName val="1_Civil2"/>
      <sheetName val="A_3_72"/>
      <sheetName val="std_wt_2"/>
      <sheetName val="CABLE_DATA2"/>
      <sheetName val="Detailed_Summary_(5)2"/>
      <sheetName val="COST_SUMMARY2"/>
      <sheetName val="UNP-NCW_2"/>
      <sheetName val="_COP_100%2"/>
      <sheetName val="Data_Base2"/>
      <sheetName val="FY00Budget_info2"/>
      <sheetName val="Totowa_commitment2"/>
      <sheetName val="GS-_Pro_Services_EMEA3"/>
      <sheetName val="Global_Assmptions2"/>
      <sheetName val="DIV_23"/>
      <sheetName val="External_VO_Log3"/>
      <sheetName val="0__Index2"/>
      <sheetName val="IO_LIST2"/>
      <sheetName val="schedule_nos2"/>
      <sheetName val="Civil_Works2"/>
      <sheetName val="two_way-12"/>
      <sheetName val="Crash_anad_corner_Guard2"/>
      <sheetName val="JOINERY_&amp;_ALLIED_WORKS_2"/>
      <sheetName val="Name_List2"/>
      <sheetName val="Detail_1A2"/>
      <sheetName val="Internal_Finishes_(Unit_types)2"/>
      <sheetName val="MAT_cost2"/>
      <sheetName val="Data-Works_(Final)2"/>
      <sheetName val="Project_Info5"/>
      <sheetName val="Jan_rej_3"/>
      <sheetName val="C_T_Master3"/>
      <sheetName val="Cost_red__dt3"/>
      <sheetName val="Dt_D_T3"/>
      <sheetName val="Service_Tax_payable2"/>
      <sheetName val="DATA_ENTRY2"/>
      <sheetName val="Nov_02_&amp;_Dec_02_sal2"/>
      <sheetName val="7_0_CLIENT_TEMPLATE_CAPEX2"/>
      <sheetName val="recon_8"/>
      <sheetName val="_04_-_0_58"/>
      <sheetName val="05_-__0_6_8"/>
      <sheetName val="Prelims_Rose8"/>
      <sheetName val="Indian_tools8"/>
      <sheetName val="COST-SFT-_FOR_COS8"/>
      <sheetName val="RMC_Backup8"/>
      <sheetName val="MS_ITEMS8"/>
      <sheetName val="German_tools_8"/>
      <sheetName val="OTHER_PRELIM8"/>
      <sheetName val="SALARY_Company_-Rose8"/>
      <sheetName val="PETTY_CASH-Rose8"/>
      <sheetName val="Site_Operating_Expenses8"/>
      <sheetName val="Break_up_Sheet8"/>
      <sheetName val="Rate_analysis7"/>
      <sheetName val="GM_&amp;_TA7"/>
      <sheetName val="final_abstract7"/>
      <sheetName val="Civil_Boq7"/>
      <sheetName val="Fin_Sum7"/>
      <sheetName val="RATE_XLS7"/>
      <sheetName val="Summary_05067"/>
      <sheetName val="Summary_0607-_31_MAR7"/>
      <sheetName val="RENT_MASTER_FILE7"/>
      <sheetName val="Data_sheet7"/>
      <sheetName val="Qty_Tracking_With_Rate7"/>
      <sheetName val="13__Steel_-_Ratio7"/>
      <sheetName val="rcc(_sub)6"/>
      <sheetName val="NLD_-_Assum6"/>
      <sheetName val="Model_(Not_Merged)6"/>
      <sheetName val="Summary_year_Plan6"/>
      <sheetName val="ONCOST-N_top_sheet_j&amp;p5"/>
      <sheetName val="CFForecast_detail5"/>
      <sheetName val="Abstract_Sheet7"/>
      <sheetName val="PRECAST_lightconc-II5"/>
      <sheetName val="Name_Lists5"/>
      <sheetName val="Boq__structure_5"/>
      <sheetName val="monitoring-breakup_Feb025"/>
      <sheetName val="Quote_Sheet6"/>
      <sheetName val="Aug_05-SOBHA_Rose-_P_Q_S_Revis5"/>
      <sheetName val="Direct_cost_shed_A-2_5"/>
      <sheetName val="Basic_Rates5"/>
      <sheetName val="A_O_R_5"/>
      <sheetName val="TBAL9697_-group_wise__sdpl3"/>
      <sheetName val="Civil_Meas5"/>
      <sheetName val="PURCHASE_REQUISITION_STATUS5"/>
      <sheetName val="Staff_Forecast_spread3"/>
      <sheetName val="Load_Details(B1)5"/>
      <sheetName val="Labor_abs-NMR3"/>
      <sheetName val="Sheet3_(2)3"/>
      <sheetName val="Network_3"/>
      <sheetName val="AV_works3"/>
      <sheetName val="Pile_cap3"/>
      <sheetName val="d-safe_specs3"/>
      <sheetName val="RCC,Ret__Wall5"/>
      <sheetName val="L_B_D2"/>
      <sheetName val="Fee_Rate_Summary2"/>
      <sheetName val="Legend-Finishing_Activities3"/>
      <sheetName val="SSR___NSSR_Market_final2"/>
      <sheetName val="Material_3"/>
      <sheetName val="Risk_Analysis3"/>
      <sheetName val="Back_filling2"/>
      <sheetName val="NT_items_summary2"/>
      <sheetName val="Basement_Budget2"/>
      <sheetName val="Load_Details(B2)2"/>
      <sheetName val="Bill_3_-_Site_Works2"/>
      <sheetName val="99_조정금액2"/>
      <sheetName val="PointNo_52"/>
      <sheetName val="Column_steel2"/>
      <sheetName val="FCCB_3"/>
      <sheetName val="Inter_unit_set_off3"/>
      <sheetName val="MASTER_-_MARCH3"/>
      <sheetName val="labour_coeff2"/>
      <sheetName val="NON-TOWER_WATER_TANK2"/>
      <sheetName val="INTERIOR_3"/>
      <sheetName val="MASTER_RATE_ANALYSIS2"/>
      <sheetName val="9__Package_split_-_Cost_2"/>
      <sheetName val="Project_Info4"/>
      <sheetName val="Site_Dev_BOQ2"/>
      <sheetName val="GS-_Pro_Services_EMEA2"/>
      <sheetName val="Validation_list2"/>
      <sheetName val="Key_Ass2"/>
      <sheetName val="BOQ_-II_ph_22"/>
      <sheetName val="bar_bending2"/>
      <sheetName val="GF_Columns2"/>
      <sheetName val="INDIGINEOUS_ITEMS_2"/>
      <sheetName val="Stacked_Column2"/>
      <sheetName val="2_1_受電設備棟2"/>
      <sheetName val="2_2_受・防火水槽2"/>
      <sheetName val="2_3_排水処理設備棟2"/>
      <sheetName val="2_4_倉庫棟2"/>
      <sheetName val="2_5_守衛棟2"/>
      <sheetName val="Price_Comparison2"/>
      <sheetName val="10__&amp;_11__Rate_Code_&amp;_BQ2"/>
      <sheetName val="NOT_FULL_RESTRAINT2"/>
      <sheetName val="BEARING_&amp;_BUCKLING2"/>
      <sheetName val="PRICE_COMP2"/>
      <sheetName val="except_wiring2"/>
      <sheetName val="Field_Values2"/>
      <sheetName val="REPAIR&amp;_MAINT2"/>
      <sheetName val="BOQ_Distribution2"/>
      <sheetName val="App_Q2"/>
      <sheetName val="Schd_8_Input2"/>
      <sheetName val="PC_Master_List2"/>
      <sheetName val="Ward_areas2"/>
      <sheetName val="STEEL_STRUCTURE2"/>
      <sheetName val="Commercial_Impact2"/>
      <sheetName val="Deviation_Impact2"/>
      <sheetName val="Deviation_Impact_Closure2"/>
      <sheetName val="200mm_BW2"/>
      <sheetName val="Kotah_skirting2"/>
      <sheetName val="Project_Budget_Worksheet2"/>
      <sheetName val="L&amp;T_Shop_Floor_Drawings_Status2"/>
      <sheetName val="SECURITY_12"/>
      <sheetName val="INPUT_SHEET2"/>
      <sheetName val="QS_Name2"/>
      <sheetName val="Approved_MTD_Proj_#'s2"/>
      <sheetName val="Pile_Cap-Design2"/>
      <sheetName val="Lead_(Final)2"/>
      <sheetName val="Plant_&amp;__Machinery2"/>
      <sheetName val="Project_Details__2"/>
      <sheetName val="SSR_&amp;_NSSR_Market_final2"/>
      <sheetName val="Legal_Risk_Analysis2"/>
      <sheetName val="Jan_rej_2"/>
      <sheetName val="C_T_Master2"/>
      <sheetName val="Cost_red__dt2"/>
      <sheetName val="Dt_D_T2"/>
      <sheetName val="Tie_Beams_1"/>
      <sheetName val="BOQ_(2)1"/>
      <sheetName val="Totowa_commitment1"/>
      <sheetName val="Service_Tax_payable1"/>
      <sheetName val="DATA_ENTRY1"/>
      <sheetName val="3C,3_5C_&amp;_4C_Data1"/>
      <sheetName val="Fixed_Assets_Schedule1"/>
      <sheetName val="Detail_In_Door_Stad1"/>
      <sheetName val="1997_IPO1"/>
      <sheetName val="Beams_1"/>
      <sheetName val="Brickwork_1"/>
      <sheetName val="Finishing_items1"/>
      <sheetName val="2nd_1"/>
      <sheetName val="Final_Bill_of_Material2"/>
      <sheetName val="1_Civil1"/>
      <sheetName val="A_3_71"/>
      <sheetName val="std_wt_1"/>
      <sheetName val="CABLE_DATA1"/>
      <sheetName val="Detailed_Summary_(5)1"/>
      <sheetName val="COST_SUMMARY1"/>
      <sheetName val="UNP-NCW_1"/>
      <sheetName val="_COP_100%1"/>
      <sheetName val="Data_Base1"/>
      <sheetName val="FY00Budget_info1"/>
      <sheetName val="Global_Assmptions1"/>
      <sheetName val="DIV_22"/>
      <sheetName val="External_VO_Log2"/>
      <sheetName val="0__Index1"/>
      <sheetName val="IO_LIST1"/>
      <sheetName val="schedule_nos1"/>
      <sheetName val="Civil_Works1"/>
      <sheetName val="two_way-11"/>
      <sheetName val="Crash_anad_corner_Guard1"/>
      <sheetName val="JOINERY_&amp;_ALLIED_WORKS_1"/>
      <sheetName val="Name_List1"/>
      <sheetName val="Detail_1A1"/>
      <sheetName val="Internal_Finishes_(Unit_types)1"/>
      <sheetName val="MAT_cost1"/>
      <sheetName val="Data-Works_(Final)1"/>
      <sheetName val="Nov_02_&amp;_Dec_02_sal1"/>
      <sheetName val="7_0_CLIENT_TEMPLATE_CAPEX1"/>
      <sheetName val="REFERANCE_DATA1"/>
      <sheetName val="Gen_Info1"/>
      <sheetName val="Staff_Acco_1"/>
      <sheetName val="recon_7"/>
      <sheetName val="_04_-_0_57"/>
      <sheetName val="05_-__0_6_7"/>
      <sheetName val="Prelims_Rose7"/>
      <sheetName val="Indian_tools7"/>
      <sheetName val="COST-SFT-_FOR_COS7"/>
      <sheetName val="RMC_Backup7"/>
      <sheetName val="MS_ITEMS7"/>
      <sheetName val="German_tools_7"/>
      <sheetName val="OTHER_PRELIM7"/>
      <sheetName val="SALARY_Company_-Rose7"/>
      <sheetName val="PETTY_CASH-Rose7"/>
      <sheetName val="Site_Operating_Expenses7"/>
      <sheetName val="Break_up_Sheet7"/>
      <sheetName val="Rate_analysis6"/>
      <sheetName val="GM_&amp;_TA6"/>
      <sheetName val="final_abstract6"/>
      <sheetName val="Civil_Boq6"/>
      <sheetName val="Fin_Sum6"/>
      <sheetName val="RATE_XLS6"/>
      <sheetName val="Summary_05066"/>
      <sheetName val="Summary_0607-_31_MAR6"/>
      <sheetName val="RENT_MASTER_FILE6"/>
      <sheetName val="Data_sheet6"/>
      <sheetName val="Qty_Tracking_With_Rate6"/>
      <sheetName val="13__Steel_-_Ratio6"/>
      <sheetName val="rcc(_sub)5"/>
      <sheetName val="NLD_-_Assum5"/>
      <sheetName val="Model_(Not_Merged)5"/>
      <sheetName val="Summary_year_Plan5"/>
      <sheetName val="ONCOST-N_top_sheet_j&amp;p4"/>
      <sheetName val="CFForecast_detail4"/>
      <sheetName val="Abstract_Sheet6"/>
      <sheetName val="PRECAST_lightconc-II4"/>
      <sheetName val="Name_Lists4"/>
      <sheetName val="Boq__structure_4"/>
      <sheetName val="monitoring-breakup_Feb024"/>
      <sheetName val="Quote_Sheet5"/>
      <sheetName val="Aug_05-SOBHA_Rose-_P_Q_S_Revis4"/>
      <sheetName val="Direct_cost_shed_A-2_4"/>
      <sheetName val="Basic_Rates4"/>
      <sheetName val="A_O_R_4"/>
      <sheetName val="TBAL9697_-group_wise__sdpl2"/>
      <sheetName val="Civil_Meas4"/>
      <sheetName val="PURCHASE_REQUISITION_STATUS4"/>
      <sheetName val="Staff_Forecast_spread2"/>
      <sheetName val="Load_Details(B1)4"/>
      <sheetName val="Labor_abs-NMR2"/>
      <sheetName val="Sheet3_(2)2"/>
      <sheetName val="Network_2"/>
      <sheetName val="AV_works2"/>
      <sheetName val="Pile_cap2"/>
      <sheetName val="d-safe_specs2"/>
      <sheetName val="RCC,Ret__Wall4"/>
      <sheetName val="Fee_Rate_Summary1"/>
      <sheetName val="Legend-Finishing_Activities2"/>
      <sheetName val="SSR___NSSR_Market_final1"/>
      <sheetName val="Material_2"/>
      <sheetName val="Risk_Analysis2"/>
      <sheetName val="Back_filling1"/>
      <sheetName val="NT_items_summary1"/>
      <sheetName val="Basement_Budget1"/>
      <sheetName val="Load_Details(B2)1"/>
      <sheetName val="Bill_3_-_Site_Works1"/>
      <sheetName val="99_조정금액1"/>
      <sheetName val="PointNo_51"/>
      <sheetName val="Column_steel1"/>
      <sheetName val="FCCB_2"/>
      <sheetName val="Inter_unit_set_off2"/>
      <sheetName val="MASTER_-_MARCH2"/>
      <sheetName val="labour_coeff1"/>
      <sheetName val="NON-TOWER_WATER_TANK1"/>
      <sheetName val="INTERIOR_2"/>
      <sheetName val="MASTER_RATE_ANALYSIS1"/>
      <sheetName val="9__Package_split_-_Cost_1"/>
      <sheetName val="Project_Info3"/>
      <sheetName val="Site_Dev_BOQ1"/>
      <sheetName val="GS-_Pro_Services_EMEA1"/>
      <sheetName val="Validation_list1"/>
      <sheetName val="Key_Ass1"/>
      <sheetName val="BOQ_-II_ph_21"/>
      <sheetName val="bar_bending1"/>
      <sheetName val="GF_Columns1"/>
      <sheetName val="INDIGINEOUS_ITEMS_1"/>
      <sheetName val="Stacked_Column1"/>
      <sheetName val="2_1_受電設備棟1"/>
      <sheetName val="2_2_受・防火水槽1"/>
      <sheetName val="2_3_排水処理設備棟1"/>
      <sheetName val="2_4_倉庫棟1"/>
      <sheetName val="2_5_守衛棟1"/>
      <sheetName val="Price_Comparison1"/>
      <sheetName val="10__&amp;_11__Rate_Code_&amp;_BQ1"/>
      <sheetName val="NOT_FULL_RESTRAINT1"/>
      <sheetName val="BEARING_&amp;_BUCKLING1"/>
      <sheetName val="PRICE_COMP1"/>
      <sheetName val="except_wiring1"/>
      <sheetName val="Field_Values1"/>
      <sheetName val="REPAIR&amp;_MAINT1"/>
      <sheetName val="BOQ_Distribution1"/>
      <sheetName val="App_Q1"/>
      <sheetName val="Schd_8_Input1"/>
      <sheetName val="PC_Master_List1"/>
      <sheetName val="Ward_areas1"/>
      <sheetName val="STEEL_STRUCTURE1"/>
      <sheetName val="Commercial_Impact1"/>
      <sheetName val="Deviation_Impact1"/>
      <sheetName val="Deviation_Impact_Closure1"/>
      <sheetName val="200mm_BW1"/>
      <sheetName val="Kotah_skirting1"/>
      <sheetName val="Project_Budget_Worksheet1"/>
      <sheetName val="L&amp;T_Shop_Floor_Drawings_Status1"/>
      <sheetName val="SECURITY_11"/>
      <sheetName val="INPUT_SHEET1"/>
      <sheetName val="QS_Name1"/>
      <sheetName val="Approved_MTD_Proj_#'s1"/>
      <sheetName val="Pile_Cap-Design1"/>
      <sheetName val="Lead_(Final)1"/>
      <sheetName val="Plant_&amp;__Machinery1"/>
      <sheetName val="Project_Details__1"/>
      <sheetName val="SSR_&amp;_NSSR_Market_final1"/>
      <sheetName val="Legal_Risk_Analysis1"/>
      <sheetName val="Jan_rej_1"/>
      <sheetName val="C_T_Master1"/>
      <sheetName val="Cost_red__dt1"/>
      <sheetName val="Dt_D_T1"/>
      <sheetName val="Tie_Beams_"/>
      <sheetName val="BOQ_(2)"/>
      <sheetName val="Totowa_commitment"/>
      <sheetName val="Service_Tax_payable"/>
      <sheetName val="DATA_ENTRY"/>
      <sheetName val="3C,3_5C_&amp;_4C_Data"/>
      <sheetName val="Fixed_Assets_Schedule"/>
      <sheetName val="Detail_In_Door_Stad"/>
      <sheetName val="1997_IPO"/>
      <sheetName val="Beams_"/>
      <sheetName val="Brickwork_"/>
      <sheetName val="Finishing_items"/>
      <sheetName val="2nd_"/>
      <sheetName val="Final_Bill_of_Material1"/>
      <sheetName val="1_Civil"/>
      <sheetName val="A_3_7"/>
      <sheetName val="std_wt_"/>
      <sheetName val="CABLE_DATA"/>
      <sheetName val="Detailed_Summary_(5)"/>
      <sheetName val="COST_SUMMARY"/>
      <sheetName val="UNP-NCW_"/>
      <sheetName val="_COP_100%"/>
      <sheetName val="Data_Base"/>
      <sheetName val="FY00Budget_info"/>
      <sheetName val="Global_Assmptions"/>
      <sheetName val="DIV_21"/>
      <sheetName val="External_VO_Log1"/>
      <sheetName val="0__Index"/>
      <sheetName val="IO_LIST"/>
      <sheetName val="schedule_nos"/>
      <sheetName val="Civil_Works"/>
      <sheetName val="two_way-1"/>
      <sheetName val="Crash_anad_corner_Guard"/>
      <sheetName val="JOINERY_&amp;_ALLIED_WORKS_"/>
      <sheetName val="Name_List"/>
      <sheetName val="Detail_1A"/>
      <sheetName val="Internal_Finishes_(Unit_types)"/>
      <sheetName val="MAT_cost"/>
      <sheetName val="Data-Works_(Final)"/>
      <sheetName val="Nov_02_&amp;_Dec_02_sal"/>
      <sheetName val="7_0_CLIENT_TEMPLATE_CAPEX"/>
      <sheetName val="REFERANCE_DATA"/>
      <sheetName val="Gen_Info"/>
      <sheetName val="Staff_Acco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T-CIVIL"/>
      <sheetName val="Conc"/>
      <sheetName val="Micro"/>
      <sheetName val="Macro"/>
      <sheetName val="Scaff-Rose"/>
      <sheetName val="meas-wp"/>
      <sheetName val="rcc( sub)"/>
      <sheetName val="final esti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07"/>
      <sheetName val="Project Information"/>
      <sheetName val="cost &amp; profit"/>
      <sheetName val="final estimate"/>
      <sheetName val="Tot Qty"/>
      <sheetName val="SS inlay"/>
      <sheetName val="hard finishes New"/>
      <sheetName val="kitchen equip."/>
      <sheetName val="Sheet1"/>
      <sheetName val="tiling labour cost"/>
      <sheetName val="hard finishes"/>
      <sheetName val="hard finishes (2)"/>
      <sheetName val="fire fighting"/>
      <sheetName val="BOQ-interiors"/>
      <sheetName val="BOQ-ALU. works"/>
      <sheetName val="BOQ-SS railing"/>
      <sheetName val="BOQ railling &amp; inlay"/>
      <sheetName val="shower partition"/>
      <sheetName val="P&amp;M Master Latest "/>
      <sheetName val="footing concrete"/>
      <sheetName val="EXCAVATION"/>
      <sheetName val="Retainingwall conc"/>
      <sheetName val="column concrete BF "/>
      <sheetName val="GFbeam concrete"/>
      <sheetName val="other civil works"/>
      <sheetName val="UG sump,STP,Laundry sump,OHT"/>
      <sheetName val="Plinth beam"/>
      <sheetName val="slab-GF"/>
      <sheetName val="Beam-GF"/>
      <sheetName val="column reft Bf "/>
      <sheetName val="column reft GF"/>
      <sheetName val="column upper floors"/>
      <sheetName val="Ret.wall steel "/>
      <sheetName val="ret wall reft"/>
      <sheetName val="OHT rfmt"/>
      <sheetName val="STP rfmt"/>
      <sheetName val="Staircase rfmt"/>
      <sheetName val="Staircase"/>
      <sheetName val="UG sump rfmt"/>
      <sheetName val="LMR rfmt"/>
      <sheetName val="Plinth Beam Rft"/>
      <sheetName val="false ceiling "/>
      <sheetName val="baesment ceiling "/>
      <sheetName val="ground ceiling"/>
      <sheetName val="FF Ceiling"/>
      <sheetName val="Flooring"/>
      <sheetName val="toilet dadooing"/>
      <sheetName val="toilet dadooing (2)"/>
      <sheetName val="Dadoing"/>
      <sheetName val="staircase finishes "/>
      <sheetName val="Block work "/>
      <sheetName val="Cover Blocks"/>
      <sheetName val="Rate Analysis Cover Blocks"/>
      <sheetName val="Aluminium templates"/>
      <sheetName val="water proofing"/>
      <sheetName val="cills,lintels,chejjas&amp; nib col."/>
      <sheetName val="EARTH PIT"/>
      <sheetName val="TRANSFORMER YARD"/>
      <sheetName val="Percolation pit with Chamber"/>
      <sheetName val="NMR"/>
      <sheetName val="openings "/>
      <sheetName val="Bore"/>
      <sheetName val="Breakup-POP"/>
      <sheetName val="POP"/>
      <sheetName val="Bore (2)"/>
      <sheetName val="Break up Sheet"/>
      <sheetName val="Conc"/>
      <sheetName val="Micro"/>
      <sheetName val="Macro"/>
      <sheetName val="Scaff-Rose"/>
      <sheetName val="July_07"/>
      <sheetName val="Project_Information"/>
      <sheetName val="cost_&amp;_profit"/>
      <sheetName val="final_estimate"/>
      <sheetName val="Tot_Qty"/>
      <sheetName val="SS_inlay"/>
      <sheetName val="hard_finishes_New"/>
      <sheetName val="kitchen_equip_"/>
      <sheetName val="tiling_labour_cost"/>
      <sheetName val="hard_finishes"/>
      <sheetName val="hard_finishes_(2)"/>
      <sheetName val="fire_fighting"/>
      <sheetName val="BOQ-ALU__works"/>
      <sheetName val="BOQ-SS_railing"/>
      <sheetName val="BOQ_railling_&amp;_inlay"/>
      <sheetName val="shower_partition"/>
      <sheetName val="P&amp;M_Master_Latest_"/>
      <sheetName val="footing_concrete"/>
      <sheetName val="Retainingwall_conc"/>
      <sheetName val="column_concrete_BF_"/>
      <sheetName val="GFbeam_concrete"/>
      <sheetName val="other_civil_works"/>
      <sheetName val="UG_sump,STP,Laundry_sump,OHT"/>
      <sheetName val="Plinth_beam"/>
      <sheetName val="column_reft_Bf_"/>
      <sheetName val="column_reft_GF"/>
      <sheetName val="column_upper_floors"/>
      <sheetName val="Ret_wall_steel_"/>
      <sheetName val="ret_wall_reft"/>
      <sheetName val="OHT_rfmt"/>
      <sheetName val="STP_rfmt"/>
      <sheetName val="Staircase_rfmt"/>
      <sheetName val="UG_sump_rfmt"/>
      <sheetName val="LMR_rfmt"/>
      <sheetName val="Plinth_Beam_Rft"/>
      <sheetName val="false_ceiling_"/>
      <sheetName val="baesment_ceiling_"/>
      <sheetName val="ground_ceiling"/>
      <sheetName val="FF_Ceiling"/>
      <sheetName val="toilet_dadooing"/>
      <sheetName val="toilet_dadooing_(2)"/>
      <sheetName val="staircase_finishes_"/>
      <sheetName val="Block_work_"/>
      <sheetName val="Cover_Blocks"/>
      <sheetName val="Rate_Analysis_Cover_Blocks"/>
      <sheetName val="Aluminium_templates"/>
      <sheetName val="water_proofing"/>
      <sheetName val="cills,lintels,chejjas&amp;_nib_col_"/>
      <sheetName val="EARTH_PIT"/>
      <sheetName val="TRANSFORMER_YARD"/>
      <sheetName val="Percolation_pit_with_Chamber"/>
      <sheetName val="openings_"/>
      <sheetName val="Bore_(2)"/>
      <sheetName val="Break_up_Sheet"/>
      <sheetName val="EST-CIVIL"/>
      <sheetName val="rcc( sub)"/>
      <sheetName val="updated est 04.04.08"/>
      <sheetName val="July_076"/>
      <sheetName val="Project_Information6"/>
      <sheetName val="cost_&amp;_profit6"/>
      <sheetName val="final_estimate6"/>
      <sheetName val="Tot_Qty6"/>
      <sheetName val="SS_inlay6"/>
      <sheetName val="hard_finishes_New6"/>
      <sheetName val="kitchen_equip_6"/>
      <sheetName val="tiling_labour_cost6"/>
      <sheetName val="hard_finishes6"/>
      <sheetName val="hard_finishes_(2)6"/>
      <sheetName val="fire_fighting6"/>
      <sheetName val="BOQ-ALU__works6"/>
      <sheetName val="BOQ-SS_railing6"/>
      <sheetName val="BOQ_railling_&amp;_inlay6"/>
      <sheetName val="shower_partition6"/>
      <sheetName val="P&amp;M_Master_Latest_6"/>
      <sheetName val="footing_concrete6"/>
      <sheetName val="Retainingwall_conc6"/>
      <sheetName val="column_concrete_BF_6"/>
      <sheetName val="GFbeam_concrete6"/>
      <sheetName val="other_civil_works6"/>
      <sheetName val="UG_sump,STP,Laundry_sump,OHT6"/>
      <sheetName val="Plinth_beam6"/>
      <sheetName val="column_reft_Bf_6"/>
      <sheetName val="column_reft_GF6"/>
      <sheetName val="column_upper_floors6"/>
      <sheetName val="Ret_wall_steel_6"/>
      <sheetName val="ret_wall_reft6"/>
      <sheetName val="OHT_rfmt6"/>
      <sheetName val="STP_rfmt6"/>
      <sheetName val="Staircase_rfmt6"/>
      <sheetName val="UG_sump_rfmt6"/>
      <sheetName val="LMR_rfmt6"/>
      <sheetName val="Plinth_Beam_Rft6"/>
      <sheetName val="false_ceiling_6"/>
      <sheetName val="baesment_ceiling_6"/>
      <sheetName val="ground_ceiling6"/>
      <sheetName val="FF_Ceiling6"/>
      <sheetName val="toilet_dadooing6"/>
      <sheetName val="toilet_dadooing_(2)6"/>
      <sheetName val="staircase_finishes_6"/>
      <sheetName val="Block_work_6"/>
      <sheetName val="Cover_Blocks6"/>
      <sheetName val="Rate_Analysis_Cover_Blocks6"/>
      <sheetName val="Aluminium_templates6"/>
      <sheetName val="water_proofing6"/>
      <sheetName val="cills,lintels,chejjas&amp;_nib_col6"/>
      <sheetName val="EARTH_PIT6"/>
      <sheetName val="TRANSFORMER_YARD6"/>
      <sheetName val="Percolation_pit_with_Chamber6"/>
      <sheetName val="openings_6"/>
      <sheetName val="Bore_(2)6"/>
      <sheetName val="Break_up_Sheet6"/>
      <sheetName val="July_074"/>
      <sheetName val="Project_Information4"/>
      <sheetName val="cost_&amp;_profit4"/>
      <sheetName val="final_estimate4"/>
      <sheetName val="Tot_Qty4"/>
      <sheetName val="SS_inlay4"/>
      <sheetName val="hard_finishes_New4"/>
      <sheetName val="kitchen_equip_4"/>
      <sheetName val="tiling_labour_cost4"/>
      <sheetName val="hard_finishes4"/>
      <sheetName val="hard_finishes_(2)4"/>
      <sheetName val="fire_fighting4"/>
      <sheetName val="BOQ-ALU__works4"/>
      <sheetName val="BOQ-SS_railing4"/>
      <sheetName val="BOQ_railling_&amp;_inlay4"/>
      <sheetName val="shower_partition4"/>
      <sheetName val="P&amp;M_Master_Latest_4"/>
      <sheetName val="footing_concrete4"/>
      <sheetName val="Retainingwall_conc4"/>
      <sheetName val="column_concrete_BF_4"/>
      <sheetName val="GFbeam_concrete4"/>
      <sheetName val="other_civil_works4"/>
      <sheetName val="UG_sump,STP,Laundry_sump,OHT4"/>
      <sheetName val="Plinth_beam4"/>
      <sheetName val="column_reft_Bf_4"/>
      <sheetName val="column_reft_GF4"/>
      <sheetName val="column_upper_floors4"/>
      <sheetName val="Ret_wall_steel_4"/>
      <sheetName val="ret_wall_reft4"/>
      <sheetName val="OHT_rfmt4"/>
      <sheetName val="STP_rfmt4"/>
      <sheetName val="Staircase_rfmt4"/>
      <sheetName val="UG_sump_rfmt4"/>
      <sheetName val="LMR_rfmt4"/>
      <sheetName val="Plinth_Beam_Rft4"/>
      <sheetName val="false_ceiling_4"/>
      <sheetName val="baesment_ceiling_4"/>
      <sheetName val="ground_ceiling4"/>
      <sheetName val="FF_Ceiling4"/>
      <sheetName val="toilet_dadooing4"/>
      <sheetName val="toilet_dadooing_(2)4"/>
      <sheetName val="staircase_finishes_4"/>
      <sheetName val="Block_work_4"/>
      <sheetName val="Cover_Blocks4"/>
      <sheetName val="Rate_Analysis_Cover_Blocks4"/>
      <sheetName val="Aluminium_templates4"/>
      <sheetName val="water_proofing4"/>
      <sheetName val="cills,lintels,chejjas&amp;_nib_col4"/>
      <sheetName val="EARTH_PIT4"/>
      <sheetName val="TRANSFORMER_YARD4"/>
      <sheetName val="Percolation_pit_with_Chamber4"/>
      <sheetName val="openings_4"/>
      <sheetName val="Bore_(2)4"/>
      <sheetName val="Break_up_Sheet4"/>
      <sheetName val="July_073"/>
      <sheetName val="Project_Information3"/>
      <sheetName val="cost_&amp;_profit3"/>
      <sheetName val="final_estimate3"/>
      <sheetName val="Tot_Qty3"/>
      <sheetName val="SS_inlay3"/>
      <sheetName val="hard_finishes_New3"/>
      <sheetName val="kitchen_equip_3"/>
      <sheetName val="tiling_labour_cost3"/>
      <sheetName val="hard_finishes3"/>
      <sheetName val="hard_finishes_(2)3"/>
      <sheetName val="fire_fighting3"/>
      <sheetName val="BOQ-ALU__works3"/>
      <sheetName val="BOQ-SS_railing3"/>
      <sheetName val="BOQ_railling_&amp;_inlay3"/>
      <sheetName val="shower_partition3"/>
      <sheetName val="P&amp;M_Master_Latest_3"/>
      <sheetName val="footing_concrete3"/>
      <sheetName val="Retainingwall_conc3"/>
      <sheetName val="column_concrete_BF_3"/>
      <sheetName val="GFbeam_concrete3"/>
      <sheetName val="other_civil_works3"/>
      <sheetName val="UG_sump,STP,Laundry_sump,OHT3"/>
      <sheetName val="Plinth_beam3"/>
      <sheetName val="column_reft_Bf_3"/>
      <sheetName val="column_reft_GF3"/>
      <sheetName val="column_upper_floors3"/>
      <sheetName val="Ret_wall_steel_3"/>
      <sheetName val="ret_wall_reft3"/>
      <sheetName val="OHT_rfmt3"/>
      <sheetName val="STP_rfmt3"/>
      <sheetName val="Staircase_rfmt3"/>
      <sheetName val="UG_sump_rfmt3"/>
      <sheetName val="LMR_rfmt3"/>
      <sheetName val="Plinth_Beam_Rft3"/>
      <sheetName val="false_ceiling_3"/>
      <sheetName val="baesment_ceiling_3"/>
      <sheetName val="ground_ceiling3"/>
      <sheetName val="FF_Ceiling3"/>
      <sheetName val="toilet_dadooing3"/>
      <sheetName val="toilet_dadooing_(2)3"/>
      <sheetName val="staircase_finishes_3"/>
      <sheetName val="Block_work_3"/>
      <sheetName val="Cover_Blocks3"/>
      <sheetName val="Rate_Analysis_Cover_Blocks3"/>
      <sheetName val="Aluminium_templates3"/>
      <sheetName val="water_proofing3"/>
      <sheetName val="cills,lintels,chejjas&amp;_nib_col3"/>
      <sheetName val="EARTH_PIT3"/>
      <sheetName val="TRANSFORMER_YARD3"/>
      <sheetName val="Percolation_pit_with_Chamber3"/>
      <sheetName val="openings_3"/>
      <sheetName val="Bore_(2)3"/>
      <sheetName val="Break_up_Sheet3"/>
      <sheetName val="rcc(_sub)2"/>
      <sheetName val="July_071"/>
      <sheetName val="Project_Information1"/>
      <sheetName val="cost_&amp;_profit1"/>
      <sheetName val="final_estimate1"/>
      <sheetName val="Tot_Qty1"/>
      <sheetName val="SS_inlay1"/>
      <sheetName val="hard_finishes_New1"/>
      <sheetName val="kitchen_equip_1"/>
      <sheetName val="tiling_labour_cost1"/>
      <sheetName val="hard_finishes1"/>
      <sheetName val="hard_finishes_(2)1"/>
      <sheetName val="fire_fighting1"/>
      <sheetName val="BOQ-ALU__works1"/>
      <sheetName val="BOQ-SS_railing1"/>
      <sheetName val="BOQ_railling_&amp;_inlay1"/>
      <sheetName val="shower_partition1"/>
      <sheetName val="P&amp;M_Master_Latest_1"/>
      <sheetName val="footing_concrete1"/>
      <sheetName val="Retainingwall_conc1"/>
      <sheetName val="column_concrete_BF_1"/>
      <sheetName val="GFbeam_concrete1"/>
      <sheetName val="other_civil_works1"/>
      <sheetName val="UG_sump,STP,Laundry_sump,OHT1"/>
      <sheetName val="Plinth_beam1"/>
      <sheetName val="column_reft_Bf_1"/>
      <sheetName val="column_reft_GF1"/>
      <sheetName val="column_upper_floors1"/>
      <sheetName val="Ret_wall_steel_1"/>
      <sheetName val="ret_wall_reft1"/>
      <sheetName val="OHT_rfmt1"/>
      <sheetName val="STP_rfmt1"/>
      <sheetName val="Staircase_rfmt1"/>
      <sheetName val="UG_sump_rfmt1"/>
      <sheetName val="LMR_rfmt1"/>
      <sheetName val="Plinth_Beam_Rft1"/>
      <sheetName val="false_ceiling_1"/>
      <sheetName val="baesment_ceiling_1"/>
      <sheetName val="ground_ceiling1"/>
      <sheetName val="FF_Ceiling1"/>
      <sheetName val="toilet_dadooing1"/>
      <sheetName val="toilet_dadooing_(2)1"/>
      <sheetName val="staircase_finishes_1"/>
      <sheetName val="Block_work_1"/>
      <sheetName val="Cover_Blocks1"/>
      <sheetName val="Rate_Analysis_Cover_Blocks1"/>
      <sheetName val="Aluminium_templates1"/>
      <sheetName val="water_proofing1"/>
      <sheetName val="cills,lintels,chejjas&amp;_nib_col1"/>
      <sheetName val="EARTH_PIT1"/>
      <sheetName val="TRANSFORMER_YARD1"/>
      <sheetName val="Percolation_pit_with_Chamber1"/>
      <sheetName val="openings_1"/>
      <sheetName val="Bore_(2)1"/>
      <sheetName val="Break_up_Sheet1"/>
      <sheetName val="rcc(_sub)"/>
      <sheetName val="July_072"/>
      <sheetName val="Project_Information2"/>
      <sheetName val="cost_&amp;_profit2"/>
      <sheetName val="final_estimate2"/>
      <sheetName val="Tot_Qty2"/>
      <sheetName val="SS_inlay2"/>
      <sheetName val="hard_finishes_New2"/>
      <sheetName val="kitchen_equip_2"/>
      <sheetName val="tiling_labour_cost2"/>
      <sheetName val="hard_finishes2"/>
      <sheetName val="hard_finishes_(2)2"/>
      <sheetName val="fire_fighting2"/>
      <sheetName val="BOQ-ALU__works2"/>
      <sheetName val="BOQ-SS_railing2"/>
      <sheetName val="BOQ_railling_&amp;_inlay2"/>
      <sheetName val="shower_partition2"/>
      <sheetName val="P&amp;M_Master_Latest_2"/>
      <sheetName val="footing_concrete2"/>
      <sheetName val="Retainingwall_conc2"/>
      <sheetName val="column_concrete_BF_2"/>
      <sheetName val="GFbeam_concrete2"/>
      <sheetName val="other_civil_works2"/>
      <sheetName val="UG_sump,STP,Laundry_sump,OHT2"/>
      <sheetName val="Plinth_beam2"/>
      <sheetName val="column_reft_Bf_2"/>
      <sheetName val="column_reft_GF2"/>
      <sheetName val="column_upper_floors2"/>
      <sheetName val="Ret_wall_steel_2"/>
      <sheetName val="ret_wall_reft2"/>
      <sheetName val="OHT_rfmt2"/>
      <sheetName val="STP_rfmt2"/>
      <sheetName val="Staircase_rfmt2"/>
      <sheetName val="UG_sump_rfmt2"/>
      <sheetName val="LMR_rfmt2"/>
      <sheetName val="Plinth_Beam_Rft2"/>
      <sheetName val="false_ceiling_2"/>
      <sheetName val="baesment_ceiling_2"/>
      <sheetName val="ground_ceiling2"/>
      <sheetName val="FF_Ceiling2"/>
      <sheetName val="toilet_dadooing2"/>
      <sheetName val="toilet_dadooing_(2)2"/>
      <sheetName val="staircase_finishes_2"/>
      <sheetName val="Block_work_2"/>
      <sheetName val="Cover_Blocks2"/>
      <sheetName val="Rate_Analysis_Cover_Blocks2"/>
      <sheetName val="Aluminium_templates2"/>
      <sheetName val="water_proofing2"/>
      <sheetName val="cills,lintels,chejjas&amp;_nib_col2"/>
      <sheetName val="EARTH_PIT2"/>
      <sheetName val="TRANSFORMER_YARD2"/>
      <sheetName val="Percolation_pit_with_Chamber2"/>
      <sheetName val="openings_2"/>
      <sheetName val="Bore_(2)2"/>
      <sheetName val="Break_up_Sheet2"/>
      <sheetName val="rcc(_sub)1"/>
      <sheetName val="rcc(_sub)3"/>
      <sheetName val="July_075"/>
      <sheetName val="Project_Information5"/>
      <sheetName val="cost_&amp;_profit5"/>
      <sheetName val="final_estimate5"/>
      <sheetName val="Tot_Qty5"/>
      <sheetName val="SS_inlay5"/>
      <sheetName val="hard_finishes_New5"/>
      <sheetName val="kitchen_equip_5"/>
      <sheetName val="tiling_labour_cost5"/>
      <sheetName val="hard_finishes5"/>
      <sheetName val="hard_finishes_(2)5"/>
      <sheetName val="fire_fighting5"/>
      <sheetName val="BOQ-ALU__works5"/>
      <sheetName val="BOQ-SS_railing5"/>
      <sheetName val="BOQ_railling_&amp;_inlay5"/>
      <sheetName val="shower_partition5"/>
      <sheetName val="P&amp;M_Master_Latest_5"/>
      <sheetName val="footing_concrete5"/>
      <sheetName val="Retainingwall_conc5"/>
      <sheetName val="column_concrete_BF_5"/>
      <sheetName val="GFbeam_concrete5"/>
      <sheetName val="other_civil_works5"/>
      <sheetName val="UG_sump,STP,Laundry_sump,OHT5"/>
      <sheetName val="Plinth_beam5"/>
      <sheetName val="column_reft_Bf_5"/>
      <sheetName val="column_reft_GF5"/>
      <sheetName val="column_upper_floors5"/>
      <sheetName val="Ret_wall_steel_5"/>
      <sheetName val="ret_wall_reft5"/>
      <sheetName val="OHT_rfmt5"/>
      <sheetName val="STP_rfmt5"/>
      <sheetName val="Staircase_rfmt5"/>
      <sheetName val="UG_sump_rfmt5"/>
      <sheetName val="LMR_rfmt5"/>
      <sheetName val="Plinth_Beam_Rft5"/>
      <sheetName val="false_ceiling_5"/>
      <sheetName val="baesment_ceiling_5"/>
      <sheetName val="ground_ceiling5"/>
      <sheetName val="FF_Ceiling5"/>
      <sheetName val="toilet_dadooing5"/>
      <sheetName val="toilet_dadooing_(2)5"/>
      <sheetName val="staircase_finishes_5"/>
      <sheetName val="Block_work_5"/>
      <sheetName val="Cover_Blocks5"/>
      <sheetName val="Rate_Analysis_Cover_Blocks5"/>
      <sheetName val="Aluminium_templates5"/>
      <sheetName val="water_proofing5"/>
      <sheetName val="cills,lintels,chejjas&amp;_nib_col5"/>
      <sheetName val="EARTH_PIT5"/>
      <sheetName val="TRANSFORMER_YARD5"/>
      <sheetName val="Percolation_pit_with_Chamber5"/>
      <sheetName val="openings_5"/>
      <sheetName val="Bore_(2)5"/>
      <sheetName val="Break_up_Sheet5"/>
      <sheetName val="rcc(_sub)4"/>
      <sheetName val="rcc(_sub)5"/>
      <sheetName val="July_077"/>
      <sheetName val="Project_Information7"/>
      <sheetName val="cost_&amp;_profit7"/>
      <sheetName val="final_estimate7"/>
      <sheetName val="Tot_Qty7"/>
      <sheetName val="SS_inlay7"/>
      <sheetName val="hard_finishes_New7"/>
      <sheetName val="kitchen_equip_7"/>
      <sheetName val="tiling_labour_cost7"/>
      <sheetName val="hard_finishes7"/>
      <sheetName val="hard_finishes_(2)7"/>
      <sheetName val="fire_fighting7"/>
      <sheetName val="BOQ-ALU__works7"/>
      <sheetName val="BOQ-SS_railing7"/>
      <sheetName val="BOQ_railling_&amp;_inlay7"/>
      <sheetName val="shower_partition7"/>
      <sheetName val="P&amp;M_Master_Latest_7"/>
      <sheetName val="footing_concrete7"/>
      <sheetName val="Retainingwall_conc7"/>
      <sheetName val="column_concrete_BF_7"/>
      <sheetName val="GFbeam_concrete7"/>
      <sheetName val="other_civil_works7"/>
      <sheetName val="UG_sump,STP,Laundry_sump,OHT7"/>
      <sheetName val="Plinth_beam7"/>
      <sheetName val="column_reft_Bf_7"/>
      <sheetName val="column_reft_GF7"/>
      <sheetName val="column_upper_floors7"/>
      <sheetName val="Ret_wall_steel_7"/>
      <sheetName val="ret_wall_reft7"/>
      <sheetName val="OHT_rfmt7"/>
      <sheetName val="STP_rfmt7"/>
      <sheetName val="Staircase_rfmt7"/>
      <sheetName val="UG_sump_rfmt7"/>
      <sheetName val="LMR_rfmt7"/>
      <sheetName val="Plinth_Beam_Rft7"/>
      <sheetName val="false_ceiling_7"/>
      <sheetName val="baesment_ceiling_7"/>
      <sheetName val="ground_ceiling7"/>
      <sheetName val="FF_Ceiling7"/>
      <sheetName val="toilet_dadooing7"/>
      <sheetName val="toilet_dadooing_(2)7"/>
      <sheetName val="staircase_finishes_7"/>
      <sheetName val="Block_work_7"/>
      <sheetName val="Cover_Blocks7"/>
      <sheetName val="Rate_Analysis_Cover_Blocks7"/>
      <sheetName val="Aluminium_templates7"/>
      <sheetName val="water_proofing7"/>
      <sheetName val="cills,lintels,chejjas&amp;_nib_col7"/>
      <sheetName val="EARTH_PIT7"/>
      <sheetName val="TRANSFORMER_YARD7"/>
      <sheetName val="Percolation_pit_with_Chamber7"/>
      <sheetName val="openings_7"/>
      <sheetName val="Bore_(2)7"/>
      <sheetName val="Break_up_Sheet7"/>
      <sheetName val="rcc(_sub)6"/>
      <sheetName val="updated_est_04_04_08"/>
      <sheetName val="tuong"/>
      <sheetName val="Activity Consumables"/>
      <sheetName val="meas-wp"/>
      <sheetName val="Report"/>
      <sheetName val="beam-reinft"/>
      <sheetName val="July_0710"/>
      <sheetName val="Project_Information10"/>
      <sheetName val="cost_&amp;_profit10"/>
      <sheetName val="final_estimate10"/>
      <sheetName val="Tot_Qty10"/>
      <sheetName val="SS_inlay10"/>
      <sheetName val="hard_finishes_New10"/>
      <sheetName val="kitchen_equip_10"/>
      <sheetName val="tiling_labour_cost10"/>
      <sheetName val="hard_finishes10"/>
      <sheetName val="hard_finishes_(2)10"/>
      <sheetName val="fire_fighting10"/>
      <sheetName val="BOQ-ALU__works10"/>
      <sheetName val="BOQ-SS_railing10"/>
      <sheetName val="BOQ_railling_&amp;_inlay10"/>
      <sheetName val="shower_partition10"/>
      <sheetName val="P&amp;M_Master_Latest_10"/>
      <sheetName val="footing_concrete10"/>
      <sheetName val="Retainingwall_conc10"/>
      <sheetName val="column_concrete_BF_10"/>
      <sheetName val="GFbeam_concrete10"/>
      <sheetName val="other_civil_works10"/>
      <sheetName val="UG_sump,STP,Laundry_sump,OHT10"/>
      <sheetName val="Plinth_beam10"/>
      <sheetName val="column_reft_Bf_10"/>
      <sheetName val="column_reft_GF10"/>
      <sheetName val="column_upper_floors10"/>
      <sheetName val="Ret_wall_steel_10"/>
      <sheetName val="ret_wall_reft10"/>
      <sheetName val="OHT_rfmt10"/>
      <sheetName val="STP_rfmt10"/>
      <sheetName val="Staircase_rfmt10"/>
      <sheetName val="UG_sump_rfmt10"/>
      <sheetName val="LMR_rfmt10"/>
      <sheetName val="Plinth_Beam_Rft10"/>
      <sheetName val="false_ceiling_10"/>
      <sheetName val="baesment_ceiling_10"/>
      <sheetName val="ground_ceiling10"/>
      <sheetName val="FF_Ceiling10"/>
      <sheetName val="toilet_dadooing10"/>
      <sheetName val="toilet_dadooing_(2)10"/>
      <sheetName val="staircase_finishes_10"/>
      <sheetName val="Block_work_10"/>
      <sheetName val="Cover_Blocks10"/>
      <sheetName val="Rate_Analysis_Cover_Blocks10"/>
      <sheetName val="Aluminium_templates10"/>
      <sheetName val="water_proofing10"/>
      <sheetName val="cills,lintels,chejjas&amp;_nib_co10"/>
      <sheetName val="EARTH_PIT10"/>
      <sheetName val="TRANSFORMER_YARD10"/>
      <sheetName val="Percolation_pit_with_Chamber10"/>
      <sheetName val="openings_10"/>
      <sheetName val="Bore_(2)10"/>
      <sheetName val="Break_up_Sheet10"/>
      <sheetName val="rcc(_sub)9"/>
      <sheetName val="updated_est_04_04_083"/>
      <sheetName val="Activity_Consumables2"/>
      <sheetName val="July_079"/>
      <sheetName val="Project_Information9"/>
      <sheetName val="cost_&amp;_profit9"/>
      <sheetName val="final_estimate9"/>
      <sheetName val="Tot_Qty9"/>
      <sheetName val="SS_inlay9"/>
      <sheetName val="hard_finishes_New9"/>
      <sheetName val="kitchen_equip_9"/>
      <sheetName val="tiling_labour_cost9"/>
      <sheetName val="hard_finishes9"/>
      <sheetName val="hard_finishes_(2)9"/>
      <sheetName val="fire_fighting9"/>
      <sheetName val="BOQ-ALU__works9"/>
      <sheetName val="BOQ-SS_railing9"/>
      <sheetName val="BOQ_railling_&amp;_inlay9"/>
      <sheetName val="shower_partition9"/>
      <sheetName val="P&amp;M_Master_Latest_9"/>
      <sheetName val="footing_concrete9"/>
      <sheetName val="Retainingwall_conc9"/>
      <sheetName val="column_concrete_BF_9"/>
      <sheetName val="GFbeam_concrete9"/>
      <sheetName val="other_civil_works9"/>
      <sheetName val="UG_sump,STP,Laundry_sump,OHT9"/>
      <sheetName val="Plinth_beam9"/>
      <sheetName val="column_reft_Bf_9"/>
      <sheetName val="column_reft_GF9"/>
      <sheetName val="column_upper_floors9"/>
      <sheetName val="Ret_wall_steel_9"/>
      <sheetName val="ret_wall_reft9"/>
      <sheetName val="OHT_rfmt9"/>
      <sheetName val="STP_rfmt9"/>
      <sheetName val="Staircase_rfmt9"/>
      <sheetName val="UG_sump_rfmt9"/>
      <sheetName val="LMR_rfmt9"/>
      <sheetName val="Plinth_Beam_Rft9"/>
      <sheetName val="false_ceiling_9"/>
      <sheetName val="baesment_ceiling_9"/>
      <sheetName val="ground_ceiling9"/>
      <sheetName val="FF_Ceiling9"/>
      <sheetName val="toilet_dadooing9"/>
      <sheetName val="toilet_dadooing_(2)9"/>
      <sheetName val="staircase_finishes_9"/>
      <sheetName val="Block_work_9"/>
      <sheetName val="Cover_Blocks9"/>
      <sheetName val="Rate_Analysis_Cover_Blocks9"/>
      <sheetName val="Aluminium_templates9"/>
      <sheetName val="water_proofing9"/>
      <sheetName val="cills,lintels,chejjas&amp;_nib_col9"/>
      <sheetName val="EARTH_PIT9"/>
      <sheetName val="TRANSFORMER_YARD9"/>
      <sheetName val="Percolation_pit_with_Chamber9"/>
      <sheetName val="openings_9"/>
      <sheetName val="Bore_(2)9"/>
      <sheetName val="Break_up_Sheet9"/>
      <sheetName val="rcc(_sub)8"/>
      <sheetName val="updated_est_04_04_082"/>
      <sheetName val="Activity_Consumables1"/>
      <sheetName val="July_078"/>
      <sheetName val="Project_Information8"/>
      <sheetName val="cost_&amp;_profit8"/>
      <sheetName val="final_estimate8"/>
      <sheetName val="Tot_Qty8"/>
      <sheetName val="SS_inlay8"/>
      <sheetName val="hard_finishes_New8"/>
      <sheetName val="kitchen_equip_8"/>
      <sheetName val="tiling_labour_cost8"/>
      <sheetName val="hard_finishes8"/>
      <sheetName val="hard_finishes_(2)8"/>
      <sheetName val="fire_fighting8"/>
      <sheetName val="BOQ-ALU__works8"/>
      <sheetName val="BOQ-SS_railing8"/>
      <sheetName val="BOQ_railling_&amp;_inlay8"/>
      <sheetName val="shower_partition8"/>
      <sheetName val="P&amp;M_Master_Latest_8"/>
      <sheetName val="footing_concrete8"/>
      <sheetName val="Retainingwall_conc8"/>
      <sheetName val="column_concrete_BF_8"/>
      <sheetName val="GFbeam_concrete8"/>
      <sheetName val="other_civil_works8"/>
      <sheetName val="UG_sump,STP,Laundry_sump,OHT8"/>
      <sheetName val="Plinth_beam8"/>
      <sheetName val="column_reft_Bf_8"/>
      <sheetName val="column_reft_GF8"/>
      <sheetName val="column_upper_floors8"/>
      <sheetName val="Ret_wall_steel_8"/>
      <sheetName val="ret_wall_reft8"/>
      <sheetName val="OHT_rfmt8"/>
      <sheetName val="STP_rfmt8"/>
      <sheetName val="Staircase_rfmt8"/>
      <sheetName val="UG_sump_rfmt8"/>
      <sheetName val="LMR_rfmt8"/>
      <sheetName val="Plinth_Beam_Rft8"/>
      <sheetName val="false_ceiling_8"/>
      <sheetName val="baesment_ceiling_8"/>
      <sheetName val="ground_ceiling8"/>
      <sheetName val="FF_Ceiling8"/>
      <sheetName val="toilet_dadooing8"/>
      <sheetName val="toilet_dadooing_(2)8"/>
      <sheetName val="staircase_finishes_8"/>
      <sheetName val="Block_work_8"/>
      <sheetName val="Cover_Blocks8"/>
      <sheetName val="Rate_Analysis_Cover_Blocks8"/>
      <sheetName val="Aluminium_templates8"/>
      <sheetName val="water_proofing8"/>
      <sheetName val="cills,lintels,chejjas&amp;_nib_col8"/>
      <sheetName val="EARTH_PIT8"/>
      <sheetName val="TRANSFORMER_YARD8"/>
      <sheetName val="Percolation_pit_with_Chamber8"/>
      <sheetName val="openings_8"/>
      <sheetName val="Bore_(2)8"/>
      <sheetName val="Break_up_Sheet8"/>
      <sheetName val="rcc(_sub)7"/>
      <sheetName val="updated_est_04_04_081"/>
      <sheetName val="Activity_Consum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ing Form"/>
      <sheetName val="Headings"/>
      <sheetName val="Conc"/>
      <sheetName val="EST-CIVIL"/>
      <sheetName val="INDIGINEOUS ITEMS "/>
      <sheetName val="final estimate"/>
      <sheetName val="Micro"/>
      <sheetName val="Macro"/>
      <sheetName val="Scaff-Rose"/>
      <sheetName val="Detail"/>
      <sheetName val="CFForecast detail"/>
      <sheetName val="BOQ"/>
      <sheetName val="HEAD"/>
      <sheetName val="재1"/>
      <sheetName val="Report"/>
      <sheetName val="Design"/>
      <sheetName val="Cal"/>
      <sheetName val="Data"/>
      <sheetName val="Voucher"/>
      <sheetName val="beam-reinft"/>
      <sheetName val="Break up Sheet"/>
      <sheetName val="analysis"/>
      <sheetName val="fco"/>
      <sheetName val="Beam at Ground flr lvl(Steel)"/>
      <sheetName val="Timesheet"/>
      <sheetName val="A-General"/>
      <sheetName val="PROG_DATA"/>
      <sheetName val="Sump_cal"/>
      <sheetName val="Balustrade"/>
      <sheetName val="Site Dev BOQ"/>
      <sheetName val="loadcal"/>
      <sheetName val="Material "/>
      <sheetName val="Intro"/>
      <sheetName val="Labour &amp; Plant"/>
      <sheetName val="Erection grider"/>
      <sheetName val="LOCAL RATES"/>
      <sheetName val="concrete"/>
      <sheetName val="Basement Budget"/>
      <sheetName val="horizontal"/>
      <sheetName val="Staircase-All Floors"/>
      <sheetName val="IO LIST"/>
      <sheetName val="BLOCK-A (MEA.SHEET)"/>
      <sheetName val="DSLP"/>
      <sheetName val="Set"/>
      <sheetName val="Estimate"/>
      <sheetName val="Booking_Form"/>
      <sheetName val="Booking_Form1"/>
      <sheetName val="Booking_Form2"/>
      <sheetName val="Electrical"/>
      <sheetName val="Sheet2"/>
      <sheetName val="Cost summary"/>
      <sheetName val="Überblick"/>
      <sheetName val="GVL"/>
      <sheetName val="Sheet14"/>
      <sheetName val="Sheet15"/>
      <sheetName val="Estimation"/>
      <sheetName val="INPUT SHEET"/>
      <sheetName val="Extra Item"/>
      <sheetName val="RES-PLANNING"/>
      <sheetName val="Outgoing"/>
      <sheetName val="Incoming"/>
      <sheetName val="RA"/>
      <sheetName val="FY00Budget info"/>
      <sheetName val="pivot"/>
      <sheetName val="RA-markate"/>
      <sheetName val="MASTER_RATE ANALYSIS"/>
      <sheetName val="Sheet1"/>
      <sheetName val="GF Columns"/>
      <sheetName val="S &amp; A"/>
      <sheetName val="월선수금"/>
      <sheetName val="GBW"/>
      <sheetName val="Macro1"/>
      <sheetName val="Msht-Int-Msht-GF"/>
      <sheetName val="PPA Summary"/>
      <sheetName val="PHE"/>
      <sheetName val="sq ftg detail"/>
      <sheetName val="lookup"/>
      <sheetName val="girder"/>
      <sheetName val="Fin. Assumpt. - Sensitivities"/>
      <sheetName val="Abstract Sheet"/>
      <sheetName val="RCC,Ret. Wall"/>
      <sheetName val="電気設備表"/>
      <sheetName val="HPL"/>
      <sheetName val="RA_markate"/>
      <sheetName val="meas-wp"/>
      <sheetName val="EST_CIVIL"/>
      <sheetName val="Shuttering costing-Annex-IV"/>
      <sheetName val="SB - reinf"/>
      <sheetName val="Format F-8 (T-05)"/>
      <sheetName val="GN_ST_10"/>
      <sheetName val="INDEX"/>
      <sheetName val="AREAS"/>
      <sheetName val="INDIGINEOUS_ITEMS_"/>
      <sheetName val="Site_Dev_BOQ"/>
      <sheetName val="MASTER_RATE_ANALYSIS"/>
      <sheetName val="Material_"/>
      <sheetName val="Labour_&amp;_Plant"/>
      <sheetName val="CFForecast_detail"/>
      <sheetName val="Basement_Budget"/>
      <sheetName val="Erection_grider"/>
      <sheetName val="LOCAL_RATES"/>
      <sheetName val="Break_up_Sheet"/>
      <sheetName val="Staircase-All_Floors"/>
      <sheetName val="IO_LIST"/>
      <sheetName val="INPUT_SHEET"/>
      <sheetName val="Extra_Item"/>
      <sheetName val="Abstract_Sheet"/>
      <sheetName val="Site_Dev_BOQ1"/>
      <sheetName val="INDIGINEOUS_ITEMS_1"/>
      <sheetName val="MASTER_RATE_ANALYSIS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electr_ work CA "/>
      <sheetName val="sheeet7"/>
      <sheetName val="Basic"/>
      <sheetName val="except wiring"/>
      <sheetName val="Sheet3"/>
      <sheetName val="TBAL9697 -group wise  sdpl"/>
      <sheetName val="Model"/>
      <sheetName val="CONSTRUCTION COMPONENT"/>
      <sheetName val="labour rates"/>
      <sheetName val="XREF"/>
      <sheetName val="Vehicles"/>
      <sheetName val="Variables"/>
      <sheetName val="Basic Rates"/>
      <sheetName val="WING - A RAFT (23-08-09)"/>
      <sheetName val="1st -vpd"/>
      <sheetName val="Inputs"/>
      <sheetName val="Intro."/>
      <sheetName val="Delhi"/>
      <sheetName val="final_estimate"/>
      <sheetName val="Beam_at_Ground_flr_lvl(Steel)"/>
      <sheetName val="BLOCK-A_(MEA_SHEET)"/>
      <sheetName val="hist&amp;proj"/>
      <sheetName val="KALK"/>
      <sheetName val="BOQ "/>
      <sheetName val="Flooring"/>
      <sheetName val="ELEC_BOQ"/>
      <sheetName val="LIST OF MAKES"/>
      <sheetName val="BookingForm jcs"/>
      <sheetName val="Fin Sum"/>
      <sheetName val="Ass4"/>
      <sheetName val="DCF"/>
      <sheetName val="Key Ass"/>
      <sheetName val="INTSHEET"/>
      <sheetName val="INTSHEET3"/>
      <sheetName val="Factor Sheet"/>
      <sheetName val="External"/>
      <sheetName val="SUPPLY -Sanitary Fixtures"/>
      <sheetName val="ITEMS FOR CIVIL TENDER"/>
      <sheetName val="2.0 Floor Area Summary"/>
      <sheetName val="Sch. Areas"/>
      <sheetName val="WORKING boq"/>
      <sheetName val="HALOL"/>
      <sheetName val="Top Sheet-Civil-Revised"/>
      <sheetName val="WBS Actual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project data"/>
      <sheetName val="Prelaunch Est"/>
      <sheetName val="Cost Redn Stmnt"/>
      <sheetName val="Structure"/>
      <sheetName val="Ext Dev"/>
      <sheetName val="Arch Feat"/>
      <sheetName val="Open sch"/>
      <sheetName val="CH - Equip"/>
      <sheetName val="UG Sump"/>
      <sheetName val="STP"/>
      <sheetName val="OHT"/>
      <sheetName val="Boq"/>
      <sheetName val="PHE"/>
      <sheetName val="Interlock paver "/>
      <sheetName val="penthouse stair"/>
      <sheetName val="sales inpt"/>
      <sheetName val="Swim.pool"/>
      <sheetName val="ESTIMATE for approval"/>
      <sheetName val="final estimate"/>
      <sheetName val="Latest est"/>
      <sheetName val="Approved Estimate"/>
      <sheetName val="Basement Budget"/>
      <sheetName val="Conc"/>
      <sheetName val="Micro"/>
      <sheetName val="Macro"/>
      <sheetName val="Scaff-Ro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ENT MASTER FILE"/>
      <sheetName val="TBAL9697 -group wise  sdpl"/>
      <sheetName val="Basement Budget"/>
      <sheetName val="final estimate"/>
      <sheetName val="Other assumption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ENT_MASTER_FILE"/>
      <sheetName val="TBAL9697_-group_wise__sdpl"/>
      <sheetName val="Basement_Budget"/>
      <sheetName val="final_estimate"/>
      <sheetName val="Other_assumptions"/>
      <sheetName val="ABS"/>
      <sheetName val="149"/>
      <sheetName val="Builtup Area"/>
      <sheetName val="EST-CIVIL"/>
      <sheetName val="Labor abs-NMR"/>
      <sheetName val="Workout"/>
      <sheetName val="External works"/>
      <sheetName val="Shrubs"/>
      <sheetName val="Trees"/>
      <sheetName val="Soft landscape"/>
      <sheetName val="Finishes Pending"/>
      <sheetName val="Micro"/>
      <sheetName val="Headings"/>
      <sheetName val="Civil Boq"/>
      <sheetName val="Estimate"/>
      <sheetName val="RA-mark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Wing1- 16,17,18th fl rf -12dia"/>
      <sheetName val="steel 12dia"/>
    </sheetNames>
    <sheetDataSet>
      <sheetData sheetId="0" refreshError="1"/>
      <sheetData sheetId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Notes"/>
      <sheetName val="PM use_x0000__x0000_P_x0011_ M&amp;E"/>
      <sheetName val="Labor abs-NMR"/>
      <sheetName val="concrete"/>
      <sheetName val="Break up Sheet"/>
      <sheetName val="PM use??P_x0011_ M&amp;E"/>
      <sheetName val="Tower Crane Oper_x0000_n4on"/>
      <sheetName val="PM use"/>
      <sheetName val="PM use__P_x0011_ M&amp;E"/>
      <sheetName val="PCC"/>
      <sheetName val="Tower Crane Oper"/>
      <sheetName val="Tower Crane Oper?n4on"/>
      <sheetName val="Tower Crane Oper_n4on"/>
      <sheetName val="SWITCH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PM_useP_M&amp;E"/>
      <sheetName val="Labor_abs-NMR"/>
      <sheetName val="Break_up_Sheet"/>
      <sheetName val="PM_use??P_M&amp;E"/>
      <sheetName val="Tower_Crane_Opern4on"/>
      <sheetName val="PM_use"/>
      <sheetName val="PM_use__P_M&amp;E"/>
      <sheetName val="Tower_Crane_Oper"/>
      <sheetName val="Tower_Crane_Oper?n4on"/>
      <sheetName val="Tower_Crane_Oper_n4on"/>
      <sheetName val="RCC,Ret. Wall"/>
      <sheetName val="Variance Report"/>
      <sheetName val="Builtup Area"/>
      <sheetName val="Costing Aug 31 recon - Tulip-pq"/>
      <sheetName val="Rates"/>
      <sheetName val="CTbe tong"/>
      <sheetName val="CTDZ 0.4+cto"/>
      <sheetName val="Boq - Flats"/>
      <sheetName val="Field Values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Labor_abs-NMR6"/>
      <sheetName val="Break_up_Sheet6"/>
      <sheetName val="PM_use6"/>
      <sheetName val="Tower_Crane_Oper6"/>
      <sheetName val="Tower_Crane_Oper?n4on6"/>
      <sheetName val="Tower_Crane_Oper_n4on6"/>
      <sheetName val="RCC,Ret__Wall5"/>
      <sheetName val="Variance_Report5"/>
      <sheetName val="Builtup_Area5"/>
      <sheetName val="Costing_Aug_31_recon_-_Tulip-p5"/>
      <sheetName val="CTbe_tong5"/>
      <sheetName val="CTDZ_0_4+cto5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Labor_abs-NMR4"/>
      <sheetName val="Break_up_Sheet4"/>
      <sheetName val="PM_use4"/>
      <sheetName val="Tower_Crane_Oper4"/>
      <sheetName val="Tower_Crane_Oper?n4on4"/>
      <sheetName val="Tower_Crane_Oper_n4on4"/>
      <sheetName val="RCC,Ret__Wall3"/>
      <sheetName val="Variance_Report3"/>
      <sheetName val="Builtup_Area3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Labor_abs-NMR3"/>
      <sheetName val="Break_up_Sheet3"/>
      <sheetName val="PM_use3"/>
      <sheetName val="Tower_Crane_Oper3"/>
      <sheetName val="Tower_Crane_Oper?n4on3"/>
      <sheetName val="Tower_Crane_Oper_n4on3"/>
      <sheetName val="RCC,Ret__Wall2"/>
      <sheetName val="Variance_Report2"/>
      <sheetName val="Costing_Aug_31_recon_-_Tulip-p2"/>
      <sheetName val="CTbe_tong2"/>
      <sheetName val="CTDZ_0_4+cto2"/>
      <sheetName val="Builtup_Area2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Labor_abs-NMR1"/>
      <sheetName val="Break_up_Sheet1"/>
      <sheetName val="PM_use1"/>
      <sheetName val="Tower_Crane_Oper1"/>
      <sheetName val="Tower_Crane_Oper?n4on1"/>
      <sheetName val="Tower_Crane_Oper_n4on1"/>
      <sheetName val="RCC,Ret__Wall"/>
      <sheetName val="Variance_Report"/>
      <sheetName val="Costing_Aug_31_recon_-_Tulip-pq"/>
      <sheetName val="CTbe_tong"/>
      <sheetName val="CTDZ_0_4+cto"/>
      <sheetName val="Builtup_Area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Labor_abs-NMR2"/>
      <sheetName val="Break_up_Sheet2"/>
      <sheetName val="PM_use2"/>
      <sheetName val="Tower_Crane_Oper2"/>
      <sheetName val="Tower_Crane_Oper?n4on2"/>
      <sheetName val="Tower_Crane_Oper_n4on2"/>
      <sheetName val="RCC,Ret__Wall1"/>
      <sheetName val="Variance_Report1"/>
      <sheetName val="Costing_Aug_31_recon_-_Tulip-p1"/>
      <sheetName val="CTbe_tong1"/>
      <sheetName val="CTDZ_0_4+cto1"/>
      <sheetName val="Builtup_Area1"/>
      <sheetName val="Costing_Aug_31_recon_-_Tulip-p3"/>
      <sheetName val="CTbe_tong3"/>
      <sheetName val="CTDZ_0_4+cto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Labor_abs-NMR5"/>
      <sheetName val="Break_up_Sheet5"/>
      <sheetName val="PM_use5"/>
      <sheetName val="Tower_Crane_Oper5"/>
      <sheetName val="Tower_Crane_Oper?n4on5"/>
      <sheetName val="Tower_Crane_Oper_n4on5"/>
      <sheetName val="RCC,Ret__Wall4"/>
      <sheetName val="Variance_Report4"/>
      <sheetName val="Costing_Aug_31_recon_-_Tulip-p4"/>
      <sheetName val="CTbe_tong4"/>
      <sheetName val="CTDZ_0_4+cto4"/>
      <sheetName val="Builtup_Area4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Labor_abs-NMR7"/>
      <sheetName val="Break_up_Sheet7"/>
      <sheetName val="PM_use7"/>
      <sheetName val="Tower_Crane_Oper7"/>
      <sheetName val="Tower_Crane_Oper?n4on7"/>
      <sheetName val="Tower_Crane_Oper_n4on7"/>
      <sheetName val="RCC,Ret__Wall6"/>
      <sheetName val="Variance_Report6"/>
      <sheetName val="Builtup_Area6"/>
      <sheetName val="Costing_Aug_31_recon_-_Tulip-p6"/>
      <sheetName val="CTbe_tong6"/>
      <sheetName val="CTDZ_0_4+cto6"/>
      <sheetName val="Boq_-_Flats"/>
      <sheetName val="Field_Values"/>
      <sheetName val="RA-markate"/>
      <sheetName val="RENT MASTER FILE"/>
      <sheetName val="Quotation"/>
      <sheetName val="Masters"/>
      <sheetName val="COLUMN"/>
      <sheetName val="Data"/>
      <sheetName val="GRSummary"/>
      <sheetName val="Plant Cost"/>
      <sheetName val="Pile cap"/>
      <sheetName val="WWR"/>
      <sheetName val="Headings"/>
      <sheetName val="Plant_Cost"/>
      <sheetName val="Pile_cap"/>
      <sheetName val="Field_Values1"/>
      <sheetName val="Plant_Cost1"/>
      <sheetName val="Pile_cap1"/>
      <sheetName val="EEV(Prilim)"/>
      <sheetName val="Drop Down List"/>
      <sheetName val="Field_Values2"/>
      <sheetName val="Plant_Cost2"/>
      <sheetName val="Pile_cap2"/>
      <sheetName val="Drop_Down_List"/>
      <sheetName val="Basement Budget"/>
      <sheetName val="PM useP_x0011_ M&amp;E"/>
      <sheetName val="Tower Crane Opern4on"/>
      <sheetName val="Structure Bills Qty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Labor_abs-NMR8"/>
      <sheetName val="Break_up_Sheet8"/>
      <sheetName val="PM_use8"/>
      <sheetName val="Tower_Crane_Oper8"/>
      <sheetName val="Tower_Crane_Oper?n4on8"/>
      <sheetName val="Tower_Crane_Oper_n4on8"/>
      <sheetName val="RCC,Ret__Wall7"/>
      <sheetName val="Variance_Report7"/>
      <sheetName val="Costing_Aug_31_recon_-_Tulip-p7"/>
      <sheetName val="CTbe_tong7"/>
      <sheetName val="CTDZ_0_4+cto7"/>
      <sheetName val="Builtup_Area7"/>
      <sheetName val="Boq_-_Flats1"/>
      <sheetName val="RENT_MASTER_FILE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Labor_abs-NMR9"/>
      <sheetName val="Break_up_Sheet9"/>
      <sheetName val="Tower_Crane_Opern4on1"/>
      <sheetName val="PM_use9"/>
      <sheetName val="Tower_Crane_Oper9"/>
      <sheetName val="Tower_Crane_Oper?n4on9"/>
      <sheetName val="Tower_Crane_Oper_n4on9"/>
      <sheetName val="RCC,Ret__Wall8"/>
      <sheetName val="Variance_Report8"/>
      <sheetName val="Builtup_Area8"/>
      <sheetName val="Costing_Aug_31_recon_-_Tulip-p8"/>
      <sheetName val="CTbe_tong8"/>
      <sheetName val="CTDZ_0_4+cto8"/>
      <sheetName val="Boq_-_Flats2"/>
      <sheetName val="Field_Values3"/>
      <sheetName val="RENT_MASTER_FILE1"/>
      <sheetName val="Plant_Cost3"/>
      <sheetName val="Pile_cap3"/>
      <sheetName val="Drop_Down_List1"/>
      <sheetName val="Basement_Budget"/>
      <sheetName val="Structure_Bills_Q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top 2B cer "/>
      <sheetName val="CIVIL abs II B CER  "/>
      <sheetName val="landscaping"/>
      <sheetName val="CUSTOMER WORKS "/>
      <sheetName val="Sales rate sheet"/>
      <sheetName val="2B specialised  "/>
      <sheetName val="2b BACKFILLING"/>
      <sheetName val="ANTI TERMITE sol"/>
      <sheetName val="PCC"/>
      <sheetName val="RCC,FDN"/>
      <sheetName val="RCC,COL"/>
      <sheetName val="RCC SEPTIC TANK"/>
      <sheetName val="RCC SLAB"/>
      <sheetName val="F.ESCAPE ST.RCC"/>
      <sheetName val="RCC,Ret. Wall"/>
      <sheetName val="RCC,WALL"/>
      <sheetName val="CABL TRE,RCC"/>
      <sheetName val="rcc lintels"/>
      <sheetName val="TUNNEL,RCC"/>
      <sheetName val="SWD  RCC"/>
      <sheetName val="RCC PLINTH BEAM "/>
      <sheetName val="sump,RCC"/>
      <sheetName val="SHU,FDN"/>
      <sheetName val="SHU,COL"/>
      <sheetName val="SHU,WALL"/>
      <sheetName val="SWD shu"/>
      <sheetName val="SHU PLINTH BEAMS "/>
      <sheetName val="ShUTTER LINTEL"/>
      <sheetName val="SHU,SLAB  "/>
      <sheetName val="shu.re.wall"/>
      <sheetName val="shu,stair"/>
      <sheetName val="s.tank sh"/>
      <sheetName val="TUNNEL,SHU"/>
      <sheetName val="cabl tren,shu"/>
      <sheetName val="SUMP,SHUT"/>
      <sheetName val="prestressing"/>
      <sheetName val="precast"/>
      <sheetName val="BLOCKWORK"/>
      <sheetName val="Plastering"/>
      <sheetName val="Brickbat jelly"/>
      <sheetName val="IPS"/>
      <sheetName val="Screed"/>
      <sheetName val="POP"/>
      <sheetName val="WATERP."/>
      <sheetName val="MIsc_POLYETH. SHEET"/>
      <sheetName val="structural"/>
      <sheetName val="TEMP."/>
      <sheetName val="Drawings "/>
      <sheetName val="rework claim status "/>
      <sheetName val="project data sheet"/>
      <sheetName val="figures"/>
      <sheetName val="2B landscaping meas sheet"/>
      <sheetName val="hanging restaurant area modi"/>
      <sheetName val=" ROAD &amp; WALL _2B"/>
      <sheetName val="RCC_Ret_ Wall"/>
      <sheetName val="RA-markate"/>
      <sheetName val="Lead"/>
      <sheetName val="Financials"/>
      <sheetName val="13. Steel - Ratio"/>
      <sheetName val="2B_August 2K2"/>
      <sheetName val="Formwork - Planned"/>
      <sheetName val="Concrete - planned"/>
      <sheetName val="VCH-SLC"/>
      <sheetName val="Supplier"/>
      <sheetName val="Labour productivity"/>
      <sheetName val="LABOUR"/>
      <sheetName val="Stress Calculation"/>
      <sheetName val="Project Budget Worksheet"/>
      <sheetName val="strand"/>
      <sheetName val="Pay_Sep06"/>
      <sheetName val="9. Package split - Cost "/>
      <sheetName val="Sheet2"/>
      <sheetName val="Footings"/>
      <sheetName val="Main-Material"/>
      <sheetName val="Extra Item"/>
      <sheetName val="Database"/>
      <sheetName val="Fill this out first..."/>
      <sheetName val="SCHEDULE"/>
      <sheetName val="schedule nos"/>
      <sheetName val="IO LIST"/>
      <sheetName val="Linked Lead"/>
      <sheetName val="Currency Sheet"/>
      <sheetName val="Bill 3 - Site Works"/>
      <sheetName val="Current Bill MB ref"/>
      <sheetName val="10. &amp; 11. Rate Code &amp; BQ"/>
      <sheetName val="May"/>
      <sheetName val="TBAL9697 -group wise  sdpl"/>
      <sheetName val="PRECAST lightconc-II"/>
      <sheetName val="Boq"/>
      <sheetName val="Formulas"/>
      <sheetName val="Basement Budget"/>
      <sheetName val="Sheet3"/>
      <sheetName val="Material"/>
      <sheetName val="FORM7"/>
      <sheetName val="BASIS -DEC 08"/>
      <sheetName val="Builtup Area"/>
      <sheetName val="labour coeff"/>
      <sheetName val="Staff Acco."/>
      <sheetName val="p&amp;m"/>
      <sheetName val="INDEX"/>
      <sheetName val="AREAS"/>
      <sheetName val="2gii"/>
      <sheetName val="Cost summary"/>
      <sheetName val="Estimate"/>
      <sheetName val="電気設備表"/>
      <sheetName val="Master Data Sheet"/>
      <sheetName val="INPUT SHEET"/>
      <sheetName val="Package split - Cost"/>
      <sheetName val="Civil Boq"/>
      <sheetName val="8200AOC"/>
      <sheetName val="RA_markate"/>
      <sheetName val="Costing"/>
      <sheetName val="conc-foot-gradeslab"/>
      <sheetName val="Data"/>
      <sheetName val="crews"/>
      <sheetName val="RES-PLANNING"/>
      <sheetName val="Estimation"/>
      <sheetName val="Approved MTD Proj #'s"/>
      <sheetName val="Consolidated"/>
      <sheetName val="Quotation"/>
      <sheetName val="Assmpns"/>
      <sheetName val="NetBQ"/>
      <sheetName val="XChange Rate"/>
      <sheetName val="Inc.St.-Link"/>
      <sheetName val="PLAN_FEB97"/>
      <sheetName val="Input"/>
      <sheetName val="3cd Annexure"/>
      <sheetName val="Sheet1"/>
      <sheetName val="Sheet3 (2)"/>
      <sheetName val="Cost_any"/>
      <sheetName val="BOQ -Block A"/>
      <sheetName val="월선수금"/>
      <sheetName val="Cleaning &amp; Grubbing"/>
      <sheetName val="Det_Des"/>
      <sheetName val="Rate Analysis"/>
      <sheetName val="BM"/>
      <sheetName val="HEAD"/>
      <sheetName val="analysis"/>
      <sheetName val="Intro"/>
      <sheetName val="Improvements"/>
      <sheetName val="소상 &quot;1&quot;"/>
      <sheetName val="Msht 5F"/>
      <sheetName val="Assumption"/>
      <sheetName val="Results"/>
      <sheetName val="PLGroupings"/>
      <sheetName val="nVision"/>
      <sheetName val="ABB"/>
      <sheetName val="Driveway Beams"/>
      <sheetName val="Break up Sheet"/>
      <sheetName val="Design"/>
      <sheetName val="SALIENT"/>
      <sheetName val="Site Dev BOQ"/>
      <sheetName val="segment_topsheet"/>
      <sheetName val="LEVEL SHEET"/>
      <sheetName val="LIST OF MAKES"/>
      <sheetName val="Pay_Rec"/>
      <sheetName val="Headings"/>
      <sheetName val="AOR"/>
      <sheetName val="Macro1"/>
      <sheetName val="Labor abs-NMR"/>
      <sheetName val="E1"/>
      <sheetName val="INTERIOR"/>
      <sheetName val="Manpower"/>
      <sheetName val="Boq - Flats"/>
      <sheetName val="Variables_x"/>
      <sheetName val="RA"/>
      <sheetName val="Factors"/>
      <sheetName val="site fab&amp;ernstr"/>
      <sheetName val="Component Pricing, Costs"/>
      <sheetName val="calcul"/>
      <sheetName val="Cashflow projection"/>
      <sheetName val="TASKRSRC (2)"/>
      <sheetName val="TARGET"/>
      <sheetName val="BASELINE"/>
      <sheetName val="sumary"/>
      <sheetName val="Variables"/>
      <sheetName val="LISTS"/>
      <sheetName val="SP Break Up"/>
      <sheetName val="Sheet5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재1"/>
      <sheetName val="3. Elemental Summary"/>
      <sheetName val="beam-reinft"/>
      <sheetName val="MATERIALS_masterlist"/>
      <sheetName val="Perf Distribution"/>
      <sheetName val="Assumptions"/>
      <sheetName val="Labour &amp; Plant"/>
      <sheetName val="REVENUES &amp; BS"/>
      <sheetName val="Non-Factory"/>
      <sheetName val="Area Statement 151111"/>
      <sheetName val="INDIGINEOUS ITEMS "/>
      <sheetName val="ord-lost_98&amp;99"/>
      <sheetName val="key dates"/>
      <sheetName val="Actuals"/>
      <sheetName val="fa"/>
      <sheetName val="FSM"/>
      <sheetName val="TRVL"/>
      <sheetName val="UK"/>
      <sheetName val="IGAAP"/>
      <sheetName val="ctrl"/>
      <sheetName val="DetEst"/>
      <sheetName val="Basic Rates"/>
      <sheetName val="ABP inputs"/>
      <sheetName val="Synergy Sales Budget"/>
      <sheetName val="计算表"/>
      <sheetName val="单位"/>
      <sheetName val="cul-invSUBMITTED"/>
      <sheetName val="Column steel"/>
      <sheetName val="투입인력"/>
      <sheetName val="STG"/>
      <sheetName val="Agency BS"/>
      <sheetName val="PUMP"/>
      <sheetName val="Pay Rec"/>
      <sheetName val="Joinery"/>
      <sheetName val="Reference Information"/>
      <sheetName val="Employee List"/>
      <sheetName val="Sales Office"/>
      <sheetName val="Data sheet"/>
      <sheetName val="NEW Main"/>
      <sheetName val="CABLE DATA"/>
      <sheetName val="INPUTS"/>
      <sheetName val="inWords"/>
      <sheetName val="Links"/>
      <sheetName val="BANK TRANSFER"/>
      <sheetName val="nanjprofit"/>
      <sheetName val="Sump_cal"/>
      <sheetName val="Plant &amp;  Machinery"/>
      <sheetName val="Levels"/>
      <sheetName val="ACS(1)"/>
      <sheetName val="FAS-C(4)"/>
      <sheetName val="CCTV(old)"/>
      <sheetName val="S &amp; A"/>
      <sheetName val="PC"/>
      <sheetName val="Working"/>
      <sheetName val="GBW"/>
      <sheetName val="Cover"/>
      <sheetName val="Block A - BOQ"/>
      <sheetName val="water prop."/>
      <sheetName val="Project_ID"/>
      <sheetName val="3MLKQ"/>
      <sheetName val="COLUMN"/>
      <sheetName val="MH(on site)"/>
      <sheetName val="환율"/>
      <sheetName val="UOM"/>
      <sheetName val="Cover sheet"/>
      <sheetName val="_top_2B_cer_"/>
      <sheetName val="CIVIL_abs_II_B_CER__"/>
      <sheetName val="CUSTOMER_WORKS_"/>
      <sheetName val="Sales_rate_sheet"/>
      <sheetName val="2B_specialised__"/>
      <sheetName val="2b_BACKFILLING"/>
      <sheetName val="ANTI_TERMITE_sol"/>
      <sheetName val="RCC_SEPTIC_TANK"/>
      <sheetName val="RCC_SLAB"/>
      <sheetName val="F_ESCAPE_ST_RCC"/>
      <sheetName val="RCC,Ret__Wall"/>
      <sheetName val="CABL_TRE,RCC"/>
      <sheetName val="rcc_lintels"/>
      <sheetName val="SWD__RCC"/>
      <sheetName val="RCC_PLINTH_BEAM_"/>
      <sheetName val="SWD_shu"/>
      <sheetName val="SHU_PLINTH_BEAMS_"/>
      <sheetName val="ShUTTER_LINTEL"/>
      <sheetName val="SHU,SLAB__"/>
      <sheetName val="shu_re_wall"/>
      <sheetName val="s_tank_sh"/>
      <sheetName val="cabl_tren,shu"/>
      <sheetName val="Brickbat_jelly"/>
      <sheetName val="WATERP_"/>
      <sheetName val="MIsc_POLYETH__SHEET"/>
      <sheetName val="TEMP_"/>
      <sheetName val="Drawings_"/>
      <sheetName val="rework_claim_status_"/>
      <sheetName val="project_data_sheet"/>
      <sheetName val="2B_landscaping_meas_sheet"/>
      <sheetName val="hanging_restaurant_area_modi"/>
      <sheetName val="_ROAD_&amp;_WALL__2B"/>
      <sheetName val="RCC_Ret__Wall"/>
      <sheetName val="13__Steel_-_Ratio"/>
      <sheetName val="Labour_productivity"/>
      <sheetName val="Project_Budget_Worksheet"/>
      <sheetName val="Stress_Calculation"/>
      <sheetName val="9__Package_split_-_Cost_"/>
      <sheetName val="2B_August_2K2"/>
      <sheetName val="Extra_Item"/>
      <sheetName val="Fill_this_out_first___"/>
      <sheetName val="schedule_nos"/>
      <sheetName val="IO_LIST"/>
      <sheetName val="Linked_Lead"/>
      <sheetName val="Currency_Sheet"/>
      <sheetName val="Bill_3_-_Site_Works"/>
      <sheetName val="Current_Bill_MB_ref"/>
      <sheetName val="10__&amp;_11__Rate_Code_&amp;_BQ"/>
      <sheetName val="BASIS_-DEC_08"/>
      <sheetName val="Builtup_Area"/>
      <sheetName val="Formwork_-_Planned"/>
      <sheetName val="Concrete_-_planned"/>
      <sheetName val="TBAL9697_-group_wise__sdpl"/>
      <sheetName val="Package_split_-_Cost"/>
      <sheetName val="PRECAST_lightconc-II"/>
      <sheetName val="Basement_Budget"/>
      <sheetName val="Approved_MTD_Proj_#'s"/>
      <sheetName val="Civil_Boq"/>
      <sheetName val="labour_coeff"/>
      <sheetName val="Staff_Acco_"/>
      <sheetName val="Cost_summary"/>
      <sheetName val="Master_Data_Sheet"/>
      <sheetName val="INPUT_SHEET"/>
      <sheetName val="Inc_St_-Link"/>
      <sheetName val="XChange_Rate"/>
      <sheetName val="Break_up_Sheet"/>
      <sheetName val="BOQ_-Block_A"/>
      <sheetName val="Cleaning_&amp;_Grubbing"/>
      <sheetName val="Rate_Analysis"/>
      <sheetName val="3cd_Annexure"/>
      <sheetName val="Component_Pricing,_Costs"/>
      <sheetName val="Sheet3_(2)"/>
      <sheetName val="Msht_5F"/>
      <sheetName val="Labor_abs-NMR"/>
      <sheetName val="소상_&quot;1&quot;"/>
      <sheetName val="Site_Dev_BOQ"/>
      <sheetName val="LEVEL_SHEET"/>
      <sheetName val="Driveway_Beams"/>
      <sheetName val="LIST_OF_MAKES"/>
      <sheetName val="site_fab&amp;ernstr"/>
      <sheetName val="TASKRSRC_(2)"/>
      <sheetName val="Cashflow_projection"/>
      <sheetName val="Boq_-_Flats"/>
      <sheetName val="Baricading"/>
      <sheetName val="CASHFLOWS"/>
      <sheetName val="SUMMARY"/>
      <sheetName val="item"/>
      <sheetName val="Wordsdata"/>
      <sheetName val="Definitions"/>
      <sheetName val="WORK TABLE"/>
      <sheetName val="RECAPITULATION"/>
      <sheetName val="BOQ_Direct_selling cost"/>
      <sheetName val="MAT cost"/>
      <sheetName val="Labour_&amp;_Plant"/>
      <sheetName val="3__Elemental_Summary"/>
      <sheetName val="Perf_Distribution"/>
      <sheetName val="REVENUES_&amp;_BS"/>
      <sheetName val="Area_Statement_151111"/>
      <sheetName val="INDIGINEOUS_ITEMS_"/>
      <sheetName val="SP_Break_Up"/>
      <sheetName val="Column_L1_to_L2"/>
      <sheetName val="Column_L2_to_L3"/>
      <sheetName val="RAMP_3"/>
      <sheetName val="RAMP_1"/>
      <sheetName val="Column_B1_to_L1"/>
      <sheetName val="Slab_L1"/>
      <sheetName val="Slab_L2"/>
      <sheetName val="Basic_Rates"/>
      <sheetName val="ABP_inputs"/>
      <sheetName val="Synergy_Sales_Budget"/>
      <sheetName val="Column_steel"/>
      <sheetName val="key_dates"/>
      <sheetName val="Discount &amp; Margin"/>
      <sheetName val="Parameter"/>
      <sheetName val="Config"/>
      <sheetName val="Break Dw"/>
      <sheetName val="Pile cap"/>
      <sheetName val="Load Details-220kV"/>
      <sheetName val="PS1"/>
      <sheetName val="Hardware"/>
      <sheetName val="d-safe specs"/>
      <sheetName val="Voucher"/>
      <sheetName val="p1-costg"/>
      <sheetName val="BOQ (2)"/>
      <sheetName val="Adimi bldg"/>
      <sheetName val="Pump House"/>
      <sheetName val="Fuel Regu Station"/>
      <sheetName val="S2groupcode"/>
      <sheetName val="Abt Foundation "/>
      <sheetName val="pier Foundation"/>
      <sheetName val="BS SCH 5 _ 9"/>
      <sheetName val="Debits as on 12.04.08"/>
      <sheetName val="concrete"/>
      <sheetName val="Ave.wtd.rates"/>
      <sheetName val="Material "/>
      <sheetName val="Civil Works"/>
      <sheetName val="BOQ T4B"/>
      <sheetName val="당초"/>
      <sheetName val="Fin Sum"/>
      <sheetName val="MPR_PA_1"/>
      <sheetName val="Publicbuilding"/>
      <sheetName val="A"/>
      <sheetName val="B1"/>
      <sheetName val="预算"/>
      <sheetName val="External Development"/>
      <sheetName val="loadcal"/>
      <sheetName val="Meas.-Hotel Part"/>
      <sheetName val="DSLP"/>
      <sheetName val="_top_2B_cer_1"/>
      <sheetName val="CIVIL_abs_II_B_CER__1"/>
      <sheetName val="CUSTOMER_WORKS_1"/>
      <sheetName val="Sales_rate_sheet1"/>
      <sheetName val="2B_specialised__1"/>
      <sheetName val="2b_BACKFILLING1"/>
      <sheetName val="ANTI_TERMITE_sol1"/>
      <sheetName val="RCC_SEPTIC_TANK1"/>
      <sheetName val="RCC_SLAB1"/>
      <sheetName val="F_ESCAPE_ST_RCC1"/>
      <sheetName val="RCC,Ret__Wall1"/>
      <sheetName val="CABL_TRE,RCC1"/>
      <sheetName val="rcc_lintels1"/>
      <sheetName val="SWD__RCC1"/>
      <sheetName val="RCC_PLINTH_BEAM_1"/>
      <sheetName val="SWD_shu1"/>
      <sheetName val="SHU_PLINTH_BEAMS_1"/>
      <sheetName val="ShUTTER_LINTEL1"/>
      <sheetName val="SHU,SLAB__1"/>
      <sheetName val="shu_re_wall1"/>
      <sheetName val="s_tank_sh1"/>
      <sheetName val="cabl_tren,shu1"/>
      <sheetName val="Brickbat_jelly1"/>
      <sheetName val="WATERP_1"/>
      <sheetName val="MIsc_POLYETH__SHEET1"/>
      <sheetName val="TEMP_1"/>
      <sheetName val="Drawings_1"/>
      <sheetName val="rework_claim_status_1"/>
      <sheetName val="project_data_sheet1"/>
      <sheetName val="2B_landscaping_meas_sheet1"/>
      <sheetName val="hanging_restaurant_area_modi1"/>
      <sheetName val="_ROAD_&amp;_WALL__2B1"/>
      <sheetName val="RCC_Ret__Wall1"/>
      <sheetName val="Labour_productivity1"/>
      <sheetName val="Stress_Calculation1"/>
      <sheetName val="Formwork_-_Planned1"/>
      <sheetName val="Concrete_-_planned1"/>
      <sheetName val="2B_August_2K21"/>
      <sheetName val="Fill_this_out_first___1"/>
      <sheetName val="Project_Budget_Worksheet1"/>
      <sheetName val="13__Steel_-_Ratio1"/>
      <sheetName val="Basement_Budget1"/>
      <sheetName val="TBAL9697_-group_wise__sdpl1"/>
      <sheetName val="PRECAST_lightconc-II1"/>
      <sheetName val="INPUT_SHEET1"/>
      <sheetName val="IO_LIST1"/>
      <sheetName val="9__Package_split_-_Cost_1"/>
      <sheetName val="Extra_Item1"/>
      <sheetName val="schedule_nos1"/>
      <sheetName val="Package_split_-_Cost1"/>
      <sheetName val="10__&amp;_11__Rate_Code_&amp;_BQ1"/>
      <sheetName val="Inc_St_-Link1"/>
      <sheetName val="Bill_3_-_Site_Works1"/>
      <sheetName val="Linked_Lead1"/>
      <sheetName val="Currency_Sheet1"/>
      <sheetName val="BASIS_-DEC_081"/>
      <sheetName val="Builtup_Area1"/>
      <sheetName val="Current_Bill_MB_ref1"/>
      <sheetName val="labour_coeff1"/>
      <sheetName val="Staff_Acco_1"/>
      <sheetName val="Cost_summary1"/>
      <sheetName val="Master_Data_Sheet1"/>
      <sheetName val="XChange_Rate1"/>
      <sheetName val="Civil_Boq1"/>
      <sheetName val="Approved_MTD_Proj_#'s1"/>
      <sheetName val="BOQ_-Block_A1"/>
      <sheetName val="Cleaning_&amp;_Grubbing1"/>
      <sheetName val="Rate_Analysis1"/>
      <sheetName val="Driveway_Beams1"/>
      <sheetName val="3cd_Annexure1"/>
      <sheetName val="Sheet3_(2)1"/>
      <sheetName val="Labor_abs-NMR1"/>
      <sheetName val="소상_&quot;1&quot;1"/>
      <sheetName val="Msht_5F1"/>
      <sheetName val="Break_up_Sheet1"/>
      <sheetName val="LIST_OF_MAKES1"/>
      <sheetName val="Component_Pricing,_Costs1"/>
      <sheetName val="Site_Dev_BOQ1"/>
      <sheetName val="LEVEL_SHEET1"/>
      <sheetName val="Cashflow_projection1"/>
      <sheetName val="TASKRSRC_(2)1"/>
      <sheetName val="Basic_Rates1"/>
      <sheetName val="Boq_-_Flats1"/>
      <sheetName val="site_fab&amp;ernstr1"/>
      <sheetName val="SP_Break_Up1"/>
      <sheetName val="3__Elemental_Summary1"/>
      <sheetName val="Perf_Distribution1"/>
      <sheetName val="Labour_&amp;_Plant1"/>
      <sheetName val="REVENUES_&amp;_BS1"/>
      <sheetName val="Area_Statement_1511111"/>
      <sheetName val="INDIGINEOUS_ITEMS_1"/>
      <sheetName val="Enquire"/>
      <sheetName val="#REF"/>
      <sheetName val="Legal Risk Analysis"/>
      <sheetName val="workscope변경"/>
      <sheetName val="BOQ Abstract"/>
      <sheetName val="Field Values"/>
      <sheetName val="Tof"/>
      <sheetName val="Bu_Lookup"/>
      <sheetName val="GL_Lookup"/>
      <sheetName val="BLKs_C"/>
      <sheetName val="d-safe DELUXE"/>
      <sheetName val="CCTV_EST1"/>
      <sheetName val="Fill this out first___"/>
      <sheetName val="1. Merchandising Plan"/>
      <sheetName val="Calendar"/>
      <sheetName val="Gym AV"/>
      <sheetName val="Non Frame Work"/>
      <sheetName val="SITE OVERHEADS"/>
      <sheetName val="Back filling"/>
      <sheetName val="NT items summary"/>
      <sheetName val="list"/>
      <sheetName val="_top_2B_cer_8"/>
      <sheetName val="CIVIL_abs_II_B_CER__8"/>
      <sheetName val="CUSTOMER_WORKS_8"/>
      <sheetName val="Sales_rate_sheet8"/>
      <sheetName val="2B_specialised__8"/>
      <sheetName val="2b_BACKFILLING8"/>
      <sheetName val="ANTI_TERMITE_sol8"/>
      <sheetName val="RCC_SEPTIC_TANK8"/>
      <sheetName val="RCC_SLAB8"/>
      <sheetName val="F_ESCAPE_ST_RCC8"/>
      <sheetName val="RCC,Ret__Wall8"/>
      <sheetName val="CABL_TRE,RCC8"/>
      <sheetName val="rcc_lintels8"/>
      <sheetName val="SWD__RCC8"/>
      <sheetName val="RCC_PLINTH_BEAM_8"/>
      <sheetName val="SWD_shu8"/>
      <sheetName val="SHU_PLINTH_BEAMS_8"/>
      <sheetName val="ShUTTER_LINTEL8"/>
      <sheetName val="SHU,SLAB__8"/>
      <sheetName val="shu_re_wall8"/>
      <sheetName val="s_tank_sh8"/>
      <sheetName val="cabl_tren,shu8"/>
      <sheetName val="Brickbat_jelly8"/>
      <sheetName val="WATERP_8"/>
      <sheetName val="MIsc_POLYETH__SHEET8"/>
      <sheetName val="TEMP_8"/>
      <sheetName val="Drawings_8"/>
      <sheetName val="rework_claim_status_8"/>
      <sheetName val="project_data_sheet8"/>
      <sheetName val="사진"/>
      <sheetName val="KQ Cost Controlling"/>
      <sheetName val="KQ Appropriation"/>
      <sheetName val="Chiet tinh"/>
      <sheetName val="switch"/>
      <sheetName val="PackSize"/>
      <sheetName val="PackagingType"/>
      <sheetName val="ProductHierarchy"/>
      <sheetName val="PurchGroup"/>
      <sheetName val="Sub-brand"/>
      <sheetName val="Variant"/>
      <sheetName val="grid"/>
      <sheetName val="upa"/>
      <sheetName val="2B_landscaping_meas_sheet8"/>
      <sheetName val="hanging_restaurant_area_modi8"/>
      <sheetName val="_ROAD_&amp;_WALL__2B8"/>
      <sheetName val="RCC_Ret__Wall8"/>
      <sheetName val="Labour_productivity8"/>
      <sheetName val="Formwork_-_Planned8"/>
      <sheetName val="Concrete_-_planned8"/>
      <sheetName val="Stress_Calculation8"/>
      <sheetName val="Fill_this_out_first___8"/>
      <sheetName val="13__Steel_-_Ratio7"/>
      <sheetName val="Project_Budget_Worksheet7"/>
      <sheetName val="TBAL9697_-group_wise__sdpl7"/>
      <sheetName val="2B_August_2K27"/>
      <sheetName val="PRECAST_lightconc-II7"/>
      <sheetName val="9__Package_split_-_Cost_7"/>
      <sheetName val="Extra_Item7"/>
      <sheetName val="schedule_nos7"/>
      <sheetName val="IO_LIST7"/>
      <sheetName val="Linked_Lead7"/>
      <sheetName val="Currency_Sheet7"/>
      <sheetName val="Bill_3_-_Site_Works7"/>
      <sheetName val="Current_Bill_MB_ref7"/>
      <sheetName val="10__&amp;_11__Rate_Code_&amp;_BQ7"/>
      <sheetName val="Approved_MTD_Proj_#'s7"/>
      <sheetName val="Basement_Budget7"/>
      <sheetName val="BASIS_-DEC_087"/>
      <sheetName val="Builtup_Area7"/>
      <sheetName val="Package_split_-_Cost7"/>
      <sheetName val="Inc_St_-Link7"/>
      <sheetName val="INPUT_SHEET7"/>
      <sheetName val="_top_2B_cer_2"/>
      <sheetName val="CIVIL_abs_II_B_CER__2"/>
      <sheetName val="CUSTOMER_WORKS_2"/>
      <sheetName val="Sales_rate_sheet2"/>
      <sheetName val="2B_specialised__2"/>
      <sheetName val="2b_BACKFILLING2"/>
      <sheetName val="ANTI_TERMITE_sol2"/>
      <sheetName val="RCC_SEPTIC_TANK2"/>
      <sheetName val="RCC_SLAB2"/>
      <sheetName val="F_ESCAPE_ST_RCC2"/>
      <sheetName val="RCC,Ret__Wall2"/>
      <sheetName val="CABL_TRE,RCC2"/>
      <sheetName val="rcc_lintels2"/>
      <sheetName val="SWD__RCC2"/>
      <sheetName val="RCC_PLINTH_BEAM_2"/>
      <sheetName val="SWD_shu2"/>
      <sheetName val="SHU_PLINTH_BEAMS_2"/>
      <sheetName val="ShUTTER_LINTEL2"/>
      <sheetName val="SHU,SLAB__2"/>
      <sheetName val="shu_re_wall2"/>
      <sheetName val="s_tank_sh2"/>
      <sheetName val="cabl_tren,shu2"/>
      <sheetName val="Brickbat_jelly2"/>
      <sheetName val="WATERP_2"/>
      <sheetName val="MIsc_POLYETH__SHEET2"/>
      <sheetName val="TEMP_2"/>
      <sheetName val="Drawings_2"/>
      <sheetName val="rework_claim_status_2"/>
      <sheetName val="project_data_sheet2"/>
      <sheetName val="2B_landscaping_meas_sheet2"/>
      <sheetName val="hanging_restaurant_area_modi2"/>
      <sheetName val="_ROAD_&amp;_WALL__2B2"/>
      <sheetName val="RCC_Ret__Wall2"/>
      <sheetName val="Labour_productivity2"/>
      <sheetName val="Formwork_-_Planned2"/>
      <sheetName val="Concrete_-_planned2"/>
      <sheetName val="Stress_Calculation2"/>
      <sheetName val="Fill_this_out_first___2"/>
      <sheetName val="_top_2B_cer_3"/>
      <sheetName val="CIVIL_abs_II_B_CER__3"/>
      <sheetName val="CUSTOMER_WORKS_3"/>
      <sheetName val="Sales_rate_sheet3"/>
      <sheetName val="2B_specialised__3"/>
      <sheetName val="2b_BACKFILLING3"/>
      <sheetName val="ANTI_TERMITE_sol3"/>
      <sheetName val="RCC_SEPTIC_TANK3"/>
      <sheetName val="RCC_SLAB3"/>
      <sheetName val="F_ESCAPE_ST_RCC3"/>
      <sheetName val="RCC,Ret__Wall3"/>
      <sheetName val="CABL_TRE,RCC3"/>
      <sheetName val="rcc_lintels3"/>
      <sheetName val="SWD__RCC3"/>
      <sheetName val="RCC_PLINTH_BEAM_3"/>
      <sheetName val="SWD_shu3"/>
      <sheetName val="SHU_PLINTH_BEAMS_3"/>
      <sheetName val="ShUTTER_LINTEL3"/>
      <sheetName val="SHU,SLAB__3"/>
      <sheetName val="shu_re_wall3"/>
      <sheetName val="s_tank_sh3"/>
      <sheetName val="cabl_tren,shu3"/>
      <sheetName val="Brickbat_jelly3"/>
      <sheetName val="WATERP_3"/>
      <sheetName val="MIsc_POLYETH__SHEET3"/>
      <sheetName val="TEMP_3"/>
      <sheetName val="Drawings_3"/>
      <sheetName val="rework_claim_status_3"/>
      <sheetName val="project_data_sheet3"/>
      <sheetName val="2B_landscaping_meas_sheet3"/>
      <sheetName val="hanging_restaurant_area_modi3"/>
      <sheetName val="_ROAD_&amp;_WALL__2B3"/>
      <sheetName val="RCC_Ret__Wall3"/>
      <sheetName val="Labour_productivity3"/>
      <sheetName val="Formwork_-_Planned3"/>
      <sheetName val="Concrete_-_planned3"/>
      <sheetName val="Stress_Calculation3"/>
      <sheetName val="Fill_this_out_first___3"/>
      <sheetName val="13__Steel_-_Ratio2"/>
      <sheetName val="Project_Budget_Worksheet2"/>
      <sheetName val="TBAL9697_-group_wise__sdpl2"/>
      <sheetName val="2B_August_2K22"/>
      <sheetName val="PRECAST_lightconc-II2"/>
      <sheetName val="9__Package_split_-_Cost_2"/>
      <sheetName val="Extra_Item2"/>
      <sheetName val="schedule_nos2"/>
      <sheetName val="IO_LIST2"/>
      <sheetName val="Linked_Lead2"/>
      <sheetName val="Currency_Sheet2"/>
      <sheetName val="Bill_3_-_Site_Works2"/>
      <sheetName val="Current_Bill_MB_ref2"/>
      <sheetName val="10__&amp;_11__Rate_Code_&amp;_BQ2"/>
      <sheetName val="Approved_MTD_Proj_#'s2"/>
      <sheetName val="Basement_Budget2"/>
      <sheetName val="BASIS_-DEC_082"/>
      <sheetName val="Builtup_Area2"/>
      <sheetName val="Package_split_-_Cost2"/>
      <sheetName val="Inc_St_-Link2"/>
      <sheetName val="INPUT_SHEET2"/>
      <sheetName val="_top_2B_cer_4"/>
      <sheetName val="CIVIL_abs_II_B_CER__4"/>
      <sheetName val="CUSTOMER_WORKS_4"/>
      <sheetName val="Sales_rate_sheet4"/>
      <sheetName val="2B_specialised__4"/>
      <sheetName val="2b_BACKFILLING4"/>
      <sheetName val="ANTI_TERMITE_sol4"/>
      <sheetName val="RCC_SEPTIC_TANK4"/>
      <sheetName val="RCC_SLAB4"/>
      <sheetName val="F_ESCAPE_ST_RCC4"/>
      <sheetName val="RCC,Ret__Wall4"/>
      <sheetName val="CABL_TRE,RCC4"/>
      <sheetName val="rcc_lintels4"/>
      <sheetName val="SWD__RCC4"/>
      <sheetName val="RCC_PLINTH_BEAM_4"/>
      <sheetName val="SWD_shu4"/>
      <sheetName val="SHU_PLINTH_BEAMS_4"/>
      <sheetName val="ShUTTER_LINTEL4"/>
      <sheetName val="SHU,SLAB__4"/>
      <sheetName val="shu_re_wall4"/>
      <sheetName val="s_tank_sh4"/>
      <sheetName val="cabl_tren,shu4"/>
      <sheetName val="Brickbat_jelly4"/>
      <sheetName val="WATERP_4"/>
      <sheetName val="MIsc_POLYETH__SHEET4"/>
      <sheetName val="TEMP_4"/>
      <sheetName val="Drawings_4"/>
      <sheetName val="rework_claim_status_4"/>
      <sheetName val="project_data_sheet4"/>
      <sheetName val="2B_landscaping_meas_sheet4"/>
      <sheetName val="hanging_restaurant_area_modi4"/>
      <sheetName val="_ROAD_&amp;_WALL__2B4"/>
      <sheetName val="RCC_Ret__Wall4"/>
      <sheetName val="Labour_productivity4"/>
      <sheetName val="Formwork_-_Planned4"/>
      <sheetName val="Concrete_-_planned4"/>
      <sheetName val="Stress_Calculation4"/>
      <sheetName val="Fill_this_out_first___4"/>
      <sheetName val="13__Steel_-_Ratio3"/>
      <sheetName val="Project_Budget_Worksheet3"/>
      <sheetName val="TBAL9697_-group_wise__sdpl3"/>
      <sheetName val="2B_August_2K23"/>
      <sheetName val="PRECAST_lightconc-II3"/>
      <sheetName val="9__Package_split_-_Cost_3"/>
      <sheetName val="Extra_Item3"/>
      <sheetName val="schedule_nos3"/>
      <sheetName val="IO_LIST3"/>
      <sheetName val="Linked_Lead3"/>
      <sheetName val="Currency_Sheet3"/>
      <sheetName val="Bill_3_-_Site_Works3"/>
      <sheetName val="Current_Bill_MB_ref3"/>
      <sheetName val="10__&amp;_11__Rate_Code_&amp;_BQ3"/>
      <sheetName val="Approved_MTD_Proj_#'s3"/>
      <sheetName val="Basement_Budget3"/>
      <sheetName val="BASIS_-DEC_083"/>
      <sheetName val="Builtup_Area3"/>
      <sheetName val="Package_split_-_Cost3"/>
      <sheetName val="Inc_St_-Link3"/>
      <sheetName val="INPUT_SHEET3"/>
      <sheetName val="_top_2B_cer_5"/>
      <sheetName val="CIVIL_abs_II_B_CER__5"/>
      <sheetName val="CUSTOMER_WORKS_5"/>
      <sheetName val="Sales_rate_sheet5"/>
      <sheetName val="2B_specialised__5"/>
      <sheetName val="2b_BACKFILLING5"/>
      <sheetName val="ANTI_TERMITE_sol5"/>
      <sheetName val="RCC_SEPTIC_TANK5"/>
      <sheetName val="RCC_SLAB5"/>
      <sheetName val="F_ESCAPE_ST_RCC5"/>
      <sheetName val="RCC,Ret__Wall5"/>
      <sheetName val="CABL_TRE,RCC5"/>
      <sheetName val="rcc_lintels5"/>
      <sheetName val="SWD__RCC5"/>
      <sheetName val="RCC_PLINTH_BEAM_5"/>
      <sheetName val="SWD_shu5"/>
      <sheetName val="SHU_PLINTH_BEAMS_5"/>
      <sheetName val="ShUTTER_LINTEL5"/>
      <sheetName val="SHU,SLAB__5"/>
      <sheetName val="shu_re_wall5"/>
      <sheetName val="s_tank_sh5"/>
      <sheetName val="cabl_tren,shu5"/>
      <sheetName val="Brickbat_jelly5"/>
      <sheetName val="WATERP_5"/>
      <sheetName val="MIsc_POLYETH__SHEET5"/>
      <sheetName val="TEMP_5"/>
      <sheetName val="Drawings_5"/>
      <sheetName val="rework_claim_status_5"/>
      <sheetName val="project_data_sheet5"/>
      <sheetName val="2B_landscaping_meas_sheet5"/>
      <sheetName val="hanging_restaurant_area_modi5"/>
      <sheetName val="_ROAD_&amp;_WALL__2B5"/>
      <sheetName val="RCC_Ret__Wall5"/>
      <sheetName val="Labour_productivity5"/>
      <sheetName val="Formwork_-_Planned5"/>
      <sheetName val="Concrete_-_planned5"/>
      <sheetName val="Stress_Calculation5"/>
      <sheetName val="Fill_this_out_first___5"/>
      <sheetName val="13__Steel_-_Ratio4"/>
      <sheetName val="Project_Budget_Worksheet4"/>
      <sheetName val="TBAL9697_-group_wise__sdpl4"/>
      <sheetName val="2B_August_2K24"/>
      <sheetName val="PRECAST_lightconc-II4"/>
      <sheetName val="9__Package_split_-_Cost_4"/>
      <sheetName val="Extra_Item4"/>
      <sheetName val="schedule_nos4"/>
      <sheetName val="IO_LIST4"/>
      <sheetName val="Linked_Lead4"/>
      <sheetName val="Currency_Sheet4"/>
      <sheetName val="Bill_3_-_Site_Works4"/>
      <sheetName val="Current_Bill_MB_ref4"/>
      <sheetName val="10__&amp;_11__Rate_Code_&amp;_BQ4"/>
      <sheetName val="Approved_MTD_Proj_#'s4"/>
      <sheetName val="Basement_Budget4"/>
      <sheetName val="BASIS_-DEC_084"/>
      <sheetName val="Builtup_Area4"/>
      <sheetName val="Package_split_-_Cost4"/>
      <sheetName val="Inc_St_-Link4"/>
      <sheetName val="INPUT_SHEET4"/>
      <sheetName val="_top_2B_cer_6"/>
      <sheetName val="CIVIL_abs_II_B_CER__6"/>
      <sheetName val="CUSTOMER_WORKS_6"/>
      <sheetName val="Sales_rate_sheet6"/>
      <sheetName val="2B_specialised__6"/>
      <sheetName val="2b_BACKFILLING6"/>
      <sheetName val="ANTI_TERMITE_sol6"/>
      <sheetName val="RCC_SEPTIC_TANK6"/>
      <sheetName val="RCC_SLAB6"/>
      <sheetName val="F_ESCAPE_ST_RCC6"/>
      <sheetName val="RCC,Ret__Wall6"/>
      <sheetName val="CABL_TRE,RCC6"/>
      <sheetName val="rcc_lintels6"/>
      <sheetName val="SWD__RCC6"/>
      <sheetName val="RCC_PLINTH_BEAM_6"/>
      <sheetName val="SWD_shu6"/>
      <sheetName val="SHU_PLINTH_BEAMS_6"/>
      <sheetName val="ShUTTER_LINTEL6"/>
      <sheetName val="SHU,SLAB__6"/>
      <sheetName val="shu_re_wall6"/>
      <sheetName val="s_tank_sh6"/>
      <sheetName val="cabl_tren,shu6"/>
      <sheetName val="Brickbat_jelly6"/>
      <sheetName val="WATERP_6"/>
      <sheetName val="MIsc_POLYETH__SHEET6"/>
      <sheetName val="TEMP_6"/>
      <sheetName val="Drawings_6"/>
      <sheetName val="rework_claim_status_6"/>
      <sheetName val="project_data_sheet6"/>
      <sheetName val="2B_landscaping_meas_sheet6"/>
      <sheetName val="hanging_restaurant_area_modi6"/>
      <sheetName val="_ROAD_&amp;_WALL__2B6"/>
      <sheetName val="RCC_Ret__Wall6"/>
      <sheetName val="Labour_productivity6"/>
      <sheetName val="Formwork_-_Planned6"/>
      <sheetName val="Concrete_-_planned6"/>
      <sheetName val="Stress_Calculation6"/>
      <sheetName val="Fill_this_out_first___6"/>
      <sheetName val="13__Steel_-_Ratio5"/>
      <sheetName val="Project_Budget_Worksheet5"/>
      <sheetName val="TBAL9697_-group_wise__sdpl5"/>
      <sheetName val="2B_August_2K25"/>
      <sheetName val="PRECAST_lightconc-II5"/>
      <sheetName val="9__Package_split_-_Cost_5"/>
      <sheetName val="Extra_Item5"/>
      <sheetName val="schedule_nos5"/>
      <sheetName val="IO_LIST5"/>
      <sheetName val="Linked_Lead5"/>
      <sheetName val="Currency_Sheet5"/>
      <sheetName val="Bill_3_-_Site_Works5"/>
      <sheetName val="Current_Bill_MB_ref5"/>
      <sheetName val="10__&amp;_11__Rate_Code_&amp;_BQ5"/>
      <sheetName val="Approved_MTD_Proj_#'s5"/>
      <sheetName val="Basement_Budget5"/>
      <sheetName val="BASIS_-DEC_085"/>
      <sheetName val="Builtup_Area5"/>
      <sheetName val="Package_split_-_Cost5"/>
      <sheetName val="Inc_St_-Link5"/>
      <sheetName val="INPUT_SHEET5"/>
      <sheetName val="_top_2B_cer_7"/>
      <sheetName val="CIVIL_abs_II_B_CER__7"/>
      <sheetName val="CUSTOMER_WORKS_7"/>
      <sheetName val="Sales_rate_sheet7"/>
      <sheetName val="2B_specialised__7"/>
      <sheetName val="2b_BACKFILLING7"/>
      <sheetName val="ANTI_TERMITE_sol7"/>
      <sheetName val="RCC_SEPTIC_TANK7"/>
      <sheetName val="RCC_SLAB7"/>
      <sheetName val="F_ESCAPE_ST_RCC7"/>
      <sheetName val="RCC,Ret__Wall7"/>
      <sheetName val="CABL_TRE,RCC7"/>
      <sheetName val="rcc_lintels7"/>
      <sheetName val="SWD__RCC7"/>
      <sheetName val="RCC_PLINTH_BEAM_7"/>
      <sheetName val="SWD_shu7"/>
      <sheetName val="SHU_PLINTH_BEAMS_7"/>
      <sheetName val="ShUTTER_LINTEL7"/>
      <sheetName val="SHU,SLAB__7"/>
      <sheetName val="shu_re_wall7"/>
      <sheetName val="s_tank_sh7"/>
      <sheetName val="cabl_tren,shu7"/>
      <sheetName val="Brickbat_jelly7"/>
      <sheetName val="WATERP_7"/>
      <sheetName val="MIsc_POLYETH__SHEET7"/>
      <sheetName val="TEMP_7"/>
      <sheetName val="Drawings_7"/>
      <sheetName val="rework_claim_status_7"/>
      <sheetName val="project_data_sheet7"/>
      <sheetName val="2B_landscaping_meas_sheet7"/>
      <sheetName val="hanging_restaurant_area_modi7"/>
      <sheetName val="_ROAD_&amp;_WALL__2B7"/>
      <sheetName val="RCC_Ret__Wall7"/>
      <sheetName val="Labour_productivity7"/>
      <sheetName val="Formwork_-_Planned7"/>
      <sheetName val="Concrete_-_planned7"/>
      <sheetName val="Stress_Calculation7"/>
      <sheetName val="Fill_this_out_first___7"/>
      <sheetName val="13__Steel_-_Ratio6"/>
      <sheetName val="Project_Budget_Worksheet6"/>
      <sheetName val="TBAL9697_-group_wise__sdpl6"/>
      <sheetName val="2B_August_2K26"/>
      <sheetName val="PRECAST_lightconc-II6"/>
      <sheetName val="9__Package_split_-_Cost_6"/>
      <sheetName val="Extra_Item6"/>
      <sheetName val="schedule_nos6"/>
      <sheetName val="IO_LIST6"/>
      <sheetName val="Linked_Lead6"/>
      <sheetName val="Currency_Sheet6"/>
      <sheetName val="Bill_3_-_Site_Works6"/>
      <sheetName val="Current_Bill_MB_ref6"/>
      <sheetName val="10__&amp;_11__Rate_Code_&amp;_BQ6"/>
      <sheetName val="Approved_MTD_Proj_#'s6"/>
      <sheetName val="Basement_Budget6"/>
      <sheetName val="BASIS_-DEC_086"/>
      <sheetName val="Builtup_Area6"/>
      <sheetName val="Package_split_-_Cost6"/>
      <sheetName val="Inc_St_-Link6"/>
      <sheetName val="INPUT_SHEET6"/>
      <sheetName val="_top_2B_cer_9"/>
      <sheetName val="CIVIL_abs_II_B_CER__9"/>
      <sheetName val="CUSTOMER_WORKS_9"/>
      <sheetName val="Sales_rate_sheet9"/>
      <sheetName val="2B_specialised__9"/>
      <sheetName val="2b_BACKFILLING9"/>
      <sheetName val="ANTI_TERMITE_sol9"/>
      <sheetName val="RCC_SEPTIC_TANK9"/>
      <sheetName val="RCC_SLAB9"/>
      <sheetName val="F_ESCAPE_ST_RCC9"/>
      <sheetName val="RCC,Ret__Wall9"/>
      <sheetName val="CABL_TRE,RCC9"/>
      <sheetName val="rcc_lintels9"/>
      <sheetName val="SWD__RCC9"/>
      <sheetName val="RCC_PLINTH_BEAM_9"/>
      <sheetName val="SWD_shu9"/>
      <sheetName val="SHU_PLINTH_BEAMS_9"/>
      <sheetName val="ShUTTER_LINTEL9"/>
      <sheetName val="SHU,SLAB__9"/>
      <sheetName val="shu_re_wall9"/>
      <sheetName val="s_tank_sh9"/>
      <sheetName val="cabl_tren,shu9"/>
      <sheetName val="Brickbat_jelly9"/>
      <sheetName val="WATERP_9"/>
      <sheetName val="MIsc_POLYETH__SHEET9"/>
      <sheetName val="TEMP_9"/>
      <sheetName val="Drawings_9"/>
      <sheetName val="rework_claim_status_9"/>
      <sheetName val="project_data_sheet9"/>
      <sheetName val="2B_landscaping_meas_sheet9"/>
      <sheetName val="hanging_restaurant_area_modi9"/>
      <sheetName val="_ROAD_&amp;_WALL__2B9"/>
      <sheetName val="RCC_Ret__Wall9"/>
      <sheetName val="Labour_productivity9"/>
      <sheetName val="Formwork_-_Planned9"/>
      <sheetName val="Concrete_-_planned9"/>
      <sheetName val="Stress_Calculation9"/>
      <sheetName val="Fill_this_out_first___9"/>
      <sheetName val="13__Steel_-_Ratio8"/>
      <sheetName val="Project_Budget_Worksheet8"/>
      <sheetName val="TBAL9697_-group_wise__sdpl8"/>
      <sheetName val="2B_August_2K28"/>
      <sheetName val="PRECAST_lightconc-II8"/>
      <sheetName val="9__Package_split_-_Cost_8"/>
      <sheetName val="Extra_Item8"/>
      <sheetName val="schedule_nos8"/>
      <sheetName val="IO_LIST8"/>
      <sheetName val="Linked_Lead8"/>
      <sheetName val="Currency_Sheet8"/>
      <sheetName val="Bill_3_-_Site_Works8"/>
      <sheetName val="Current_Bill_MB_ref8"/>
      <sheetName val="10__&amp;_11__Rate_Code_&amp;_BQ8"/>
      <sheetName val="Approved_MTD_Proj_#'s8"/>
      <sheetName val="Basement_Budget8"/>
      <sheetName val="BASIS_-DEC_088"/>
      <sheetName val="Builtup_Area8"/>
      <sheetName val="Package_split_-_Cost8"/>
      <sheetName val="Inc_St_-Link8"/>
      <sheetName val="INPUT_SHEET8"/>
      <sheetName val="_top_2B_cer_10"/>
      <sheetName val="CIVIL_abs_II_B_CER__10"/>
      <sheetName val="CUSTOMER_WORKS_10"/>
      <sheetName val="Sales_rate_sheet10"/>
      <sheetName val="2B_specialised__10"/>
      <sheetName val="2b_BACKFILLING10"/>
      <sheetName val="ANTI_TERMITE_sol10"/>
      <sheetName val="RCC_SEPTIC_TANK10"/>
      <sheetName val="RCC_SLAB10"/>
      <sheetName val="F_ESCAPE_ST_RCC10"/>
      <sheetName val="RCC,Ret__Wall10"/>
      <sheetName val="CABL_TRE,RCC10"/>
      <sheetName val="rcc_lintels10"/>
      <sheetName val="SWD__RCC10"/>
      <sheetName val="RCC_PLINTH_BEAM_10"/>
      <sheetName val="SWD_shu10"/>
      <sheetName val="SHU_PLINTH_BEAMS_10"/>
      <sheetName val="ShUTTER_LINTEL10"/>
      <sheetName val="SHU,SLAB__10"/>
      <sheetName val="shu_re_wall10"/>
      <sheetName val="s_tank_sh10"/>
      <sheetName val="cabl_tren,shu10"/>
      <sheetName val="Brickbat_jelly10"/>
      <sheetName val="WATERP_10"/>
      <sheetName val="MIsc_POLYETH__SHEET10"/>
      <sheetName val="TEMP_10"/>
      <sheetName val="Drawings_10"/>
      <sheetName val="rework_claim_status_10"/>
      <sheetName val="project_data_sheet10"/>
      <sheetName val="2B_landscaping_meas_sheet10"/>
      <sheetName val="hanging_restaurant_area_modi10"/>
      <sheetName val="_ROAD_&amp;_WALL__2B10"/>
      <sheetName val="RCC_Ret__Wall10"/>
      <sheetName val="Labour_productivity10"/>
      <sheetName val="Formwork_-_Planned10"/>
      <sheetName val="Concrete_-_planned10"/>
      <sheetName val="Stress_Calculation10"/>
      <sheetName val="Fill_this_out_first___10"/>
      <sheetName val="13__Steel_-_Ratio9"/>
      <sheetName val="Project_Budget_Worksheet9"/>
      <sheetName val="TBAL9697_-group_wise__sdpl9"/>
      <sheetName val="2B_August_2K29"/>
      <sheetName val="PRECAST_lightconc-II9"/>
      <sheetName val="9__Package_split_-_Cost_9"/>
      <sheetName val="Extra_Item9"/>
      <sheetName val="schedule_nos9"/>
      <sheetName val="IO_LIST9"/>
      <sheetName val="Linked_Lead9"/>
      <sheetName val="Currency_Sheet9"/>
      <sheetName val="Bill_3_-_Site_Works9"/>
      <sheetName val="Current_Bill_MB_ref9"/>
      <sheetName val="10__&amp;_11__Rate_Code_&amp;_BQ9"/>
      <sheetName val="Approved_MTD_Proj_#'s9"/>
      <sheetName val="Basement_Budget9"/>
      <sheetName val="BASIS_-DEC_089"/>
      <sheetName val="Builtup_Area9"/>
      <sheetName val="Package_split_-_Cost9"/>
      <sheetName val="Inc_St_-Link9"/>
      <sheetName val="INPUT_SHEET9"/>
      <sheetName val="_top_2B_cer_11"/>
      <sheetName val="CIVIL_abs_II_B_CER__11"/>
      <sheetName val="CUSTOMER_WORKS_11"/>
      <sheetName val="Sales_rate_sheet11"/>
      <sheetName val="2B_specialised__11"/>
      <sheetName val="2b_BACKFILLING11"/>
      <sheetName val="ANTI_TERMITE_sol11"/>
      <sheetName val="RCC_SEPTIC_TANK11"/>
      <sheetName val="RCC_SLAB11"/>
      <sheetName val="F_ESCAPE_ST_RCC11"/>
      <sheetName val="RCC,Ret__Wall11"/>
      <sheetName val="CABL_TRE,RCC11"/>
      <sheetName val="rcc_lintels11"/>
      <sheetName val="SWD__RCC11"/>
      <sheetName val="RCC_PLINTH_BEAM_11"/>
      <sheetName val="SWD_shu11"/>
      <sheetName val="SHU_PLINTH_BEAMS_11"/>
      <sheetName val="ShUTTER_LINTEL11"/>
      <sheetName val="SHU,SLAB__11"/>
      <sheetName val="shu_re_wall11"/>
      <sheetName val="s_tank_sh11"/>
      <sheetName val="cabl_tren,shu11"/>
      <sheetName val="Brickbat_jelly11"/>
      <sheetName val="WATERP_11"/>
      <sheetName val="MIsc_POLYETH__SHEET11"/>
      <sheetName val="TEMP_11"/>
      <sheetName val="Drawings_11"/>
      <sheetName val="rework_claim_status_11"/>
      <sheetName val="project_data_sheet11"/>
      <sheetName val="2B_landscaping_meas_sheet11"/>
      <sheetName val="hanging_restaurant_area_modi11"/>
      <sheetName val="_ROAD_&amp;_WALL__2B11"/>
      <sheetName val="RCC_Ret__Wall11"/>
      <sheetName val="Labour_productivity11"/>
      <sheetName val="Formwork_-_Planned11"/>
      <sheetName val="Concrete_-_planned11"/>
      <sheetName val="Stress_Calculation11"/>
      <sheetName val="Fill_this_out_first___11"/>
      <sheetName val="13__Steel_-_Ratio10"/>
      <sheetName val="Project_Budget_Worksheet10"/>
      <sheetName val="TBAL9697_-group_wise__sdpl10"/>
      <sheetName val="2B_August_2K210"/>
      <sheetName val="PRECAST_lightconc-II10"/>
      <sheetName val="9__Package_split_-_Cost_10"/>
      <sheetName val="Extra_Item10"/>
      <sheetName val="schedule_nos10"/>
      <sheetName val="IO_LIST10"/>
      <sheetName val="Linked_Lead10"/>
      <sheetName val="Currency_Sheet10"/>
      <sheetName val="Bill_3_-_Site_Works10"/>
      <sheetName val="Current_Bill_MB_ref10"/>
      <sheetName val="10__&amp;_11__Rate_Code_&amp;_BQ10"/>
      <sheetName val="Approved_MTD_Proj_#'s10"/>
      <sheetName val="Basement_Budget10"/>
      <sheetName val="BASIS_-DEC_0810"/>
      <sheetName val="Builtup_Area10"/>
      <sheetName val="Package_split_-_Cost10"/>
      <sheetName val="Inc_St_-Link10"/>
      <sheetName val="INPUT_SHEET10"/>
      <sheetName val="_top_2B_cer_15"/>
      <sheetName val="CIVIL_abs_II_B_CER__15"/>
      <sheetName val="CUSTOMER_WORKS_15"/>
      <sheetName val="Sales_rate_sheet15"/>
      <sheetName val="2B_specialised__15"/>
      <sheetName val="2b_BACKFILLING15"/>
      <sheetName val="ANTI_TERMITE_sol15"/>
      <sheetName val="RCC_SEPTIC_TANK15"/>
      <sheetName val="RCC_SLAB15"/>
      <sheetName val="F_ESCAPE_ST_RCC15"/>
      <sheetName val="RCC,Ret__Wall15"/>
      <sheetName val="CABL_TRE,RCC15"/>
      <sheetName val="rcc_lintels15"/>
      <sheetName val="SWD__RCC15"/>
      <sheetName val="RCC_PLINTH_BEAM_15"/>
      <sheetName val="SWD_shu15"/>
      <sheetName val="SHU_PLINTH_BEAMS_15"/>
      <sheetName val="ShUTTER_LINTEL15"/>
      <sheetName val="SHU,SLAB__15"/>
      <sheetName val="shu_re_wall15"/>
      <sheetName val="s_tank_sh15"/>
      <sheetName val="cabl_tren,shu15"/>
      <sheetName val="Brickbat_jelly15"/>
      <sheetName val="WATERP_15"/>
      <sheetName val="MIsc_POLYETH__SHEET15"/>
      <sheetName val="TEMP_15"/>
      <sheetName val="Drawings_15"/>
      <sheetName val="rework_claim_status_15"/>
      <sheetName val="project_data_sheet15"/>
      <sheetName val="2B_landscaping_meas_sheet15"/>
      <sheetName val="hanging_restaurant_area_modi15"/>
      <sheetName val="_ROAD_&amp;_WALL__2B15"/>
      <sheetName val="RCC_Ret__Wall15"/>
      <sheetName val="Labour_productivity15"/>
      <sheetName val="Formwork_-_Planned15"/>
      <sheetName val="Concrete_-_planned15"/>
      <sheetName val="Stress_Calculation15"/>
      <sheetName val="Fill_this_out_first___15"/>
      <sheetName val="13__Steel_-_Ratio14"/>
      <sheetName val="Project_Budget_Worksheet14"/>
      <sheetName val="TBAL9697_-group_wise__sdpl14"/>
      <sheetName val="2B_August_2K214"/>
      <sheetName val="PRECAST_lightconc-II14"/>
      <sheetName val="9__Package_split_-_Cost_14"/>
      <sheetName val="Extra_Item14"/>
      <sheetName val="schedule_nos14"/>
      <sheetName val="IO_LIST14"/>
      <sheetName val="Linked_Lead14"/>
      <sheetName val="Currency_Sheet14"/>
      <sheetName val="Bill_3_-_Site_Works14"/>
      <sheetName val="Current_Bill_MB_ref14"/>
      <sheetName val="10__&amp;_11__Rate_Code_&amp;_BQ14"/>
      <sheetName val="Approved_MTD_Proj_#'s14"/>
      <sheetName val="Basement_Budget14"/>
      <sheetName val="BASIS_-DEC_0814"/>
      <sheetName val="Builtup_Area14"/>
      <sheetName val="Package_split_-_Cost14"/>
      <sheetName val="Inc_St_-Link14"/>
      <sheetName val="INPUT_SHEET14"/>
      <sheetName val="_top_2B_cer_12"/>
      <sheetName val="CIVIL_abs_II_B_CER__12"/>
      <sheetName val="CUSTOMER_WORKS_12"/>
      <sheetName val="Sales_rate_sheet12"/>
      <sheetName val="2B_specialised__12"/>
      <sheetName val="2b_BACKFILLING12"/>
      <sheetName val="ANTI_TERMITE_sol12"/>
      <sheetName val="RCC_SEPTIC_TANK12"/>
      <sheetName val="RCC_SLAB12"/>
      <sheetName val="F_ESCAPE_ST_RCC12"/>
      <sheetName val="RCC,Ret__Wall12"/>
      <sheetName val="CABL_TRE,RCC12"/>
      <sheetName val="rcc_lintels12"/>
      <sheetName val="SWD__RCC12"/>
      <sheetName val="RCC_PLINTH_BEAM_12"/>
      <sheetName val="SWD_shu12"/>
      <sheetName val="SHU_PLINTH_BEAMS_12"/>
      <sheetName val="ShUTTER_LINTEL12"/>
      <sheetName val="SHU,SLAB__12"/>
      <sheetName val="shu_re_wall12"/>
      <sheetName val="s_tank_sh12"/>
      <sheetName val="cabl_tren,shu12"/>
      <sheetName val="Brickbat_jelly12"/>
      <sheetName val="WATERP_12"/>
      <sheetName val="MIsc_POLYETH__SHEET12"/>
      <sheetName val="TEMP_12"/>
      <sheetName val="Drawings_12"/>
      <sheetName val="rework_claim_status_12"/>
      <sheetName val="project_data_sheet12"/>
      <sheetName val="2B_landscaping_meas_sheet12"/>
      <sheetName val="hanging_restaurant_area_modi12"/>
      <sheetName val="_ROAD_&amp;_WALL__2B12"/>
      <sheetName val="RCC_Ret__Wall12"/>
      <sheetName val="Labour_productivity12"/>
      <sheetName val="Formwork_-_Planned12"/>
      <sheetName val="Concrete_-_planned12"/>
      <sheetName val="Stress_Calculation12"/>
      <sheetName val="Fill_this_out_first___12"/>
      <sheetName val="13__Steel_-_Ratio11"/>
      <sheetName val="Project_Budget_Worksheet11"/>
      <sheetName val="TBAL9697_-group_wise__sdpl11"/>
      <sheetName val="2B_August_2K211"/>
      <sheetName val="PRECAST_lightconc-II11"/>
      <sheetName val="9__Package_split_-_Cost_11"/>
      <sheetName val="Extra_Item11"/>
      <sheetName val="schedule_nos11"/>
      <sheetName val="IO_LIST11"/>
      <sheetName val="Linked_Lead11"/>
      <sheetName val="Currency_Sheet11"/>
      <sheetName val="Bill_3_-_Site_Works11"/>
      <sheetName val="Current_Bill_MB_ref11"/>
      <sheetName val="10__&amp;_11__Rate_Code_&amp;_BQ11"/>
      <sheetName val="Approved_MTD_Proj_#'s11"/>
      <sheetName val="Basement_Budget11"/>
      <sheetName val="BASIS_-DEC_0811"/>
      <sheetName val="Builtup_Area11"/>
      <sheetName val="Package_split_-_Cost11"/>
      <sheetName val="Inc_St_-Link11"/>
      <sheetName val="INPUT_SHEET11"/>
      <sheetName val="_top_2B_cer_13"/>
      <sheetName val="CIVIL_abs_II_B_CER__13"/>
      <sheetName val="CUSTOMER_WORKS_13"/>
      <sheetName val="Sales_rate_sheet13"/>
      <sheetName val="2B_specialised__13"/>
      <sheetName val="2b_BACKFILLING13"/>
      <sheetName val="ANTI_TERMITE_sol13"/>
      <sheetName val="RCC_SEPTIC_TANK13"/>
      <sheetName val="RCC_SLAB13"/>
      <sheetName val="F_ESCAPE_ST_RCC13"/>
      <sheetName val="RCC,Ret__Wall13"/>
      <sheetName val="CABL_TRE,RCC13"/>
      <sheetName val="rcc_lintels13"/>
      <sheetName val="SWD__RCC13"/>
      <sheetName val="RCC_PLINTH_BEAM_13"/>
      <sheetName val="SWD_shu13"/>
      <sheetName val="SHU_PLINTH_BEAMS_13"/>
      <sheetName val="ShUTTER_LINTEL13"/>
      <sheetName val="SHU,SLAB__13"/>
      <sheetName val="shu_re_wall13"/>
      <sheetName val="s_tank_sh13"/>
      <sheetName val="cabl_tren,shu13"/>
      <sheetName val="Brickbat_jelly13"/>
      <sheetName val="WATERP_13"/>
      <sheetName val="MIsc_POLYETH__SHEET13"/>
      <sheetName val="TEMP_13"/>
      <sheetName val="Drawings_13"/>
      <sheetName val="rework_claim_status_13"/>
      <sheetName val="project_data_sheet13"/>
      <sheetName val="2B_landscaping_meas_sheet13"/>
      <sheetName val="hanging_restaurant_area_modi13"/>
      <sheetName val="_ROAD_&amp;_WALL__2B13"/>
      <sheetName val="RCC_Ret__Wall13"/>
      <sheetName val="Labour_productivity13"/>
      <sheetName val="Formwork_-_Planned13"/>
      <sheetName val="Concrete_-_planned13"/>
      <sheetName val="Stress_Calculation13"/>
      <sheetName val="Fill_this_out_first___13"/>
      <sheetName val="13__Steel_-_Ratio12"/>
      <sheetName val="Project_Budget_Worksheet12"/>
      <sheetName val="TBAL9697_-group_wise__sdpl12"/>
      <sheetName val="2B_August_2K212"/>
      <sheetName val="PRECAST_lightconc-II12"/>
      <sheetName val="9__Package_split_-_Cost_12"/>
      <sheetName val="Extra_Item12"/>
      <sheetName val="schedule_nos12"/>
      <sheetName val="IO_LIST12"/>
      <sheetName val="Linked_Lead12"/>
      <sheetName val="Currency_Sheet12"/>
      <sheetName val="Bill_3_-_Site_Works12"/>
      <sheetName val="Current_Bill_MB_ref12"/>
      <sheetName val="10__&amp;_11__Rate_Code_&amp;_BQ12"/>
      <sheetName val="Approved_MTD_Proj_#'s12"/>
      <sheetName val="Basement_Budget12"/>
      <sheetName val="BASIS_-DEC_0812"/>
      <sheetName val="Builtup_Area12"/>
      <sheetName val="Package_split_-_Cost12"/>
      <sheetName val="Inc_St_-Link12"/>
      <sheetName val="INPUT_SHEET12"/>
      <sheetName val="_top_2B_cer_14"/>
      <sheetName val="CIVIL_abs_II_B_CER__14"/>
      <sheetName val="CUSTOMER_WORKS_14"/>
      <sheetName val="Sales_rate_sheet14"/>
      <sheetName val="2B_specialised__14"/>
      <sheetName val="2b_BACKFILLING14"/>
      <sheetName val="ANTI_TERMITE_sol14"/>
      <sheetName val="RCC_SEPTIC_TANK14"/>
      <sheetName val="RCC_SLAB14"/>
      <sheetName val="F_ESCAPE_ST_RCC14"/>
      <sheetName val="RCC,Ret__Wall14"/>
      <sheetName val="CABL_TRE,RCC14"/>
      <sheetName val="rcc_lintels14"/>
      <sheetName val="SWD__RCC14"/>
      <sheetName val="RCC_PLINTH_BEAM_14"/>
      <sheetName val="SWD_shu14"/>
      <sheetName val="SHU_PLINTH_BEAMS_14"/>
      <sheetName val="ShUTTER_LINTEL14"/>
      <sheetName val="SHU,SLAB__14"/>
      <sheetName val="shu_re_wall14"/>
      <sheetName val="s_tank_sh14"/>
      <sheetName val="cabl_tren,shu14"/>
      <sheetName val="Brickbat_jelly14"/>
      <sheetName val="WATERP_14"/>
      <sheetName val="MIsc_POLYETH__SHEET14"/>
      <sheetName val="TEMP_14"/>
      <sheetName val="Drawings_14"/>
      <sheetName val="rework_claim_status_14"/>
      <sheetName val="project_data_sheet14"/>
      <sheetName val="2B_landscaping_meas_sheet14"/>
      <sheetName val="hanging_restaurant_area_modi14"/>
      <sheetName val="_ROAD_&amp;_WALL__2B14"/>
      <sheetName val="RCC_Ret__Wall14"/>
      <sheetName val="Labour_productivity14"/>
      <sheetName val="Formwork_-_Planned14"/>
      <sheetName val="Concrete_-_planned14"/>
      <sheetName val="Stress_Calculation14"/>
      <sheetName val="Fill_this_out_first___14"/>
      <sheetName val="13__Steel_-_Ratio13"/>
      <sheetName val="Project_Budget_Worksheet13"/>
      <sheetName val="TBAL9697_-group_wise__sdpl13"/>
      <sheetName val="2B_August_2K213"/>
      <sheetName val="PRECAST_lightconc-II13"/>
      <sheetName val="9__Package_split_-_Cost_13"/>
      <sheetName val="Extra_Item13"/>
      <sheetName val="schedule_nos13"/>
      <sheetName val="IO_LIST13"/>
      <sheetName val="Linked_Lead13"/>
      <sheetName val="Currency_Sheet13"/>
      <sheetName val="Bill_3_-_Site_Works13"/>
      <sheetName val="Current_Bill_MB_ref13"/>
      <sheetName val="10__&amp;_11__Rate_Code_&amp;_BQ13"/>
      <sheetName val="Approved_MTD_Proj_#'s13"/>
      <sheetName val="Basement_Budget13"/>
      <sheetName val="BASIS_-DEC_0813"/>
      <sheetName val="Builtup_Area13"/>
      <sheetName val="Package_split_-_Cost13"/>
      <sheetName val="Inc_St_-Link13"/>
      <sheetName val="INPUT_SHEET13"/>
      <sheetName val="_top_2B_cer_16"/>
      <sheetName val="CIVIL_abs_II_B_CER__16"/>
      <sheetName val="CUSTOMER_WORKS_16"/>
      <sheetName val="Sales_rate_sheet16"/>
      <sheetName val="2B_specialised__16"/>
      <sheetName val="2b_BACKFILLING16"/>
      <sheetName val="ANTI_TERMITE_sol16"/>
      <sheetName val="RCC_SEPTIC_TANK16"/>
      <sheetName val="RCC_SLAB16"/>
      <sheetName val="F_ESCAPE_ST_RCC16"/>
      <sheetName val="RCC,Ret__Wall16"/>
      <sheetName val="CABL_TRE,RCC16"/>
      <sheetName val="rcc_lintels16"/>
      <sheetName val="SWD__RCC16"/>
      <sheetName val="RCC_PLINTH_BEAM_16"/>
      <sheetName val="SWD_shu16"/>
      <sheetName val="SHU_PLINTH_BEAMS_16"/>
      <sheetName val="ShUTTER_LINTEL16"/>
      <sheetName val="SHU,SLAB__16"/>
      <sheetName val="shu_re_wall16"/>
      <sheetName val="s_tank_sh16"/>
      <sheetName val="cabl_tren,shu16"/>
      <sheetName val="Brickbat_jelly16"/>
      <sheetName val="WATERP_16"/>
      <sheetName val="MIsc_POLYETH__SHEET16"/>
      <sheetName val="TEMP_16"/>
      <sheetName val="Drawings_16"/>
      <sheetName val="rework_claim_status_16"/>
      <sheetName val="project_data_sheet16"/>
      <sheetName val="2B_landscaping_meas_sheet16"/>
      <sheetName val="hanging_restaurant_area_modi16"/>
      <sheetName val="_ROAD_&amp;_WALL__2B16"/>
      <sheetName val="RCC_Ret__Wall16"/>
      <sheetName val="Labour_productivity16"/>
      <sheetName val="Formwork_-_Planned16"/>
      <sheetName val="Concrete_-_planned16"/>
      <sheetName val="Stress_Calculation16"/>
      <sheetName val="Fill_this_out_first___16"/>
      <sheetName val="13__Steel_-_Ratio15"/>
      <sheetName val="Project_Budget_Worksheet15"/>
      <sheetName val="TBAL9697_-group_wise__sdpl15"/>
      <sheetName val="2B_August_2K215"/>
      <sheetName val="PRECAST_lightconc-II15"/>
      <sheetName val="9__Package_split_-_Cost_15"/>
      <sheetName val="Extra_Item15"/>
      <sheetName val="schedule_nos15"/>
      <sheetName val="IO_LIST15"/>
      <sheetName val="Linked_Lead15"/>
      <sheetName val="Currency_Sheet15"/>
      <sheetName val="Bill_3_-_Site_Works15"/>
      <sheetName val="Current_Bill_MB_ref15"/>
      <sheetName val="10__&amp;_11__Rate_Code_&amp;_BQ15"/>
      <sheetName val="Approved_MTD_Proj_#'s15"/>
      <sheetName val="Basement_Budget15"/>
      <sheetName val="BASIS_-DEC_0815"/>
      <sheetName val="Builtup_Area15"/>
      <sheetName val="Package_split_-_Cost15"/>
      <sheetName val="Inc_St_-Link15"/>
      <sheetName val="INPUT_SHEET15"/>
      <sheetName val="_top_2B_cer_17"/>
      <sheetName val="CIVIL_abs_II_B_CER__17"/>
      <sheetName val="CUSTOMER_WORKS_17"/>
      <sheetName val="Sales_rate_sheet17"/>
      <sheetName val="2B_specialised__17"/>
      <sheetName val="2b_BACKFILLING17"/>
      <sheetName val="ANTI_TERMITE_sol17"/>
      <sheetName val="RCC_SEPTIC_TANK17"/>
      <sheetName val="RCC_SLAB17"/>
      <sheetName val="F_ESCAPE_ST_RCC17"/>
      <sheetName val="RCC,Ret__Wall17"/>
      <sheetName val="CABL_TRE,RCC17"/>
      <sheetName val="rcc_lintels17"/>
      <sheetName val="SWD__RCC17"/>
      <sheetName val="RCC_PLINTH_BEAM_17"/>
      <sheetName val="SWD_shu17"/>
      <sheetName val="SHU_PLINTH_BEAMS_17"/>
      <sheetName val="ShUTTER_LINTEL17"/>
      <sheetName val="SHU,SLAB__17"/>
      <sheetName val="shu_re_wall17"/>
      <sheetName val="s_tank_sh17"/>
      <sheetName val="cabl_tren,shu17"/>
      <sheetName val="Brickbat_jelly17"/>
      <sheetName val="WATERP_17"/>
      <sheetName val="MIsc_POLYETH__SHEET17"/>
      <sheetName val="TEMP_17"/>
      <sheetName val="Drawings_17"/>
      <sheetName val="rework_claim_status_17"/>
      <sheetName val="project_data_sheet17"/>
      <sheetName val="2B_landscaping_meas_sheet17"/>
      <sheetName val="hanging_restaurant_area_modi17"/>
      <sheetName val="_ROAD_&amp;_WALL__2B17"/>
      <sheetName val="RCC_Ret__Wall17"/>
      <sheetName val="Labour_productivity17"/>
      <sheetName val="Formwork_-_Planned17"/>
      <sheetName val="Concrete_-_planned17"/>
      <sheetName val="Stress_Calculation17"/>
      <sheetName val="Fill_this_out_first___17"/>
      <sheetName val="13__Steel_-_Ratio16"/>
      <sheetName val="Project_Budget_Worksheet16"/>
      <sheetName val="TBAL9697_-group_wise__sdpl16"/>
      <sheetName val="2B_August_2K216"/>
      <sheetName val="PRECAST_lightconc-II16"/>
      <sheetName val="9__Package_split_-_Cost_16"/>
      <sheetName val="Extra_Item16"/>
      <sheetName val="schedule_nos16"/>
      <sheetName val="IO_LIST16"/>
      <sheetName val="Linked_Lead16"/>
      <sheetName val="Currency_Sheet16"/>
      <sheetName val="Bill_3_-_Site_Works16"/>
      <sheetName val="Current_Bill_MB_ref16"/>
      <sheetName val="10__&amp;_11__Rate_Code_&amp;_BQ16"/>
      <sheetName val="Approved_MTD_Proj_#'s16"/>
      <sheetName val="Basement_Budget16"/>
      <sheetName val="BASIS_-DEC_0816"/>
      <sheetName val="Builtup_Area16"/>
      <sheetName val="Package_split_-_Cost16"/>
      <sheetName val="Inc_St_-Link16"/>
      <sheetName val="INPUT_SHEET16"/>
      <sheetName val="_top_2B_cer_18"/>
      <sheetName val="CIVIL_abs_II_B_CER__18"/>
      <sheetName val="CUSTOMER_WORKS_18"/>
      <sheetName val="Sales_rate_sheet18"/>
      <sheetName val="2B_specialised__18"/>
      <sheetName val="2b_BACKFILLING18"/>
      <sheetName val="ANTI_TERMITE_sol18"/>
      <sheetName val="RCC_SEPTIC_TANK18"/>
      <sheetName val="RCC_SLAB18"/>
      <sheetName val="F_ESCAPE_ST_RCC18"/>
      <sheetName val="RCC,Ret__Wall18"/>
      <sheetName val="CABL_TRE,RCC18"/>
      <sheetName val="rcc_lintels18"/>
      <sheetName val="SWD__RCC18"/>
      <sheetName val="RCC_PLINTH_BEAM_18"/>
      <sheetName val="SWD_shu18"/>
      <sheetName val="SHU_PLINTH_BEAMS_18"/>
      <sheetName val="ShUTTER_LINTEL18"/>
      <sheetName val="SHU,SLAB__18"/>
      <sheetName val="shu_re_wall18"/>
      <sheetName val="s_tank_sh18"/>
      <sheetName val="cabl_tren,shu18"/>
      <sheetName val="Brickbat_jelly18"/>
      <sheetName val="WATERP_18"/>
      <sheetName val="MIsc_POLYETH__SHEET18"/>
      <sheetName val="TEMP_18"/>
      <sheetName val="Drawings_18"/>
      <sheetName val="rework_claim_status_18"/>
      <sheetName val="project_data_sheet18"/>
      <sheetName val="2B_landscaping_meas_sheet18"/>
      <sheetName val="hanging_restaurant_area_modi18"/>
      <sheetName val="_ROAD_&amp;_WALL__2B18"/>
      <sheetName val="RCC_Ret__Wall18"/>
      <sheetName val="Labour_productivity18"/>
      <sheetName val="Formwork_-_Planned18"/>
      <sheetName val="Concrete_-_planned18"/>
      <sheetName val="Stress_Calculation18"/>
      <sheetName val="Fill_this_out_first___18"/>
      <sheetName val="13__Steel_-_Ratio17"/>
      <sheetName val="Project_Budget_Worksheet17"/>
      <sheetName val="TBAL9697_-group_wise__sdpl17"/>
      <sheetName val="2B_August_2K217"/>
      <sheetName val="PRECAST_lightconc-II17"/>
      <sheetName val="9__Package_split_-_Cost_17"/>
      <sheetName val="Extra_Item17"/>
      <sheetName val="schedule_nos17"/>
      <sheetName val="IO_LIST17"/>
      <sheetName val="Linked_Lead17"/>
      <sheetName val="Currency_Sheet17"/>
      <sheetName val="Bill_3_-_Site_Works17"/>
      <sheetName val="Current_Bill_MB_ref17"/>
      <sheetName val="10__&amp;_11__Rate_Code_&amp;_BQ17"/>
      <sheetName val="Approved_MTD_Proj_#'s17"/>
      <sheetName val="Basement_Budget17"/>
      <sheetName val="BASIS_-DEC_0817"/>
      <sheetName val="Builtup_Area17"/>
      <sheetName val="Package_split_-_Cost17"/>
      <sheetName val="Inc_St_-Link17"/>
      <sheetName val="INPUT_SHEET17"/>
      <sheetName val="_top_2B_cer_20"/>
      <sheetName val="CIVIL_abs_II_B_CER__20"/>
      <sheetName val="CUSTOMER_WORKS_20"/>
      <sheetName val="Sales_rate_sheet20"/>
      <sheetName val="2B_specialised__20"/>
      <sheetName val="2b_BACKFILLING20"/>
      <sheetName val="ANTI_TERMITE_sol20"/>
      <sheetName val="RCC_SEPTIC_TANK20"/>
      <sheetName val="RCC_SLAB20"/>
      <sheetName val="F_ESCAPE_ST_RCC20"/>
      <sheetName val="RCC,Ret__Wall20"/>
      <sheetName val="CABL_TRE,RCC20"/>
      <sheetName val="rcc_lintels20"/>
      <sheetName val="SWD__RCC20"/>
      <sheetName val="RCC_PLINTH_BEAM_20"/>
      <sheetName val="SWD_shu20"/>
      <sheetName val="SHU_PLINTH_BEAMS_20"/>
      <sheetName val="ShUTTER_LINTEL20"/>
      <sheetName val="SHU,SLAB__20"/>
      <sheetName val="shu_re_wall20"/>
      <sheetName val="s_tank_sh20"/>
      <sheetName val="cabl_tren,shu20"/>
      <sheetName val="Brickbat_jelly20"/>
      <sheetName val="WATERP_20"/>
      <sheetName val="MIsc_POLYETH__SHEET20"/>
      <sheetName val="TEMP_20"/>
      <sheetName val="Drawings_20"/>
      <sheetName val="rework_claim_status_20"/>
      <sheetName val="project_data_sheet20"/>
      <sheetName val="2B_landscaping_meas_sheet20"/>
      <sheetName val="hanging_restaurant_area_modi20"/>
      <sheetName val="_ROAD_&amp;_WALL__2B20"/>
      <sheetName val="RCC_Ret__Wall20"/>
      <sheetName val="Labour_productivity20"/>
      <sheetName val="Formwork_-_Planned20"/>
      <sheetName val="Concrete_-_planned20"/>
      <sheetName val="Stress_Calculation20"/>
      <sheetName val="Fill_this_out_first___20"/>
      <sheetName val="13__Steel_-_Ratio19"/>
      <sheetName val="Project_Budget_Worksheet19"/>
      <sheetName val="TBAL9697_-group_wise__sdpl19"/>
      <sheetName val="2B_August_2K219"/>
      <sheetName val="PRECAST_lightconc-II19"/>
      <sheetName val="9__Package_split_-_Cost_19"/>
      <sheetName val="Extra_Item19"/>
      <sheetName val="schedule_nos19"/>
      <sheetName val="IO_LIST19"/>
      <sheetName val="Linked_Lead19"/>
      <sheetName val="Currency_Sheet19"/>
      <sheetName val="Bill_3_-_Site_Works19"/>
      <sheetName val="Current_Bill_MB_ref19"/>
      <sheetName val="10__&amp;_11__Rate_Code_&amp;_BQ19"/>
      <sheetName val="Approved_MTD_Proj_#'s19"/>
      <sheetName val="Basement_Budget19"/>
      <sheetName val="BASIS_-DEC_0819"/>
      <sheetName val="Builtup_Area19"/>
      <sheetName val="Package_split_-_Cost19"/>
      <sheetName val="Inc_St_-Link19"/>
      <sheetName val="INPUT_SHEET19"/>
      <sheetName val="_top_2B_cer_19"/>
      <sheetName val="CIVIL_abs_II_B_CER__19"/>
      <sheetName val="CUSTOMER_WORKS_19"/>
      <sheetName val="Sales_rate_sheet19"/>
      <sheetName val="2B_specialised__19"/>
      <sheetName val="2b_BACKFILLING19"/>
      <sheetName val="ANTI_TERMITE_sol19"/>
      <sheetName val="RCC_SEPTIC_TANK19"/>
      <sheetName val="RCC_SLAB19"/>
      <sheetName val="F_ESCAPE_ST_RCC19"/>
      <sheetName val="RCC,Ret__Wall19"/>
      <sheetName val="CABL_TRE,RCC19"/>
      <sheetName val="rcc_lintels19"/>
      <sheetName val="SWD__RCC19"/>
      <sheetName val="RCC_PLINTH_BEAM_19"/>
      <sheetName val="SWD_shu19"/>
      <sheetName val="SHU_PLINTH_BEAMS_19"/>
      <sheetName val="ShUTTER_LINTEL19"/>
      <sheetName val="SHU,SLAB__19"/>
      <sheetName val="shu_re_wall19"/>
      <sheetName val="s_tank_sh19"/>
      <sheetName val="cabl_tren,shu19"/>
      <sheetName val="Brickbat_jelly19"/>
      <sheetName val="WATERP_19"/>
      <sheetName val="MIsc_POLYETH__SHEET19"/>
      <sheetName val="TEMP_19"/>
      <sheetName val="Drawings_19"/>
      <sheetName val="rework_claim_status_19"/>
      <sheetName val="project_data_sheet19"/>
      <sheetName val="2B_landscaping_meas_sheet19"/>
      <sheetName val="hanging_restaurant_area_modi19"/>
      <sheetName val="_ROAD_&amp;_WALL__2B19"/>
      <sheetName val="RCC_Ret__Wall19"/>
      <sheetName val="Labour_productivity19"/>
      <sheetName val="Formwork_-_Planned19"/>
      <sheetName val="Concrete_-_planned19"/>
      <sheetName val="Stress_Calculation19"/>
      <sheetName val="Fill_this_out_first___19"/>
      <sheetName val="13__Steel_-_Ratio18"/>
      <sheetName val="Project_Budget_Worksheet18"/>
      <sheetName val="TBAL9697_-group_wise__sdpl18"/>
      <sheetName val="2B_August_2K218"/>
      <sheetName val="PRECAST_lightconc-II18"/>
      <sheetName val="9__Package_split_-_Cost_18"/>
      <sheetName val="Extra_Item18"/>
      <sheetName val="schedule_nos18"/>
      <sheetName val="IO_LIST18"/>
      <sheetName val="Linked_Lead18"/>
      <sheetName val="Currency_Sheet18"/>
      <sheetName val="Bill_3_-_Site_Works18"/>
      <sheetName val="Current_Bill_MB_ref18"/>
      <sheetName val="10__&amp;_11__Rate_Code_&amp;_BQ18"/>
      <sheetName val="Approved_MTD_Proj_#'s18"/>
      <sheetName val="Basement_Budget18"/>
      <sheetName val="BASIS_-DEC_0818"/>
      <sheetName val="Builtup_Area18"/>
      <sheetName val="Package_split_-_Cost18"/>
      <sheetName val="Inc_St_-Link18"/>
      <sheetName val="INPUT_SHEET18"/>
      <sheetName val="_top_2B_cer_21"/>
      <sheetName val="CIVIL_abs_II_B_CER__21"/>
      <sheetName val="CUSTOMER_WORKS_21"/>
      <sheetName val="Sales_rate_sheet21"/>
      <sheetName val="2B_specialised__21"/>
      <sheetName val="2b_BACKFILLING21"/>
      <sheetName val="ANTI_TERMITE_sol21"/>
      <sheetName val="RCC_SEPTIC_TANK21"/>
      <sheetName val="RCC_SLAB21"/>
      <sheetName val="F_ESCAPE_ST_RCC21"/>
      <sheetName val="RCC,Ret__Wall21"/>
      <sheetName val="CABL_TRE,RCC21"/>
      <sheetName val="rcc_lintels21"/>
      <sheetName val="SWD__RCC21"/>
      <sheetName val="RCC_PLINTH_BEAM_21"/>
      <sheetName val="SWD_shu21"/>
      <sheetName val="SHU_PLINTH_BEAMS_21"/>
      <sheetName val="ShUTTER_LINTEL21"/>
      <sheetName val="SHU,SLAB__21"/>
      <sheetName val="shu_re_wall21"/>
      <sheetName val="s_tank_sh21"/>
      <sheetName val="cabl_tren,shu21"/>
      <sheetName val="Brickbat_jelly21"/>
      <sheetName val="WATERP_21"/>
      <sheetName val="MIsc_POLYETH__SHEET21"/>
      <sheetName val="TEMP_21"/>
      <sheetName val="Drawings_21"/>
      <sheetName val="rework_claim_status_21"/>
      <sheetName val="project_data_sheet21"/>
      <sheetName val="2B_landscaping_meas_sheet21"/>
      <sheetName val="hanging_restaurant_area_modi21"/>
      <sheetName val="_ROAD_&amp;_WALL__2B21"/>
      <sheetName val="RCC_Ret__Wall21"/>
      <sheetName val="Labour_productivity21"/>
      <sheetName val="Formwork_-_Planned21"/>
      <sheetName val="Concrete_-_planned21"/>
      <sheetName val="Stress_Calculation21"/>
      <sheetName val="Fill_this_out_first___21"/>
      <sheetName val="13__Steel_-_Ratio20"/>
      <sheetName val="Project_Budget_Worksheet20"/>
      <sheetName val="TBAL9697_-group_wise__sdpl20"/>
      <sheetName val="2B_August_2K220"/>
      <sheetName val="PRECAST_lightconc-II20"/>
      <sheetName val="9__Package_split_-_Cost_20"/>
      <sheetName val="Extra_Item20"/>
      <sheetName val="schedule_nos20"/>
      <sheetName val="IO_LIST20"/>
      <sheetName val="Linked_Lead20"/>
      <sheetName val="Currency_Sheet20"/>
      <sheetName val="Bill_3_-_Site_Works20"/>
      <sheetName val="Current_Bill_MB_ref20"/>
      <sheetName val="10__&amp;_11__Rate_Code_&amp;_BQ20"/>
      <sheetName val="Approved_MTD_Proj_#'s20"/>
      <sheetName val="Basement_Budget20"/>
      <sheetName val="BASIS_-DEC_0820"/>
      <sheetName val="Builtup_Area20"/>
      <sheetName val="Package_split_-_Cost20"/>
      <sheetName val="Inc_St_-Link20"/>
      <sheetName val="INPUT_SHEET20"/>
      <sheetName val="_top_2B_cer_22"/>
      <sheetName val="CIVIL_abs_II_B_CER__22"/>
      <sheetName val="CUSTOMER_WORKS_22"/>
      <sheetName val="Sales_rate_sheet22"/>
      <sheetName val="2B_specialised__22"/>
      <sheetName val="2b_BACKFILLING22"/>
      <sheetName val="ANTI_TERMITE_sol22"/>
      <sheetName val="RCC_SEPTIC_TANK22"/>
      <sheetName val="RCC_SLAB22"/>
      <sheetName val="F_ESCAPE_ST_RCC22"/>
      <sheetName val="RCC,Ret__Wall22"/>
      <sheetName val="CABL_TRE,RCC22"/>
      <sheetName val="rcc_lintels22"/>
      <sheetName val="SWD__RCC22"/>
      <sheetName val="RCC_PLINTH_BEAM_22"/>
      <sheetName val="SWD_shu22"/>
      <sheetName val="SHU_PLINTH_BEAMS_22"/>
      <sheetName val="ShUTTER_LINTEL22"/>
      <sheetName val="SHU,SLAB__22"/>
      <sheetName val="shu_re_wall22"/>
      <sheetName val="s_tank_sh22"/>
      <sheetName val="cabl_tren,shu22"/>
      <sheetName val="Brickbat_jelly22"/>
      <sheetName val="WATERP_22"/>
      <sheetName val="MIsc_POLYETH__SHEET22"/>
      <sheetName val="TEMP_22"/>
      <sheetName val="Drawings_22"/>
      <sheetName val="rework_claim_status_22"/>
      <sheetName val="project_data_sheet22"/>
      <sheetName val="2B_landscaping_meas_sheet22"/>
      <sheetName val="hanging_restaurant_area_modi22"/>
      <sheetName val="_ROAD_&amp;_WALL__2B22"/>
      <sheetName val="RCC_Ret__Wall22"/>
      <sheetName val="Labour_productivity22"/>
      <sheetName val="Formwork_-_Planned22"/>
      <sheetName val="Concrete_-_planned22"/>
      <sheetName val="Stress_Calculation22"/>
      <sheetName val="Fill_this_out_first___22"/>
      <sheetName val="13__Steel_-_Ratio21"/>
      <sheetName val="Project_Budget_Worksheet21"/>
      <sheetName val="TBAL9697_-group_wise__sdpl21"/>
      <sheetName val="2B_August_2K221"/>
      <sheetName val="PRECAST_lightconc-II21"/>
      <sheetName val="9__Package_split_-_Cost_21"/>
      <sheetName val="Extra_Item21"/>
      <sheetName val="schedule_nos21"/>
      <sheetName val="IO_LIST21"/>
      <sheetName val="Linked_Lead21"/>
      <sheetName val="Currency_Sheet21"/>
      <sheetName val="Bill_3_-_Site_Works21"/>
      <sheetName val="Current_Bill_MB_ref21"/>
      <sheetName val="10__&amp;_11__Rate_Code_&amp;_BQ21"/>
      <sheetName val="Approved_MTD_Proj_#'s21"/>
      <sheetName val="Basement_Budget21"/>
      <sheetName val="BASIS_-DEC_0821"/>
      <sheetName val="Builtup_Area21"/>
      <sheetName val="Package_split_-_Cost21"/>
      <sheetName val="Inc_St_-Link21"/>
      <sheetName val="INPUT_SHEET21"/>
      <sheetName val="_top_2B_cer_23"/>
      <sheetName val="CIVIL_abs_II_B_CER__23"/>
      <sheetName val="CUSTOMER_WORKS_23"/>
      <sheetName val="Sales_rate_sheet23"/>
      <sheetName val="2B_specialised__23"/>
      <sheetName val="2b_BACKFILLING23"/>
      <sheetName val="ANTI_TERMITE_sol23"/>
      <sheetName val="RCC_SEPTIC_TANK23"/>
      <sheetName val="RCC_SLAB23"/>
      <sheetName val="F_ESCAPE_ST_RCC23"/>
      <sheetName val="RCC,Ret__Wall23"/>
      <sheetName val="CABL_TRE,RCC23"/>
      <sheetName val="rcc_lintels23"/>
      <sheetName val="SWD__RCC23"/>
      <sheetName val="RCC_PLINTH_BEAM_23"/>
      <sheetName val="SWD_shu23"/>
      <sheetName val="SHU_PLINTH_BEAMS_23"/>
      <sheetName val="ShUTTER_LINTEL23"/>
      <sheetName val="SHU,SLAB__23"/>
      <sheetName val="shu_re_wall23"/>
      <sheetName val="s_tank_sh23"/>
      <sheetName val="cabl_tren,shu23"/>
      <sheetName val="Brickbat_jelly23"/>
      <sheetName val="WATERP_23"/>
      <sheetName val="MIsc_POLYETH__SHEET23"/>
      <sheetName val="TEMP_23"/>
      <sheetName val="Drawings_23"/>
      <sheetName val="rework_claim_status_23"/>
      <sheetName val="project_data_sheet23"/>
      <sheetName val="2B_landscaping_meas_sheet23"/>
      <sheetName val="hanging_restaurant_area_modi23"/>
      <sheetName val="_ROAD_&amp;_WALL__2B23"/>
      <sheetName val="RCC_Ret__Wall23"/>
      <sheetName val="Labour_productivity23"/>
      <sheetName val="Formwork_-_Planned23"/>
      <sheetName val="Concrete_-_planned23"/>
      <sheetName val="Stress_Calculation23"/>
      <sheetName val="Fill_this_out_first___23"/>
      <sheetName val="13__Steel_-_Ratio22"/>
      <sheetName val="Project_Budget_Worksheet22"/>
      <sheetName val="TBAL9697_-group_wise__sdpl22"/>
      <sheetName val="2B_August_2K222"/>
      <sheetName val="PRECAST_lightconc-II22"/>
      <sheetName val="9__Package_split_-_Cost_22"/>
      <sheetName val="Extra_Item22"/>
      <sheetName val="schedule_nos22"/>
      <sheetName val="IO_LIST22"/>
      <sheetName val="Linked_Lead22"/>
      <sheetName val="Currency_Sheet22"/>
      <sheetName val="Bill_3_-_Site_Works22"/>
      <sheetName val="Current_Bill_MB_ref22"/>
      <sheetName val="10__&amp;_11__Rate_Code_&amp;_BQ22"/>
      <sheetName val="Approved_MTD_Proj_#'s22"/>
      <sheetName val="Basement_Budget22"/>
      <sheetName val="BASIS_-DEC_0822"/>
      <sheetName val="Builtup_Area22"/>
      <sheetName val="Package_split_-_Cost22"/>
      <sheetName val="Inc_St_-Link22"/>
      <sheetName val="INPUT_SHEET22"/>
      <sheetName val="Mactan"/>
      <sheetName val="Mandaue"/>
      <sheetName val="Cost_summary2"/>
      <sheetName val="Master_Data_Sheet2"/>
      <sheetName val="labour_coeff2"/>
      <sheetName val="Staff_Acco_2"/>
      <sheetName val="XChange_Rate2"/>
      <sheetName val="Civil_Boq2"/>
      <sheetName val="3cd_Annexure2"/>
      <sheetName val="Sheet3_(2)2"/>
      <sheetName val="BOQ_-Block_A2"/>
      <sheetName val="Cleaning_&amp;_Grubbing2"/>
      <sheetName val="Rate_Analysis2"/>
      <sheetName val="Msht_5F2"/>
      <sheetName val="Labor_abs-NMR2"/>
      <sheetName val="소상_&quot;1&quot;2"/>
      <sheetName val="Break_up_Sheet2"/>
      <sheetName val="LIST_OF_MAKES2"/>
      <sheetName val="Site_Dev_BOQ2"/>
      <sheetName val="LEVEL_SHEET2"/>
      <sheetName val="Driveway_Beams2"/>
      <sheetName val="Boq_-_Flats2"/>
      <sheetName val="site_fab&amp;ernstr2"/>
      <sheetName val="Component_Pricing,_Costs2"/>
      <sheetName val="Cashflow_projection2"/>
      <sheetName val="TASKRSRC_(2)2"/>
      <sheetName val="SP_Break_Up2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3__Elemental_Summary2"/>
      <sheetName val="Basic_Rates2"/>
      <sheetName val="ABP_inputs1"/>
      <sheetName val="Synergy_Sales_Budget1"/>
      <sheetName val="Perf_Distribution2"/>
      <sheetName val="Labour_&amp;_Plant2"/>
      <sheetName val="REVENUES_&amp;_BS2"/>
      <sheetName val="Area_Statement_1511112"/>
      <sheetName val="INDIGINEOUS_ITEMS_2"/>
      <sheetName val="Column_steel1"/>
      <sheetName val="key_dates1"/>
      <sheetName val="S_&amp;_A"/>
      <sheetName val="Pay_Rec1"/>
      <sheetName val="Reference_Information"/>
      <sheetName val="Employee_List"/>
      <sheetName val="Sales_Office"/>
      <sheetName val="CABLE_DATA"/>
      <sheetName val="Agency_BS"/>
      <sheetName val="Block_A_-_BOQ"/>
      <sheetName val="NEW_Main"/>
      <sheetName val="Plant_&amp;__Machinery"/>
      <sheetName val="Cover_sheet"/>
      <sheetName val="BANK_TRANSFER"/>
      <sheetName val="water_prop_"/>
      <sheetName val="Adimi_bldg"/>
      <sheetName val="Pump_House"/>
      <sheetName val="Fuel_Regu_Station"/>
      <sheetName val="Data_sheet"/>
      <sheetName val="BOQ_T4B"/>
      <sheetName val="MAT_cost"/>
      <sheetName val="Discount_&amp;_Margin"/>
      <sheetName val="BOQ_Direct_selling_cost"/>
      <sheetName val="MH(on_site)"/>
      <sheetName val="WORK_TABLE"/>
      <sheetName val="BS_SCH_5___9"/>
      <sheetName val="Ave_wtd_rates"/>
      <sheetName val="Material_"/>
      <sheetName val="Debits_as_on_12_04_08"/>
      <sheetName val="Meas_-Hotel_Part"/>
      <sheetName val="Load_Details-220kV"/>
      <sheetName val="Pile_cap"/>
      <sheetName val="External_Development"/>
      <sheetName val="BOQ_Abstract"/>
      <sheetName val="Field_Values"/>
      <sheetName val="d-safe_specs"/>
      <sheetName val="Fin_Sum"/>
      <sheetName val="Legal_Risk_Analysis"/>
      <sheetName val="Break_Dw"/>
      <sheetName val="Abt_Foundation_"/>
      <sheetName val="pier_Foundation"/>
      <sheetName val="Civil_Works"/>
      <sheetName val="BOQ_(2)"/>
      <sheetName val="bs BP 04 SA"/>
      <sheetName val="Deviation"/>
      <sheetName val="Customize Your Invoice"/>
      <sheetName val="PART B INTERIOR GF "/>
      <sheetName val="Details"/>
      <sheetName val="Input Rates"/>
      <sheetName val="Other assumptions"/>
      <sheetName val="B1_Construction Details"/>
      <sheetName val="Risk &amp; Opportunities"/>
      <sheetName val="Comparative"/>
      <sheetName val="Performance Report"/>
      <sheetName val="Cable-data"/>
      <sheetName val="Summary year Plan"/>
      <sheetName val="BJ"/>
      <sheetName val="C1"/>
      <sheetName val="Micro"/>
      <sheetName val="GM &amp; TA"/>
      <sheetName val="Macro"/>
      <sheetName val="Scaff-Rose"/>
      <sheetName val="Weaving(Column)"/>
      <sheetName val="Mechanical"/>
      <sheetName val="verrous"/>
      <sheetName val="Wkgs"/>
      <sheetName val="14 _MLD.modi"/>
      <sheetName val="EDWise"/>
      <sheetName val="labour_coeff3"/>
      <sheetName val="Staff_Acco_3"/>
      <sheetName val="Cost_summary3"/>
      <sheetName val="Civil_Boq3"/>
      <sheetName val="Master_Data_Sheet3"/>
      <sheetName val="XChange_Rate3"/>
      <sheetName val="3cd_Annexure3"/>
      <sheetName val="Sheet3_(2)3"/>
      <sheetName val="BOQ_-Block_A3"/>
      <sheetName val="Cleaning_&amp;_Grubbing3"/>
      <sheetName val="Rate_Analysis3"/>
      <sheetName val="소상_&quot;1&quot;3"/>
      <sheetName val="Msht_5F3"/>
      <sheetName val="Driveway_Beams3"/>
      <sheetName val="Break_up_Sheet3"/>
      <sheetName val="Site_Dev_BOQ3"/>
      <sheetName val="LEVEL_SHEET3"/>
      <sheetName val="LIST_OF_MAKES3"/>
      <sheetName val="Labor_abs-NMR3"/>
      <sheetName val="Boq_-_Flats3"/>
      <sheetName val="site_fab&amp;ernstr3"/>
      <sheetName val="Component_Pricing,_Costs3"/>
      <sheetName val="Cashflow_projection3"/>
      <sheetName val="TASKRSRC_(2)3"/>
      <sheetName val="SP_Break_Up3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3__Elemental_Summary3"/>
      <sheetName val="Basic_Rates3"/>
      <sheetName val="ABP_inputs2"/>
      <sheetName val="Synergy_Sales_Budget2"/>
      <sheetName val="Perf_Distribution3"/>
      <sheetName val="Labour_&amp;_Plant3"/>
      <sheetName val="REVENUES_&amp;_BS3"/>
      <sheetName val="Area_Statement_1511113"/>
      <sheetName val="INDIGINEOUS_ITEMS_3"/>
      <sheetName val="Column_steel2"/>
      <sheetName val="key_dates2"/>
      <sheetName val="S_&amp;_A1"/>
      <sheetName val="Pay_Rec2"/>
      <sheetName val="Block_A_-_BOQ1"/>
      <sheetName val="Reference_Information1"/>
      <sheetName val="Employee_List1"/>
      <sheetName val="Sales_Office1"/>
      <sheetName val="NEW_Main1"/>
      <sheetName val="CABLE_DATA1"/>
      <sheetName val="Agency_BS1"/>
      <sheetName val="Plant_&amp;__Machinery1"/>
      <sheetName val="BANK_TRANSFER1"/>
      <sheetName val="water_prop_1"/>
      <sheetName val="Cover_sheet1"/>
      <sheetName val="Adimi_bldg1"/>
      <sheetName val="Pump_House1"/>
      <sheetName val="Fuel_Regu_Station1"/>
      <sheetName val="Data_sheet1"/>
      <sheetName val="Discount_&amp;_Margin1"/>
      <sheetName val="BOQ_T4B1"/>
      <sheetName val="MAT_cost1"/>
      <sheetName val="MH(on_site)1"/>
      <sheetName val="BOQ_Direct_selling_cost1"/>
      <sheetName val="WORK_TABLE1"/>
      <sheetName val="BS_SCH_5___91"/>
      <sheetName val="Ave_wtd_rates1"/>
      <sheetName val="Material_1"/>
      <sheetName val="Debits_as_on_12_04_081"/>
      <sheetName val="Meas_-Hotel_Part1"/>
      <sheetName val="Load_Details-220kV1"/>
      <sheetName val="Pile_cap1"/>
      <sheetName val="External_Development1"/>
      <sheetName val="Fin_Sum1"/>
      <sheetName val="Break_Dw1"/>
      <sheetName val="d-safe_specs1"/>
      <sheetName val="Abt_Foundation_1"/>
      <sheetName val="pier_Foundation1"/>
      <sheetName val="Civil_Works1"/>
      <sheetName val="Legal_Risk_Analysis1"/>
      <sheetName val="BOQ_Abstract1"/>
      <sheetName val="Field_Values1"/>
      <sheetName val="BOQ_(2)1"/>
      <sheetName val="Cost_summary4"/>
      <sheetName val="Master_Data_Sheet4"/>
      <sheetName val="labour_coeff4"/>
      <sheetName val="Staff_Acco_4"/>
      <sheetName val="XChange_Rate4"/>
      <sheetName val="Civil_Boq4"/>
      <sheetName val="3cd_Annexure4"/>
      <sheetName val="Sheet3_(2)4"/>
      <sheetName val="BOQ_-Block_A4"/>
      <sheetName val="Cleaning_&amp;_Grubbing4"/>
      <sheetName val="Rate_Analysis4"/>
      <sheetName val="Msht_5F4"/>
      <sheetName val="Labor_abs-NMR4"/>
      <sheetName val="소상_&quot;1&quot;4"/>
      <sheetName val="Break_up_Sheet4"/>
      <sheetName val="LIST_OF_MAKES4"/>
      <sheetName val="Site_Dev_BOQ4"/>
      <sheetName val="LEVEL_SHEET4"/>
      <sheetName val="Driveway_Beams4"/>
      <sheetName val="Boq_-_Flats4"/>
      <sheetName val="site_fab&amp;ernstr4"/>
      <sheetName val="Component_Pricing,_Costs4"/>
      <sheetName val="Cashflow_projection4"/>
      <sheetName val="TASKRSRC_(2)4"/>
      <sheetName val="SP_Break_Up4"/>
      <sheetName val="Column_L1_to_L23"/>
      <sheetName val="Column_L2_to_L33"/>
      <sheetName val="RAMP_33"/>
      <sheetName val="RAMP_13"/>
      <sheetName val="Column_B1_to_L13"/>
      <sheetName val="Slab_L13"/>
      <sheetName val="Slab_L23"/>
      <sheetName val="3__Elemental_Summary4"/>
      <sheetName val="Basic_Rates4"/>
      <sheetName val="ABP_inputs3"/>
      <sheetName val="Synergy_Sales_Budget3"/>
      <sheetName val="Perf_Distribution4"/>
      <sheetName val="Labour_&amp;_Plant4"/>
      <sheetName val="REVENUES_&amp;_BS4"/>
      <sheetName val="Area_Statement_1511114"/>
      <sheetName val="INDIGINEOUS_ITEMS_4"/>
      <sheetName val="Column_steel3"/>
      <sheetName val="key_dates3"/>
      <sheetName val="S_&amp;_A2"/>
      <sheetName val="Pay_Rec3"/>
      <sheetName val="Reference_Information2"/>
      <sheetName val="Employee_List2"/>
      <sheetName val="Sales_Office2"/>
      <sheetName val="CABLE_DATA2"/>
      <sheetName val="Agency_BS2"/>
      <sheetName val="Block_A_-_BOQ2"/>
      <sheetName val="NEW_Main2"/>
      <sheetName val="Plant_&amp;__Machinery2"/>
      <sheetName val="Cover_sheet2"/>
      <sheetName val="BANK_TRANSFER2"/>
      <sheetName val="water_prop_2"/>
      <sheetName val="Adimi_bldg2"/>
      <sheetName val="Pump_House2"/>
      <sheetName val="Fuel_Regu_Station2"/>
      <sheetName val="Data_sheet2"/>
      <sheetName val="BOQ_T4B2"/>
      <sheetName val="MAT_cost2"/>
      <sheetName val="Discount_&amp;_Margin2"/>
      <sheetName val="BOQ_Direct_selling_cost2"/>
      <sheetName val="MH(on_site)2"/>
      <sheetName val="WORK_TABLE2"/>
      <sheetName val="BS_SCH_5___92"/>
      <sheetName val="Ave_wtd_rates2"/>
      <sheetName val="Material_2"/>
      <sheetName val="Debits_as_on_12_04_082"/>
      <sheetName val="Meas_-Hotel_Part2"/>
      <sheetName val="Load_Details-220kV2"/>
      <sheetName val="Pile_cap2"/>
      <sheetName val="External_Development2"/>
      <sheetName val="BOQ_Abstract2"/>
      <sheetName val="Field_Values2"/>
      <sheetName val="d-safe_specs2"/>
      <sheetName val="Fin_Sum2"/>
      <sheetName val="Legal_Risk_Analysis2"/>
      <sheetName val="Break_Dw2"/>
      <sheetName val="Abt_Foundation_2"/>
      <sheetName val="pier_Foundation2"/>
      <sheetName val="Civil_Works2"/>
      <sheetName val="BOQ_(2)2"/>
      <sheetName val="Cost_summary5"/>
      <sheetName val="Master_Data_Sheet5"/>
      <sheetName val="labour_coeff5"/>
      <sheetName val="Staff_Acco_5"/>
      <sheetName val="XChange_Rate5"/>
      <sheetName val="Civil_Boq5"/>
      <sheetName val="3cd_Annexure5"/>
      <sheetName val="Sheet3_(2)5"/>
      <sheetName val="BOQ_-Block_A5"/>
      <sheetName val="Cleaning_&amp;_Grubbing5"/>
      <sheetName val="Rate_Analysis5"/>
      <sheetName val="Msht_5F5"/>
      <sheetName val="Labor_abs-NMR5"/>
      <sheetName val="소상_&quot;1&quot;5"/>
      <sheetName val="Break_up_Sheet5"/>
      <sheetName val="LIST_OF_MAKES5"/>
      <sheetName val="Site_Dev_BOQ5"/>
      <sheetName val="LEVEL_SHEET5"/>
      <sheetName val="Driveway_Beams5"/>
      <sheetName val="Boq_-_Flats5"/>
      <sheetName val="site_fab&amp;ernstr5"/>
      <sheetName val="Component_Pricing,_Costs5"/>
      <sheetName val="Cashflow_projection5"/>
      <sheetName val="TASKRSRC_(2)5"/>
      <sheetName val="SP_Break_Up5"/>
      <sheetName val="Column_L1_to_L24"/>
      <sheetName val="Column_L2_to_L34"/>
      <sheetName val="RAMP_34"/>
      <sheetName val="RAMP_14"/>
      <sheetName val="Column_B1_to_L14"/>
      <sheetName val="Slab_L14"/>
      <sheetName val="Slab_L24"/>
      <sheetName val="3__Elemental_Summary5"/>
      <sheetName val="Basic_Rates5"/>
      <sheetName val="ABP_inputs4"/>
      <sheetName val="Synergy_Sales_Budget4"/>
      <sheetName val="Perf_Distribution5"/>
      <sheetName val="Labour_&amp;_Plant5"/>
      <sheetName val="REVENUES_&amp;_BS5"/>
      <sheetName val="Area_Statement_1511115"/>
      <sheetName val="INDIGINEOUS_ITEMS_5"/>
      <sheetName val="Column_steel4"/>
      <sheetName val="key_dates4"/>
      <sheetName val="S_&amp;_A3"/>
      <sheetName val="Pay_Rec4"/>
      <sheetName val="Reference_Information3"/>
      <sheetName val="Employee_List3"/>
      <sheetName val="Sales_Office3"/>
      <sheetName val="CABLE_DATA3"/>
      <sheetName val="Agency_BS3"/>
      <sheetName val="Block_A_-_BOQ3"/>
      <sheetName val="NEW_Main3"/>
      <sheetName val="Plant_&amp;__Machinery3"/>
      <sheetName val="Cover_sheet3"/>
      <sheetName val="BANK_TRANSFER3"/>
      <sheetName val="water_prop_3"/>
      <sheetName val="Adimi_bldg3"/>
      <sheetName val="Pump_House3"/>
      <sheetName val="Fuel_Regu_Station3"/>
      <sheetName val="Data_sheet3"/>
      <sheetName val="BOQ_T4B3"/>
      <sheetName val="MAT_cost3"/>
      <sheetName val="Discount_&amp;_Margin3"/>
      <sheetName val="BOQ_Direct_selling_cost3"/>
      <sheetName val="MH(on_site)3"/>
      <sheetName val="WORK_TABLE3"/>
      <sheetName val="BS_SCH_5___93"/>
      <sheetName val="Ave_wtd_rates3"/>
      <sheetName val="Material_3"/>
      <sheetName val="Debits_as_on_12_04_083"/>
      <sheetName val="Meas_-Hotel_Part3"/>
      <sheetName val="Load_Details-220kV3"/>
      <sheetName val="Pile_cap3"/>
      <sheetName val="External_Development3"/>
      <sheetName val="BOQ_Abstract3"/>
      <sheetName val="Field_Values3"/>
      <sheetName val="d-safe_specs3"/>
      <sheetName val="Fin_Sum3"/>
      <sheetName val="Legal_Risk_Analysis3"/>
      <sheetName val="Break_Dw3"/>
      <sheetName val="Abt_Foundation_3"/>
      <sheetName val="pier_Foundation3"/>
      <sheetName val="Civil_Works3"/>
      <sheetName val="BOQ_(2)3"/>
      <sheetName val="Power req_High side"/>
      <sheetName val="keyword"/>
      <sheetName val="Set"/>
      <sheetName val="SF"/>
      <sheetName val="M.S."/>
      <sheetName val="Angebot18.7."/>
      <sheetName val="Substation"/>
      <sheetName val="Spend by Supplier"/>
      <sheetName val="BHANDUP"/>
      <sheetName val="BASIC PRICE"/>
      <sheetName val="07"/>
      <sheetName val="labour rates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KSt - Analysis "/>
      <sheetName val="_top_2B_cer_24"/>
      <sheetName val="CIVIL_abs_II_B_CER__24"/>
      <sheetName val="CUSTOMER_WORKS_24"/>
      <sheetName val="Sales_rate_sheet24"/>
      <sheetName val="2B_specialised__24"/>
      <sheetName val="2b_BACKFILLING24"/>
      <sheetName val="ANTI_TERMITE_sol24"/>
      <sheetName val="RCC_SEPTIC_TANK24"/>
      <sheetName val="RCC_SLAB24"/>
      <sheetName val="F_ESCAPE_ST_RCC24"/>
      <sheetName val="RCC,Ret__Wall24"/>
      <sheetName val="CABL_TRE,RCC24"/>
      <sheetName val="rcc_lintels24"/>
      <sheetName val="SWD__RCC24"/>
      <sheetName val="RCC_PLINTH_BEAM_24"/>
      <sheetName val="SWD_shu24"/>
      <sheetName val="SHU_PLINTH_BEAMS_24"/>
      <sheetName val="ShUTTER_LINTEL24"/>
      <sheetName val="SHU,SLAB__24"/>
      <sheetName val="shu_re_wall24"/>
      <sheetName val="s_tank_sh24"/>
      <sheetName val="cabl_tren,shu24"/>
      <sheetName val="Brickbat_jelly24"/>
      <sheetName val="WATERP_24"/>
      <sheetName val="MIsc_POLYETH__SHEET24"/>
      <sheetName val="TEMP_24"/>
      <sheetName val="Drawings_24"/>
      <sheetName val="rework_claim_status_24"/>
      <sheetName val="project_data_sheet24"/>
      <sheetName val="2B_landscaping_meas_sheet24"/>
      <sheetName val="hanging_restaurant_area_modi24"/>
      <sheetName val="_ROAD_&amp;_WALL__2B24"/>
      <sheetName val="RCC_Ret__Wall24"/>
      <sheetName val="Labour_productivity24"/>
      <sheetName val="Stress_Calculation24"/>
      <sheetName val="Formwork_-_Planned24"/>
      <sheetName val="Concrete_-_planned24"/>
      <sheetName val="2B_August_2K223"/>
      <sheetName val="Fill_this_out_first___24"/>
      <sheetName val="Project_Budget_Worksheet23"/>
      <sheetName val="13__Steel_-_Ratio23"/>
      <sheetName val="Basement_Budget23"/>
      <sheetName val="TBAL9697_-group_wise__sdpl23"/>
      <sheetName val="PRECAST_lightconc-II23"/>
      <sheetName val="INPUT_SHEET23"/>
      <sheetName val="IO_LIST23"/>
      <sheetName val="9__Package_split_-_Cost_23"/>
      <sheetName val="Extra_Item23"/>
      <sheetName val="schedule_nos23"/>
      <sheetName val="Package_split_-_Cost23"/>
      <sheetName val="10__&amp;_11__Rate_Code_&amp;_BQ23"/>
      <sheetName val="Inc_St_-Link23"/>
      <sheetName val="Bill_3_-_Site_Works23"/>
      <sheetName val="Linked_Lead23"/>
      <sheetName val="Currency_Sheet23"/>
      <sheetName val="BASIS_-DEC_0823"/>
      <sheetName val="Builtup_Area23"/>
      <sheetName val="Current_Bill_MB_ref23"/>
      <sheetName val="Approved_MTD_Proj_#'s23"/>
      <sheetName val="Back_filling"/>
      <sheetName val="NT_items_summary"/>
      <sheetName val="SITE_OVERHEADS"/>
      <sheetName val="d-safe_DELUXE"/>
      <sheetName val="Fill_this_out_first___25"/>
      <sheetName val="1__Merchandising_Plan"/>
      <sheetName val="Gym_AV"/>
      <sheetName val="Input_Rates"/>
      <sheetName val="bs_BP_04_SA"/>
      <sheetName val="Risk_&amp;_Opportunities"/>
      <sheetName val="Non_Frame_Work"/>
      <sheetName val="Customize_Your_Invoice"/>
      <sheetName val="Power_req_High_side"/>
      <sheetName val="Variation Statement"/>
      <sheetName val="Basic"/>
      <sheetName val="Cost_summary6"/>
      <sheetName val="Master_Data_Sheet6"/>
      <sheetName val="labour_coeff6"/>
      <sheetName val="Staff_Acco_6"/>
      <sheetName val="XChange_Rate6"/>
      <sheetName val="Civil_Boq6"/>
      <sheetName val="3cd_Annexure6"/>
      <sheetName val="Sheet3_(2)6"/>
      <sheetName val="BOQ_-Block_A6"/>
      <sheetName val="Cleaning_&amp;_Grubbing6"/>
      <sheetName val="Rate_Analysis6"/>
      <sheetName val="Msht_5F6"/>
      <sheetName val="Labor_abs-NMR6"/>
      <sheetName val="소상_&quot;1&quot;6"/>
      <sheetName val="Break_up_Sheet6"/>
      <sheetName val="LIST_OF_MAKES6"/>
      <sheetName val="Site_Dev_BOQ6"/>
      <sheetName val="LEVEL_SHEET6"/>
      <sheetName val="Driveway_Beams6"/>
      <sheetName val="Boq_-_Flats6"/>
      <sheetName val="site_fab&amp;ernstr6"/>
      <sheetName val="Component_Pricing,_Costs6"/>
      <sheetName val="Cashflow_projection6"/>
      <sheetName val="TASKRSRC_(2)6"/>
      <sheetName val="SP_Break_Up6"/>
      <sheetName val="Column_L1_to_L25"/>
      <sheetName val="Column_L2_to_L35"/>
      <sheetName val="RAMP_35"/>
      <sheetName val="RAMP_15"/>
      <sheetName val="Column_B1_to_L15"/>
      <sheetName val="Slab_L15"/>
      <sheetName val="Slab_L25"/>
      <sheetName val="3__Elemental_Summary6"/>
      <sheetName val="Basic_Rates6"/>
      <sheetName val="ABP_inputs5"/>
      <sheetName val="Synergy_Sales_Budget5"/>
      <sheetName val="Perf_Distribution6"/>
      <sheetName val="Labour_&amp;_Plant6"/>
      <sheetName val="REVENUES_&amp;_BS6"/>
      <sheetName val="Area_Statement_1511116"/>
      <sheetName val="INDIGINEOUS_ITEMS_6"/>
      <sheetName val="Column_steel5"/>
      <sheetName val="key_dates5"/>
      <sheetName val="S_&amp;_A4"/>
      <sheetName val="Pay_Rec5"/>
      <sheetName val="Reference_Information4"/>
      <sheetName val="Employee_List4"/>
      <sheetName val="Sales_Office4"/>
      <sheetName val="CABLE_DATA4"/>
      <sheetName val="Agency_BS4"/>
      <sheetName val="Block_A_-_BOQ4"/>
      <sheetName val="NEW_Main4"/>
      <sheetName val="Plant_&amp;__Machinery4"/>
      <sheetName val="Cover_sheet4"/>
      <sheetName val="BANK_TRANSFER4"/>
      <sheetName val="water_prop_4"/>
      <sheetName val="Adimi_bldg4"/>
      <sheetName val="Pump_House4"/>
      <sheetName val="Fuel_Regu_Station4"/>
      <sheetName val="Data_sheet4"/>
      <sheetName val="BOQ_T4B4"/>
      <sheetName val="MAT_cost4"/>
      <sheetName val="Discount_&amp;_Margin4"/>
      <sheetName val="BOQ_Direct_selling_cost4"/>
      <sheetName val="MH(on_site)4"/>
      <sheetName val="WORK_TABLE4"/>
      <sheetName val="BS_SCH_5___94"/>
      <sheetName val="Ave_wtd_rates4"/>
      <sheetName val="Material_4"/>
      <sheetName val="Debits_as_on_12_04_084"/>
      <sheetName val="Meas_-Hotel_Part4"/>
      <sheetName val="Load_Details-220kV4"/>
      <sheetName val="Pile_cap4"/>
      <sheetName val="External_Development4"/>
      <sheetName val="BOQ_Abstract4"/>
      <sheetName val="Field_Values4"/>
      <sheetName val="d-safe_specs4"/>
      <sheetName val="Fin_Sum4"/>
      <sheetName val="Legal_Risk_Analysis4"/>
      <sheetName val="Break_Dw4"/>
      <sheetName val="Abt_Foundation_4"/>
      <sheetName val="pier_Foundation4"/>
      <sheetName val="Civil_Works4"/>
      <sheetName val="BOQ_(2)4"/>
      <sheetName val="Cost_summary7"/>
      <sheetName val="Master_Data_Sheet7"/>
      <sheetName val="labour_coeff7"/>
      <sheetName val="Staff_Acco_7"/>
      <sheetName val="XChange_Rate7"/>
      <sheetName val="Civil_Boq7"/>
      <sheetName val="3cd_Annexure7"/>
      <sheetName val="Sheet3_(2)7"/>
      <sheetName val="BOQ_-Block_A7"/>
      <sheetName val="Cleaning_&amp;_Grubbing7"/>
      <sheetName val="Rate_Analysis7"/>
      <sheetName val="Msht_5F7"/>
      <sheetName val="Labor_abs-NMR7"/>
      <sheetName val="소상_&quot;1&quot;7"/>
      <sheetName val="Break_up_Sheet7"/>
      <sheetName val="LIST_OF_MAKES7"/>
      <sheetName val="Site_Dev_BOQ7"/>
      <sheetName val="LEVEL_SHEET7"/>
      <sheetName val="Driveway_Beams7"/>
      <sheetName val="Boq_-_Flats7"/>
      <sheetName val="site_fab&amp;ernstr7"/>
      <sheetName val="Component_Pricing,_Costs7"/>
      <sheetName val="Cashflow_projection7"/>
      <sheetName val="TASKRSRC_(2)7"/>
      <sheetName val="SP_Break_Up7"/>
      <sheetName val="Column_L1_to_L26"/>
      <sheetName val="Column_L2_to_L36"/>
      <sheetName val="RAMP_36"/>
      <sheetName val="RAMP_16"/>
      <sheetName val="Column_B1_to_L16"/>
      <sheetName val="Slab_L16"/>
      <sheetName val="Slab_L26"/>
      <sheetName val="3__Elemental_Summary7"/>
      <sheetName val="Basic_Rates7"/>
      <sheetName val="ABP_inputs6"/>
      <sheetName val="Synergy_Sales_Budget6"/>
      <sheetName val="Perf_Distribution7"/>
      <sheetName val="Labour_&amp;_Plant7"/>
      <sheetName val="REVENUES_&amp;_BS7"/>
      <sheetName val="Area_Statement_1511117"/>
      <sheetName val="INDIGINEOUS_ITEMS_7"/>
      <sheetName val="Column_steel6"/>
      <sheetName val="key_dates6"/>
      <sheetName val="S_&amp;_A5"/>
      <sheetName val="Pay_Rec6"/>
      <sheetName val="Reference_Information5"/>
      <sheetName val="Employee_List5"/>
      <sheetName val="Sales_Office5"/>
      <sheetName val="CABLE_DATA5"/>
      <sheetName val="Agency_BS5"/>
      <sheetName val="Block_A_-_BOQ5"/>
      <sheetName val="NEW_Main5"/>
      <sheetName val="Plant_&amp;__Machinery5"/>
      <sheetName val="Cover_sheet5"/>
      <sheetName val="BANK_TRANSFER5"/>
      <sheetName val="water_prop_5"/>
      <sheetName val="Adimi_bldg5"/>
      <sheetName val="Pump_House5"/>
      <sheetName val="Fuel_Regu_Station5"/>
      <sheetName val="Data_sheet5"/>
      <sheetName val="BOQ_T4B5"/>
      <sheetName val="MAT_cost5"/>
      <sheetName val="Discount_&amp;_Margin5"/>
      <sheetName val="BOQ_Direct_selling_cost5"/>
      <sheetName val="MH(on_site)5"/>
      <sheetName val="WORK_TABLE5"/>
      <sheetName val="BS_SCH_5___95"/>
      <sheetName val="Ave_wtd_rates5"/>
      <sheetName val="Material_5"/>
      <sheetName val="Debits_as_on_12_04_085"/>
      <sheetName val="Meas_-Hotel_Part5"/>
      <sheetName val="Load_Details-220kV5"/>
      <sheetName val="Pile_cap5"/>
      <sheetName val="External_Development5"/>
      <sheetName val="BOQ_Abstract5"/>
      <sheetName val="Field_Values5"/>
      <sheetName val="d-safe_specs5"/>
      <sheetName val="Fin_Sum5"/>
      <sheetName val="Legal_Risk_Analysis5"/>
      <sheetName val="Break_Dw5"/>
      <sheetName val="Abt_Foundation_5"/>
      <sheetName val="pier_Foundation5"/>
      <sheetName val="Civil_Works5"/>
      <sheetName val="BOQ_(2)5"/>
      <sheetName val="lmp &amp; salse"/>
      <sheetName val="VAL"/>
      <sheetName val="procurement"/>
      <sheetName val="dBase"/>
      <sheetName val="Buying Schedule"/>
      <sheetName val="CRF Register"/>
      <sheetName val="India F&amp;S Template"/>
      <sheetName val="Settings"/>
      <sheetName val="SBI(Siliguri)"/>
      <sheetName val="LCS SCHEDULE "/>
      <sheetName val="OLD IC"/>
      <sheetName val="BALAN1"/>
      <sheetName val="PRECAST lightconc_II"/>
      <sheetName val=""/>
      <sheetName val="Summary "/>
      <sheetName val="Checks"/>
      <sheetName val="Validations"/>
      <sheetName val="REF"/>
      <sheetName val="M&amp;E plant costs"/>
      <sheetName val="MN T.B."/>
      <sheetName val="ICO_budzet_97"/>
      <sheetName val="SUPPLY -Sanitary Fixtures"/>
      <sheetName val="External"/>
      <sheetName val="ITEMS FOR CIVIL TENDER"/>
      <sheetName val="Loads"/>
      <sheetName val="PROFITABILITY ANALYSIS (MONTH)"/>
      <sheetName val="PROFITABILITY ANALYSIS (YTD)"/>
      <sheetName val="Bsmt. Costing"/>
      <sheetName val="Bill 4(I)"/>
      <sheetName val="Bill 9(I)"/>
      <sheetName val="Bill 2(I)"/>
      <sheetName val="Bill 3(I)"/>
      <sheetName val="Bill 5(I)"/>
      <sheetName val="Bill 7A(I)"/>
      <sheetName val="Bill 7B(I)"/>
      <sheetName val="APK NO.2(V1)"/>
      <sheetName val="girder"/>
      <sheetName val="Next Weeks Plan"/>
      <sheetName val="F1a-Pile"/>
      <sheetName val="Break_Up (bc)"/>
      <sheetName val="Break_Up (bc1)"/>
      <sheetName val="Break_Up (bc2)"/>
      <sheetName val="PO Summary"/>
      <sheetName val="BOQ Summary"/>
      <sheetName val="Sec 1 Loose Furniture 18% GST"/>
      <sheetName val="Sec 1 Loose Furniture 12% GST"/>
      <sheetName val="Sec 1 Loose Furniture 5% GST"/>
      <sheetName val="Sec 2 Cafeteria Tables"/>
      <sheetName val="Sec 3 Cafeteria Chairs"/>
      <sheetName val="Sec 4 Work Floors - NT "/>
      <sheetName val="Sec 5 LGF Chairs-NT"/>
      <sheetName val="Sec 6 Additional 18% GST "/>
      <sheetName val="Sec 6 Additional 12% GST "/>
      <sheetName val="Sec 11-NT set 3"/>
      <sheetName val="DC Summary"/>
      <sheetName val="M Sheet"/>
      <sheetName val="RA4 Checklist"/>
      <sheetName val="gen"/>
      <sheetName val="JMC summary"/>
      <sheetName val="extra work elec bill "/>
      <sheetName val="Balustrade"/>
      <sheetName val="S-MMS without TFA"/>
      <sheetName val="L&amp;D 2015-16"/>
      <sheetName val="Annexure"/>
      <sheetName val="d-safe_DELUXE1"/>
      <sheetName val="Back_filling1"/>
      <sheetName val="NT_items_summary1"/>
      <sheetName val="1__Merchandising_Plan1"/>
      <sheetName val="Gym_AV1"/>
      <sheetName val="d-safe_DELUXE2"/>
      <sheetName val="Back_filling2"/>
      <sheetName val="NT_items_summary2"/>
      <sheetName val="1__Merchandising_Plan2"/>
      <sheetName val="Gym_AV2"/>
      <sheetName val="P &amp; L"/>
      <sheetName val="Library Procedures"/>
      <sheetName val="SUMMARY-client"/>
      <sheetName val="NT LBH"/>
      <sheetName val="index sheet"/>
      <sheetName val="ABS-1"/>
      <sheetName val="SUMMARY-1"/>
      <sheetName val="ABS-Civil Works-1"/>
      <sheetName val="SHOP FLOOR - B2  2"/>
      <sheetName val="UTLITY EARTH WORK "/>
      <sheetName val="UTLITY RL"/>
      <sheetName val="R.STEEL ABSTRACT-01"/>
      <sheetName val="1st RA STEEL"/>
      <sheetName val="B2-Actul cut &amp; fill "/>
      <sheetName val="SHOP FLOOR-EARTH WORK  "/>
      <sheetName val="HVAC"/>
      <sheetName val="HVAC Approved Makes"/>
      <sheetName val="VRF ODU DE-RATION"/>
      <sheetName val="ELECTRICAL"/>
      <sheetName val="ELE Approved Makes"/>
      <sheetName val="BMS BOQ"/>
      <sheetName val="FPS"/>
      <sheetName val="FPS Approved Makes"/>
      <sheetName val="PHE"/>
      <sheetName val="PHE Approved Makes"/>
      <sheetName val="FAS"/>
      <sheetName val="PAS"/>
      <sheetName val="CCTV"/>
      <sheetName val="ACS"/>
      <sheetName val="ES"/>
      <sheetName val="ELV Approved Makes"/>
      <sheetName val="FE"/>
      <sheetName val="LIGHTING"/>
      <sheetName val="Portfolio Summary"/>
      <sheetName val="SALES"/>
      <sheetName val="Drivers"/>
      <sheetName val="REVISED"/>
      <sheetName val="UR2-Calculation"/>
      <sheetName val="Totals"/>
      <sheetName val="RPP"/>
      <sheetName val="RPP_Opt"/>
      <sheetName val="Project"/>
      <sheetName val="Project_Options"/>
      <sheetName val="Project_add_struct"/>
      <sheetName val="alternat_structures"/>
      <sheetName val="BOQ_Outlying_Facilities"/>
      <sheetName val="calculation"/>
      <sheetName val="W723 FA-h"/>
      <sheetName val="Kostenverfolgung"/>
      <sheetName val="Deltabegründung"/>
      <sheetName val="Einzelblatt_1"/>
      <sheetName val="SPEL_6032"/>
      <sheetName val="KLHT"/>
      <sheetName val="SPT vs PHI"/>
      <sheetName val="lookup"/>
      <sheetName val="allocation"/>
      <sheetName val="ALL"/>
      <sheetName val="Base data Security Procedures"/>
      <sheetName val="확정실적"/>
      <sheetName val="BOQ - Civil"/>
      <sheetName val="Sheet4"/>
      <sheetName val="Sheet6"/>
      <sheetName val="Sheet7"/>
      <sheetName val="Sheet8"/>
      <sheetName val="Sheet9"/>
      <sheetName val="Sheet10"/>
      <sheetName val="LBD"/>
      <sheetName val="Catalyst Storage Extension"/>
      <sheetName val="ISO Cynate Storage"/>
      <sheetName val="NC Storage"/>
      <sheetName val="Fire water pump house"/>
      <sheetName val="Solvant Storage"/>
      <sheetName val="Charging Room"/>
      <sheetName val="Dyes metal &amp; Shoes finish"/>
      <sheetName val="UG TANKS"/>
      <sheetName val="Road"/>
      <sheetName val="Acrylic PU"/>
      <sheetName val="MCC"/>
      <sheetName val="Cooling tower basin"/>
      <sheetName val="Wash area collection pit"/>
      <sheetName val="Syntan Scrubber foundation"/>
      <sheetName val="Melt room"/>
      <sheetName val="Nitrogen Shed"/>
      <sheetName val="Lacquer"/>
      <sheetName val="Pigment Building"/>
      <sheetName val="Water plant"/>
      <sheetName val="NPV"/>
      <sheetName val="A.O.R (2)"/>
      <sheetName val="TimeSheet"/>
      <sheetName val="LT internal works"/>
      <sheetName val="OpTrack"/>
      <sheetName val="BS-203"/>
      <sheetName val="Masters"/>
      <sheetName val="DM plant feed pumps"/>
      <sheetName val="Kristal Court"/>
      <sheetName val="SILICATE"/>
      <sheetName val="SEX"/>
      <sheetName val="No-5"/>
      <sheetName val="Depreciation"/>
      <sheetName val="(M+L)"/>
      <sheetName val="DETAILED  BOQ"/>
      <sheetName val="Ass"/>
      <sheetName val="Hot"/>
      <sheetName val="ANNUALAC"/>
      <sheetName val="pol-60"/>
      <sheetName val="目录"/>
      <sheetName val="10"/>
      <sheetName val="11B "/>
      <sheetName val="4"/>
      <sheetName val="5"/>
      <sheetName val="13"/>
      <sheetName val="14"/>
      <sheetName val="1st flr"/>
      <sheetName val="Cost Index"/>
      <sheetName val="BOQ LT"/>
      <sheetName val="M"/>
      <sheetName val="N"/>
      <sheetName val="T&amp;M"/>
      <sheetName val="Door &amp; Window"/>
      <sheetName val="ancillary"/>
      <sheetName val="final abstract"/>
      <sheetName val="Cash Flow Working"/>
      <sheetName val="Pacakges split"/>
      <sheetName val="St.co.91.5lvl"/>
      <sheetName val="Attributes"/>
      <sheetName val="SOR"/>
      <sheetName val="AK-Offertstammblatt"/>
      <sheetName val="CTbe tong"/>
      <sheetName val="CTDZ 0.4+cto"/>
      <sheetName val="Pref-Fund IV"/>
      <sheetName val="TOS_N5"/>
      <sheetName val="Measurment"/>
      <sheetName val="CANDY BOQ"/>
      <sheetName val="Summary_CFA"/>
      <sheetName val="Summary_CFA Overall"/>
      <sheetName val="Cash Flow"/>
      <sheetName val="Formula"/>
      <sheetName val="Cal"/>
      <sheetName val="Query_Response"/>
      <sheetName val="@Risk Inputs"/>
      <sheetName val="Operating Statistics"/>
      <sheetName val="Rollup"/>
      <sheetName val="Office"/>
      <sheetName val="Addiiton &amp; deletion"/>
      <sheetName val="Name List"/>
      <sheetName val="Lookups"/>
      <sheetName val="Controls"/>
      <sheetName val="Corrupt SSCI"/>
      <sheetName val="Monthly Ship+Prod"/>
      <sheetName val="Perform"/>
      <sheetName val="2.1 受電設備棟"/>
      <sheetName val="2.2 受・防火水槽"/>
      <sheetName val="2.3 排水処理設備棟"/>
      <sheetName val="2.4 倉庫棟"/>
      <sheetName val="2.5 守衛棟"/>
      <sheetName val="REL"/>
      <sheetName val="M.R.1"/>
      <sheetName val="le_data"/>
      <sheetName val="Bal Sheet"/>
      <sheetName val="defaults"/>
      <sheetName val="header"/>
      <sheetName val="Other_assumptions"/>
      <sheetName val="Performance_Report"/>
      <sheetName val="Other_assumptions1"/>
      <sheetName val="Performance_Report1"/>
      <sheetName val="LAB"/>
      <sheetName val="CONC"/>
      <sheetName val="CONC (Option-2)"/>
      <sheetName val="filling 75 mm"/>
      <sheetName val="Road - Kerb stone"/>
      <sheetName val="Codes"/>
      <sheetName val="RCC work"/>
      <sheetName val="Detail"/>
      <sheetName val="Detail P&amp;L"/>
      <sheetName val="Assumption Sheet"/>
      <sheetName val="4K - (6a) Non Manual Breakdown"/>
      <sheetName val="SHORT LIST"/>
      <sheetName val="BOM"/>
      <sheetName val="CIP Summary 0012"/>
      <sheetName val="CIP Detail 0011"/>
      <sheetName val="VLOOK"/>
      <sheetName val="99 to 00 blns"/>
      <sheetName val="MSM Vol"/>
      <sheetName val="Trial Bal"/>
      <sheetName val="look-dept"/>
      <sheetName val="INPUT-DATA"/>
      <sheetName val="foundation(V)"/>
      <sheetName val="Cost Basis"/>
      <sheetName val="labour_rates"/>
      <sheetName val="Spend_by_Supplier"/>
      <sheetName val="Summary_"/>
      <sheetName val="KQ_Cost_Controlling"/>
      <sheetName val="KQ_Appropriation"/>
      <sheetName val="Chiet_tinh"/>
      <sheetName val="Kristal_Court"/>
      <sheetName val="Annexue B"/>
      <sheetName val="OPENING"/>
      <sheetName val="Sheet 1"/>
      <sheetName val="Summary_Bank"/>
      <sheetName val="Calculations"/>
      <sheetName val="Lead (Final)"/>
      <sheetName val="labour_coeff8"/>
      <sheetName val="Staff_Acco_8"/>
      <sheetName val="Cost_summary8"/>
      <sheetName val="Civil_Boq8"/>
      <sheetName val="Master_Data_Sheet8"/>
      <sheetName val="XChange_Rate8"/>
      <sheetName val="BOQ_-Block_A8"/>
      <sheetName val="Cleaning_&amp;_Grubbing8"/>
      <sheetName val="Rate_Analysis8"/>
      <sheetName val="3cd_Annexure8"/>
      <sheetName val="Msht_5F8"/>
      <sheetName val="Break_up_Sheet8"/>
      <sheetName val="Sheet3_(2)8"/>
      <sheetName val="Site_Dev_BOQ8"/>
      <sheetName val="LEVEL_SHEET8"/>
      <sheetName val="site_fab&amp;ernstr8"/>
      <sheetName val="Driveway_Beams8"/>
      <sheetName val="Labor_abs-NMR8"/>
      <sheetName val="소상_&quot;1&quot;8"/>
      <sheetName val="LIST_OF_MAKES8"/>
      <sheetName val="TASKRSRC_(2)8"/>
      <sheetName val="Boq_-_Flats8"/>
      <sheetName val="Cashflow_projection8"/>
      <sheetName val="Component_Pricing,_Costs8"/>
      <sheetName val="3__Elemental_Summary8"/>
      <sheetName val="SP_Break_Up8"/>
      <sheetName val="Basic_Rates8"/>
      <sheetName val="ABP_inputs7"/>
      <sheetName val="Synergy_Sales_Budget7"/>
      <sheetName val="Column_L1_to_L27"/>
      <sheetName val="Column_L2_to_L37"/>
      <sheetName val="RAMP_37"/>
      <sheetName val="RAMP_17"/>
      <sheetName val="Column_B1_to_L17"/>
      <sheetName val="Slab_L17"/>
      <sheetName val="Slab_L27"/>
      <sheetName val="Perf_Distribution8"/>
      <sheetName val="Labour_&amp;_Plant8"/>
      <sheetName val="REVENUES_&amp;_BS8"/>
      <sheetName val="Area_Statement_1511118"/>
      <sheetName val="INDIGINEOUS_ITEMS_8"/>
      <sheetName val="Column_steel7"/>
      <sheetName val="key_dates7"/>
      <sheetName val="S_&amp;_A6"/>
      <sheetName val="Reference_Information6"/>
      <sheetName val="Employee_List6"/>
      <sheetName val="Sales_Office6"/>
      <sheetName val="Pay_Rec7"/>
      <sheetName val="Plant_&amp;__Machinery6"/>
      <sheetName val="CABLE_DATA6"/>
      <sheetName val="MH(on_site)6"/>
      <sheetName val="NEW_Main6"/>
      <sheetName val="Block_A_-_BOQ6"/>
      <sheetName val="Agency_BS6"/>
      <sheetName val="BOQ_Direct_selling_cost6"/>
      <sheetName val="BANK_TRANSFER6"/>
      <sheetName val="water_prop_6"/>
      <sheetName val="Adimi_bldg6"/>
      <sheetName val="Pump_House6"/>
      <sheetName val="Fuel_Regu_Station6"/>
      <sheetName val="Cover_sheet6"/>
      <sheetName val="Data_sheet6"/>
      <sheetName val="MAT_cost6"/>
      <sheetName val="Debits_as_on_12_04_086"/>
      <sheetName val="Ave_wtd_rates6"/>
      <sheetName val="Material_6"/>
      <sheetName val="WORK_TABLE6"/>
      <sheetName val="Meas_-Hotel_Part6"/>
      <sheetName val="Load_Details-220kV6"/>
      <sheetName val="Pile_cap6"/>
      <sheetName val="BOQ_T4B6"/>
      <sheetName val="Discount_&amp;_Margin6"/>
      <sheetName val="BS_SCH_5___96"/>
      <sheetName val="BOQ_Abstract6"/>
      <sheetName val="Field_Values6"/>
      <sheetName val="d-safe_specs6"/>
      <sheetName val="External_Development6"/>
      <sheetName val="Legal_Risk_Analysis6"/>
      <sheetName val="Fin_Sum6"/>
      <sheetName val="Break_Dw6"/>
      <sheetName val="Abt_Foundation_6"/>
      <sheetName val="pier_Foundation6"/>
      <sheetName val="Civil_Works6"/>
      <sheetName val="BOQ_(2)6"/>
      <sheetName val="Back_filling3"/>
      <sheetName val="NT_items_summary3"/>
      <sheetName val="d-safe_DELUXE3"/>
      <sheetName val="1__Merchandising_Plan3"/>
      <sheetName val="Gym_AV3"/>
      <sheetName val="Summary_year_Plan"/>
      <sheetName val="PART_B_INTERIOR_GF_"/>
      <sheetName val="GM_&amp;_TA"/>
      <sheetName val="SUPPLY_-Sanitary_Fixtures"/>
      <sheetName val="ITEMS_FOR_CIVIL_TENDER"/>
      <sheetName val="M_S_"/>
      <sheetName val="PROFITABILITY_ANALYSIS_(MONTH)"/>
      <sheetName val="PROFITABILITY_ANALYSIS_(YTD)"/>
      <sheetName val="Bill_4(I)"/>
      <sheetName val="Bill_9(I)"/>
      <sheetName val="Bill_2(I)"/>
      <sheetName val="Bill_3(I)"/>
      <sheetName val="Bill_5(I)"/>
      <sheetName val="Bill_7A(I)"/>
      <sheetName val="Bill_7B(I)"/>
      <sheetName val="APK_NO_2(V1)"/>
      <sheetName val="Bsmt__Costing"/>
      <sheetName val="Angebot18_7_"/>
      <sheetName val="PO_Summary"/>
      <sheetName val="BOQ_Summary"/>
      <sheetName val="Sec_1_Loose_Furniture_18%_GST"/>
      <sheetName val="Sec_1_Loose_Furniture_12%_GST"/>
      <sheetName val="Sec_1_Loose_Furniture_5%_GST"/>
      <sheetName val="Sec_2_Cafeteria_Tables"/>
      <sheetName val="Sec_3_Cafeteria_Chairs"/>
      <sheetName val="Sec_4_Work_Floors_-_NT_"/>
      <sheetName val="Sec_5_LGF_Chairs-NT"/>
      <sheetName val="Sec_6_Additional_18%_GST_"/>
      <sheetName val="Sec_6_Additional_12%_GST_"/>
      <sheetName val="Sec_11-NT_set_3"/>
      <sheetName val="DC_Summary"/>
      <sheetName val="M_Sheet"/>
      <sheetName val="RA4_Checklist"/>
      <sheetName val="Variation_Statement"/>
      <sheetName val="LCS_SCHEDULE_"/>
      <sheetName val="OLD_IC"/>
      <sheetName val="PRECAST_lightconc_II"/>
      <sheetName val="14__MLD_modi"/>
      <sheetName val="extra_work_elec_bill_"/>
      <sheetName val="Buying_Schedule"/>
      <sheetName val="CRF_Register"/>
      <sheetName val="M&amp;E_plant_costs"/>
      <sheetName val="MN_T_B_"/>
      <sheetName val="B1_Construction_Details"/>
      <sheetName val="S-MMS_without_TFA"/>
      <sheetName val="Next_Weeks_Plan"/>
      <sheetName val="Portfolio_Summary"/>
      <sheetName val="AutoOpen Stub Data"/>
      <sheetName val="RR"/>
      <sheetName val="Budget tracker &amp; LOA entry "/>
      <sheetName val="Staff Acco_"/>
      <sheetName val="panel board installation"/>
      <sheetName val="Compu"/>
      <sheetName val="Ops"/>
      <sheetName val="Total All By Trades highest 1st"/>
      <sheetName val="Packages"/>
      <sheetName val="Control"/>
      <sheetName val="GUT"/>
      <sheetName val="Measurement(SS)"/>
      <sheetName val="A-General"/>
      <sheetName val="FITZ MORT 94"/>
      <sheetName val="opd"/>
      <sheetName val="Basis"/>
      <sheetName val="prsch"/>
      <sheetName val="Gr. H"/>
      <sheetName val="Faktor"/>
      <sheetName val="Bill No. 3 POT MAINT(Deliv)"/>
      <sheetName val="Led"/>
      <sheetName val="main"/>
      <sheetName val="pa-mtly"/>
      <sheetName val="Summ"/>
      <sheetName val="Fossil_DCF"/>
      <sheetName val="SCAR"/>
      <sheetName val="Balance Sheet "/>
      <sheetName val="BS-Cem"/>
      <sheetName val="August TB"/>
      <sheetName val="galfareqp"/>
      <sheetName val="공장별판관비배부"/>
      <sheetName val="Exc"/>
      <sheetName val="RCC"/>
      <sheetName val="pri-com"/>
      <sheetName val="Price Comparison"/>
      <sheetName val="Indices"/>
      <sheetName val="Groupings-final"/>
      <sheetName val="Sched"/>
      <sheetName val="Trial"/>
      <sheetName val="FA_Final"/>
      <sheetName val="Internal"/>
      <sheetName val="3"/>
      <sheetName val="Rec-c"/>
      <sheetName val="Background"/>
      <sheetName val="POI_MASTER_1"/>
      <sheetName val="MLAP"/>
      <sheetName val="DIV 2"/>
      <sheetName val="Drop Down List"/>
      <sheetName val="AD ST"/>
      <sheetName val="KP1590_E"/>
      <sheetName val="DLC lookups"/>
      <sheetName val="_top_2B_cer_25"/>
      <sheetName val="CIVIL_abs_II_B_CER__25"/>
      <sheetName val="CUSTOMER_WORKS_25"/>
      <sheetName val="Sales_rate_sheet25"/>
      <sheetName val="2B_specialised__25"/>
      <sheetName val="2b_BACKFILLING25"/>
      <sheetName val="ANTI_TERMITE_sol25"/>
      <sheetName val="RCC_SEPTIC_TANK25"/>
      <sheetName val="RCC_SLAB25"/>
      <sheetName val="F_ESCAPE_ST_RCC25"/>
      <sheetName val="RCC,Ret__Wall25"/>
      <sheetName val="CABL_TRE,RCC25"/>
      <sheetName val="rcc_lintels25"/>
      <sheetName val="SWD__RCC25"/>
      <sheetName val="RCC_PLINTH_BEAM_25"/>
      <sheetName val="SWD_shu25"/>
      <sheetName val="SHU_PLINTH_BEAMS_25"/>
      <sheetName val="ShUTTER_LINTEL25"/>
      <sheetName val="SHU,SLAB__25"/>
      <sheetName val="shu_re_wall25"/>
      <sheetName val="s_tank_sh25"/>
      <sheetName val="cabl_tren,shu25"/>
      <sheetName val="Brickbat_jelly25"/>
      <sheetName val="WATERP_25"/>
      <sheetName val="MIsc_POLYETH__SHEET25"/>
      <sheetName val="TEMP_25"/>
      <sheetName val="Drawings_25"/>
      <sheetName val="rework_claim_status_25"/>
      <sheetName val="project_data_sheet25"/>
      <sheetName val="2B_landscaping_meas_sheet25"/>
      <sheetName val="hanging_restaurant_area_modi25"/>
      <sheetName val="_ROAD_&amp;_WALL__2B25"/>
      <sheetName val="RCC_Ret__Wall25"/>
      <sheetName val="Formwork_-_Planned25"/>
      <sheetName val="Concrete_-_planned25"/>
      <sheetName val="Labour_productivity25"/>
      <sheetName val="Stress_Calculation25"/>
      <sheetName val="2B_August_2K224"/>
      <sheetName val="Fill_this_out_first___26"/>
      <sheetName val="Project_Budget_Worksheet24"/>
      <sheetName val="Basement_Budget24"/>
      <sheetName val="TBAL9697_-group_wise__sdpl24"/>
      <sheetName val="PRECAST_lightconc-II24"/>
      <sheetName val="13__Steel_-_Ratio24"/>
      <sheetName val="Extra_Item24"/>
      <sheetName val="schedule_nos24"/>
      <sheetName val="IO_LIST24"/>
      <sheetName val="9__Package_split_-_Cost_24"/>
      <sheetName val="Bill_3_-_Site_Works24"/>
      <sheetName val="BASIS_-DEC_0824"/>
      <sheetName val="Builtup_Area24"/>
      <sheetName val="INPUT_SHEET24"/>
      <sheetName val="Current_Bill_MB_ref24"/>
      <sheetName val="Linked_Lead24"/>
      <sheetName val="Currency_Sheet24"/>
      <sheetName val="10__&amp;_11__Rate_Code_&amp;_BQ24"/>
      <sheetName val="Package_split_-_Cost24"/>
      <sheetName val="Approved_MTD_Proj_#'s24"/>
      <sheetName val="Inc_St_-Link24"/>
      <sheetName val="Fill_this_out_first___27"/>
      <sheetName val="SITE_OVERHEADS1"/>
      <sheetName val="bs_BP_04_SA1"/>
      <sheetName val="Customize_Your_Invoice1"/>
      <sheetName val="Power_req_High_side1"/>
      <sheetName val="Chiet_tinh1"/>
      <sheetName val="PART_B_INTERIOR_GF_1"/>
      <sheetName val="KQ_Cost_Controlling1"/>
      <sheetName val="KQ_Appropriation1"/>
      <sheetName val="Non_Frame_Work1"/>
      <sheetName val="GM_&amp;_TA1"/>
      <sheetName val="Summary_year_Plan1"/>
      <sheetName val="Input_Rates1"/>
      <sheetName val="Risk_&amp;_Opportunities1"/>
      <sheetName val="Angebot18_7_1"/>
      <sheetName val="BOQ HT"/>
      <sheetName val="Finishes"/>
      <sheetName val="Top Line - WWW"/>
      <sheetName val="ENCL10-C"/>
      <sheetName val="Orders &amp; Annexures"/>
      <sheetName val="New May"/>
      <sheetName val="Assum"/>
      <sheetName val="Sen"/>
      <sheetName val="Lagerhalle"/>
      <sheetName val="Abstract"/>
      <sheetName val="PAINT"/>
      <sheetName val="OH"/>
      <sheetName val="Own Sumamry"/>
      <sheetName val="Anlysis"/>
      <sheetName val="No_ Of flats"/>
      <sheetName val="schedules"/>
      <sheetName val="Ganesh assumptions"/>
      <sheetName val="6.4 Reinforcement"/>
      <sheetName val="5F"/>
      <sheetName val="SPT vs PH_x0006_"/>
      <sheetName val="SPT vs PH"/>
      <sheetName val="EAW Final Accounts - 99"/>
      <sheetName val="Direct cost shed A-2 "/>
      <sheetName val="sheeet7"/>
      <sheetName val="Lookup data"/>
      <sheetName val="BOQ Distribution"/>
      <sheetName val="DIV_2"/>
      <sheetName val="DIV_21"/>
      <sheetName val="Non_Frame_Work3"/>
      <sheetName val="DIV_23"/>
      <sheetName val="Non_Frame_Work2"/>
      <sheetName val="DIV_22"/>
      <sheetName val="1__Merchandising_Plan4"/>
      <sheetName val="Gym_AV4"/>
      <sheetName val="Non_Frame_Work4"/>
      <sheetName val="DIV_24"/>
      <sheetName val="cover page"/>
      <sheetName val="_top_2B_cer_26"/>
      <sheetName val="CIVIL_abs_II_B_CER__26"/>
      <sheetName val="CUSTOMER_WORKS_26"/>
      <sheetName val="Sales_rate_sheet26"/>
      <sheetName val="2B_specialised__26"/>
      <sheetName val="2b_BACKFILLING26"/>
      <sheetName val="ANTI_TERMITE_sol26"/>
      <sheetName val="RCC_SEPTIC_TANK26"/>
      <sheetName val="RCC_SLAB26"/>
      <sheetName val="F_ESCAPE_ST_RCC26"/>
      <sheetName val="RCC,Ret__Wall26"/>
      <sheetName val="CABL_TRE,RCC26"/>
      <sheetName val="rcc_lintels26"/>
      <sheetName val="SWD__RCC26"/>
      <sheetName val="RCC_PLINTH_BEAM_26"/>
      <sheetName val="SWD_shu26"/>
      <sheetName val="SHU_PLINTH_BEAMS_26"/>
      <sheetName val="ShUTTER_LINTEL26"/>
      <sheetName val="SHU,SLAB__26"/>
      <sheetName val="shu_re_wall26"/>
      <sheetName val="s_tank_sh26"/>
      <sheetName val="cabl_tren,shu26"/>
      <sheetName val="Brickbat_jelly26"/>
      <sheetName val="WATERP_26"/>
      <sheetName val="MIsc_POLYETH__SHEET26"/>
      <sheetName val="TEMP_26"/>
      <sheetName val="Drawings_26"/>
      <sheetName val="rework_claim_status_26"/>
      <sheetName val="project_data_sheet26"/>
      <sheetName val="2B_landscaping_meas_sheet26"/>
      <sheetName val="hanging_restaurant_area_modi26"/>
      <sheetName val="_ROAD_&amp;_WALL__2B26"/>
      <sheetName val="RCC_Ret__Wall26"/>
      <sheetName val="13__Steel_-_Ratio25"/>
      <sheetName val="Labour_productivity26"/>
      <sheetName val="Project_Budget_Worksheet25"/>
      <sheetName val="Stress_Calculation26"/>
      <sheetName val="9__Package_split_-_Cost_25"/>
      <sheetName val="2B_August_2K225"/>
      <sheetName val="Extra_Item25"/>
      <sheetName val="Fill_this_out_first___28"/>
      <sheetName val="schedule_nos25"/>
      <sheetName val="IO_LIST25"/>
      <sheetName val="Linked_Lead25"/>
      <sheetName val="Currency_Sheet25"/>
      <sheetName val="Bill_3_-_Site_Works25"/>
      <sheetName val="Current_Bill_MB_ref25"/>
      <sheetName val="10__&amp;_11__Rate_Code_&amp;_BQ25"/>
      <sheetName val="BASIS_-DEC_0825"/>
      <sheetName val="Builtup_Area25"/>
      <sheetName val="Formwork_-_Planned26"/>
      <sheetName val="Concrete_-_planned26"/>
      <sheetName val="TBAL9697_-group_wise__sdpl25"/>
      <sheetName val="Package_split_-_Cost25"/>
      <sheetName val="Basement_Budget25"/>
      <sheetName val="PRECAST_lightconc-II25"/>
      <sheetName val="Cost_summary10"/>
      <sheetName val="Master_Data_Sheet10"/>
      <sheetName val="INPUT_SHEET25"/>
      <sheetName val="labour_coeff10"/>
      <sheetName val="Staff_Acco_10"/>
      <sheetName val="Approved_MTD_Proj_#'s25"/>
      <sheetName val="Civil_Boq10"/>
      <sheetName val="Inc_St_-Link25"/>
      <sheetName val="Break_up_Sheet10"/>
      <sheetName val="XChange_Rate10"/>
      <sheetName val="BOQ_-Block_A10"/>
      <sheetName val="Cleaning_&amp;_Grubbing10"/>
      <sheetName val="Rate_Analysis10"/>
      <sheetName val="3cd_Annexure10"/>
      <sheetName val="Sheet3_(2)10"/>
      <sheetName val="LIST_OF_MAKES10"/>
      <sheetName val="Msht_5F10"/>
      <sheetName val="소상_&quot;1&quot;10"/>
      <sheetName val="Driveway_Beams10"/>
      <sheetName val="Component_Pricing,_Costs10"/>
      <sheetName val="Labor_abs-NMR10"/>
      <sheetName val="TASKRSRC_(2)10"/>
      <sheetName val="Site_Dev_BOQ10"/>
      <sheetName val="LEVEL_SHEET10"/>
      <sheetName val="site_fab&amp;ernstr10"/>
      <sheetName val="Cashflow_projection10"/>
      <sheetName val="Boq_-_Flats10"/>
      <sheetName val="Column_L1_to_L29"/>
      <sheetName val="Column_L2_to_L39"/>
      <sheetName val="RAMP_39"/>
      <sheetName val="RAMP_19"/>
      <sheetName val="Column_B1_to_L19"/>
      <sheetName val="Slab_L19"/>
      <sheetName val="Slab_L29"/>
      <sheetName val="Basic_Rates10"/>
      <sheetName val="ABP_inputs9"/>
      <sheetName val="Synergy_Sales_Budget9"/>
      <sheetName val="3__Elemental_Summary10"/>
      <sheetName val="SP_Break_Up10"/>
      <sheetName val="Column_steel9"/>
      <sheetName val="Perf_Distribution10"/>
      <sheetName val="Labour_&amp;_Plant10"/>
      <sheetName val="REVENUES_&amp;_BS10"/>
      <sheetName val="Area_Statement_15111110"/>
      <sheetName val="INDIGINEOUS_ITEMS_10"/>
      <sheetName val="key_dates9"/>
      <sheetName val="Pay_Rec9"/>
      <sheetName val="S_&amp;_A8"/>
      <sheetName val="Block_A_-_BOQ8"/>
      <sheetName val="Reference_Information8"/>
      <sheetName val="Employee_List8"/>
      <sheetName val="Sales_Office8"/>
      <sheetName val="CABLE_DATA8"/>
      <sheetName val="Agency_BS8"/>
      <sheetName val="NEW_Main8"/>
      <sheetName val="Plant_&amp;__Machinery8"/>
      <sheetName val="BOQ_Direct_selling_cost8"/>
      <sheetName val="MAT_cost8"/>
      <sheetName val="Adimi_bldg8"/>
      <sheetName val="Pump_House8"/>
      <sheetName val="Fuel_Regu_Station8"/>
      <sheetName val="Cover_sheet8"/>
      <sheetName val="BANK_TRANSFER8"/>
      <sheetName val="water_prop_8"/>
      <sheetName val="MH(on_site)8"/>
      <sheetName val="Data_sheet8"/>
      <sheetName val="WORK_TABLE8"/>
      <sheetName val="BOQ_(2)8"/>
      <sheetName val="Load_Details-220kV8"/>
      <sheetName val="Pile_cap8"/>
      <sheetName val="Discount_&amp;_Margin8"/>
      <sheetName val="External_Development8"/>
      <sheetName val="Meas_-Hotel_Part8"/>
      <sheetName val="Legal_Risk_Analysis8"/>
      <sheetName val="BOQ_T4B8"/>
      <sheetName val="Ave_wtd_rates8"/>
      <sheetName val="Material_8"/>
      <sheetName val="Debits_as_on_12_04_088"/>
      <sheetName val="BS_SCH_5___98"/>
      <sheetName val="BOQ_Abstract8"/>
      <sheetName val="Field_Values8"/>
      <sheetName val="d-safe_specs8"/>
      <sheetName val="d-safe_DELUXE5"/>
      <sheetName val="Break_Dw8"/>
      <sheetName val="Abt_Foundation_8"/>
      <sheetName val="pier_Foundation8"/>
      <sheetName val="Civil_Works8"/>
      <sheetName val="Fin_Sum8"/>
      <sheetName val="Fill_this_out_first___29"/>
      <sheetName val="Back_filling5"/>
      <sheetName val="NT_items_summary5"/>
      <sheetName val="bs_BP_04_SA2"/>
      <sheetName val="SITE_OVERHEADS2"/>
      <sheetName val="1__Merchandising_Plan5"/>
      <sheetName val="Gym_AV5"/>
      <sheetName val="Risk_&amp;_Opportunities2"/>
      <sheetName val="Other_assumptions2"/>
      <sheetName val="MN_T_B_2"/>
      <sheetName val="Power_req_High_side2"/>
      <sheetName val="M&amp;E_plant_costs2"/>
      <sheetName val="B1_Construction_Details2"/>
      <sheetName val="labour_rates2"/>
      <sheetName val="Performance_Report2"/>
      <sheetName val="L&amp;D_2015-162"/>
      <sheetName val="Input_Rates2"/>
      <sheetName val="Chiet_tinh2"/>
      <sheetName val="KQ_Cost_Controlling2"/>
      <sheetName val="KQ_Appropriation2"/>
      <sheetName val="Customize_Your_Invoice2"/>
      <sheetName val="PART_B_INTERIOR_GF_2"/>
      <sheetName val="Summary_year_Plan2"/>
      <sheetName val="Pref-Fund_IV2"/>
      <sheetName val="PROFITABILITY_ANALYSIS_(MONTH)2"/>
      <sheetName val="PROFITABILITY_ANALYSIS_(YTD)2"/>
      <sheetName val="GM_&amp;_TA2"/>
      <sheetName val="SUPPLY_-Sanitary_Fixtures2"/>
      <sheetName val="ITEMS_FOR_CIVIL_TENDER2"/>
      <sheetName val="M_S_2"/>
      <sheetName val="Bill_4(I)2"/>
      <sheetName val="Bill_9(I)2"/>
      <sheetName val="Bill_2(I)2"/>
      <sheetName val="Bill_3(I)2"/>
      <sheetName val="Bill_5(I)2"/>
      <sheetName val="Bill_7A(I)2"/>
      <sheetName val="Bill_7B(I)2"/>
      <sheetName val="APK_NO_2(V1)2"/>
      <sheetName val="Bsmt__Costing2"/>
      <sheetName val="Angebot18_7_2"/>
      <sheetName val="14__MLD_modi2"/>
      <sheetName val="Buying_Schedule2"/>
      <sheetName val="CRF_Register2"/>
      <sheetName val="Spend_by_Supplier2"/>
      <sheetName val="Kristal_Court2"/>
      <sheetName val="extra_work_elec_bill_2"/>
      <sheetName val="Summary_2"/>
      <sheetName val="LCS_SCHEDULE_2"/>
      <sheetName val="OLD_IC2"/>
      <sheetName val="PRECAST_lightconc_II2"/>
      <sheetName val="Variation_Statement2"/>
      <sheetName val="DETAILED__BOQ2"/>
      <sheetName val="HVAC_Approved_Makes2"/>
      <sheetName val="VRF_ODU_DE-RATION2"/>
      <sheetName val="ELE_Approved_Makes2"/>
      <sheetName val="BMS_BOQ2"/>
      <sheetName val="FPS_Approved_Makes2"/>
      <sheetName val="PHE_Approved_Makes2"/>
      <sheetName val="ELV_Approved_Makes2"/>
      <sheetName val="PO_Summary2"/>
      <sheetName val="BOQ_Summary2"/>
      <sheetName val="Sec_1_Loose_Furniture_18%_GST2"/>
      <sheetName val="Sec_1_Loose_Furniture_12%_GST2"/>
      <sheetName val="Sec_1_Loose_Furniture_5%_GST2"/>
      <sheetName val="Sec_2_Cafeteria_Tables2"/>
      <sheetName val="Sec_3_Cafeteria_Chairs2"/>
      <sheetName val="Sec_4_Work_Floors_-_NT_2"/>
      <sheetName val="Sec_5_LGF_Chairs-NT2"/>
      <sheetName val="Sec_6_Additional_18%_GST_2"/>
      <sheetName val="Sec_6_Additional_12%_GST_2"/>
      <sheetName val="Sec_11-NT_set_32"/>
      <sheetName val="DC_Summary2"/>
      <sheetName val="M_Sheet2"/>
      <sheetName val="RA4_Checklist2"/>
      <sheetName val="S-MMS_without_TFA2"/>
      <sheetName val="India_F&amp;S_Template2"/>
      <sheetName val="Next_Weeks_Plan2"/>
      <sheetName val="Break_Up_(bc)2"/>
      <sheetName val="Break_Up_(bc1)2"/>
      <sheetName val="Break_Up_(bc2)2"/>
      <sheetName val="JMC_summary2"/>
      <sheetName val="NT_LBH2"/>
      <sheetName val="index_sheet2"/>
      <sheetName val="ABS-Civil_Works-12"/>
      <sheetName val="SHOP_FLOOR_-_B2__22"/>
      <sheetName val="UTLITY_EARTH_WORK_2"/>
      <sheetName val="UTLITY_RL2"/>
      <sheetName val="R_STEEL_ABSTRACT-012"/>
      <sheetName val="1st_RA_STEEL2"/>
      <sheetName val="B2-Actul_cut_&amp;_fill_2"/>
      <sheetName val="SHOP_FLOOR-EARTH_WORK__2"/>
      <sheetName val="Portfolio_Summary2"/>
      <sheetName val="Base_data_Security_Procedures2"/>
      <sheetName val="L&amp;D_2015-16"/>
      <sheetName val="Pref-Fund_IV"/>
      <sheetName val="DETAILED__BOQ"/>
      <sheetName val="HVAC_Approved_Makes"/>
      <sheetName val="VRF_ODU_DE-RATION"/>
      <sheetName val="ELE_Approved_Makes"/>
      <sheetName val="BMS_BOQ"/>
      <sheetName val="FPS_Approved_Makes"/>
      <sheetName val="PHE_Approved_Makes"/>
      <sheetName val="ELV_Approved_Makes"/>
      <sheetName val="India_F&amp;S_Template"/>
      <sheetName val="Break_Up_(bc)"/>
      <sheetName val="Break_Up_(bc1)"/>
      <sheetName val="Break_Up_(bc2)"/>
      <sheetName val="JMC_summary"/>
      <sheetName val="NT_LBH"/>
      <sheetName val="index_sheet"/>
      <sheetName val="ABS-Civil_Works-1"/>
      <sheetName val="SHOP_FLOOR_-_B2__2"/>
      <sheetName val="UTLITY_EARTH_WORK_"/>
      <sheetName val="UTLITY_RL"/>
      <sheetName val="R_STEEL_ABSTRACT-01"/>
      <sheetName val="1st_RA_STEEL"/>
      <sheetName val="B2-Actul_cut_&amp;_fill_"/>
      <sheetName val="SHOP_FLOOR-EARTH_WORK__"/>
      <sheetName val="Base_data_Security_Procedures"/>
      <sheetName val="Cost_summary9"/>
      <sheetName val="Master_Data_Sheet9"/>
      <sheetName val="labour_coeff9"/>
      <sheetName val="Staff_Acco_9"/>
      <sheetName val="Civil_Boq9"/>
      <sheetName val="Break_up_Sheet9"/>
      <sheetName val="XChange_Rate9"/>
      <sheetName val="BOQ_-Block_A9"/>
      <sheetName val="Cleaning_&amp;_Grubbing9"/>
      <sheetName val="Rate_Analysis9"/>
      <sheetName val="3cd_Annexure9"/>
      <sheetName val="Sheet3_(2)9"/>
      <sheetName val="LIST_OF_MAKES9"/>
      <sheetName val="Msht_5F9"/>
      <sheetName val="소상_&quot;1&quot;9"/>
      <sheetName val="Driveway_Beams9"/>
      <sheetName val="Component_Pricing,_Costs9"/>
      <sheetName val="Labor_abs-NMR9"/>
      <sheetName val="TASKRSRC_(2)9"/>
      <sheetName val="Site_Dev_BOQ9"/>
      <sheetName val="LEVEL_SHEET9"/>
      <sheetName val="site_fab&amp;ernstr9"/>
      <sheetName val="Cashflow_projection9"/>
      <sheetName val="Boq_-_Flats9"/>
      <sheetName val="Column_L1_to_L28"/>
      <sheetName val="Column_L2_to_L38"/>
      <sheetName val="RAMP_38"/>
      <sheetName val="RAMP_18"/>
      <sheetName val="Column_B1_to_L18"/>
      <sheetName val="Slab_L18"/>
      <sheetName val="Slab_L28"/>
      <sheetName val="Basic_Rates9"/>
      <sheetName val="ABP_inputs8"/>
      <sheetName val="Synergy_Sales_Budget8"/>
      <sheetName val="3__Elemental_Summary9"/>
      <sheetName val="SP_Break_Up9"/>
      <sheetName val="Column_steel8"/>
      <sheetName val="Perf_Distribution9"/>
      <sheetName val="Labour_&amp;_Plant9"/>
      <sheetName val="REVENUES_&amp;_BS9"/>
      <sheetName val="Area_Statement_1511119"/>
      <sheetName val="INDIGINEOUS_ITEMS_9"/>
      <sheetName val="key_dates8"/>
      <sheetName val="Pay_Rec8"/>
      <sheetName val="S_&amp;_A7"/>
      <sheetName val="Block_A_-_BOQ7"/>
      <sheetName val="Reference_Information7"/>
      <sheetName val="Employee_List7"/>
      <sheetName val="Sales_Office7"/>
      <sheetName val="CABLE_DATA7"/>
      <sheetName val="Agency_BS7"/>
      <sheetName val="NEW_Main7"/>
      <sheetName val="Plant_&amp;__Machinery7"/>
      <sheetName val="BOQ_Direct_selling_cost7"/>
      <sheetName val="MAT_cost7"/>
      <sheetName val="Adimi_bldg7"/>
      <sheetName val="Pump_House7"/>
      <sheetName val="Fuel_Regu_Station7"/>
      <sheetName val="Cover_sheet7"/>
      <sheetName val="BANK_TRANSFER7"/>
      <sheetName val="water_prop_7"/>
      <sheetName val="MH(on_site)7"/>
      <sheetName val="Data_sheet7"/>
      <sheetName val="WORK_TABLE7"/>
      <sheetName val="BOQ_(2)7"/>
      <sheetName val="Load_Details-220kV7"/>
      <sheetName val="Pile_cap7"/>
      <sheetName val="Discount_&amp;_Margin7"/>
      <sheetName val="External_Development7"/>
      <sheetName val="Meas_-Hotel_Part7"/>
      <sheetName val="Legal_Risk_Analysis7"/>
      <sheetName val="BOQ_T4B7"/>
      <sheetName val="Ave_wtd_rates7"/>
      <sheetName val="Material_7"/>
      <sheetName val="Debits_as_on_12_04_087"/>
      <sheetName val="BS_SCH_5___97"/>
      <sheetName val="BOQ_Abstract7"/>
      <sheetName val="Field_Values7"/>
      <sheetName val="d-safe_specs7"/>
      <sheetName val="d-safe_DELUXE4"/>
      <sheetName val="Break_Dw7"/>
      <sheetName val="Abt_Foundation_7"/>
      <sheetName val="pier_Foundation7"/>
      <sheetName val="Civil_Works7"/>
      <sheetName val="Fin_Sum7"/>
      <sheetName val="Back_filling4"/>
      <sheetName val="NT_items_summary4"/>
      <sheetName val="MN_T_B_1"/>
      <sheetName val="M&amp;E_plant_costs1"/>
      <sheetName val="B1_Construction_Details1"/>
      <sheetName val="labour_rates1"/>
      <sheetName val="L&amp;D_2015-161"/>
      <sheetName val="Pref-Fund_IV1"/>
      <sheetName val="PROFITABILITY_ANALYSIS_(MONTH)1"/>
      <sheetName val="PROFITABILITY_ANALYSIS_(YTD)1"/>
      <sheetName val="SUPPLY_-Sanitary_Fixtures1"/>
      <sheetName val="ITEMS_FOR_CIVIL_TENDER1"/>
      <sheetName val="M_S_1"/>
      <sheetName val="Bill_4(I)1"/>
      <sheetName val="Bill_9(I)1"/>
      <sheetName val="Bill_2(I)1"/>
      <sheetName val="Bill_3(I)1"/>
      <sheetName val="Bill_5(I)1"/>
      <sheetName val="Bill_7A(I)1"/>
      <sheetName val="Bill_7B(I)1"/>
      <sheetName val="APK_NO_2(V1)1"/>
      <sheetName val="Bsmt__Costing1"/>
      <sheetName val="14__MLD_modi1"/>
      <sheetName val="Buying_Schedule1"/>
      <sheetName val="CRF_Register1"/>
      <sheetName val="Spend_by_Supplier1"/>
      <sheetName val="Kristal_Court1"/>
      <sheetName val="extra_work_elec_bill_1"/>
      <sheetName val="Summary_1"/>
      <sheetName val="LCS_SCHEDULE_1"/>
      <sheetName val="OLD_IC1"/>
      <sheetName val="PRECAST_lightconc_II1"/>
      <sheetName val="Variation_Statement1"/>
      <sheetName val="DETAILED__BOQ1"/>
      <sheetName val="HVAC_Approved_Makes1"/>
      <sheetName val="VRF_ODU_DE-RATION1"/>
      <sheetName val="ELE_Approved_Makes1"/>
      <sheetName val="BMS_BOQ1"/>
      <sheetName val="FPS_Approved_Makes1"/>
      <sheetName val="PHE_Approved_Makes1"/>
      <sheetName val="ELV_Approved_Makes1"/>
      <sheetName val="PO_Summary1"/>
      <sheetName val="BOQ_Summary1"/>
      <sheetName val="Sec_1_Loose_Furniture_18%_GST1"/>
      <sheetName val="Sec_1_Loose_Furniture_12%_GST1"/>
      <sheetName val="Sec_1_Loose_Furniture_5%_GST1"/>
      <sheetName val="Sec_2_Cafeteria_Tables1"/>
      <sheetName val="Sec_3_Cafeteria_Chairs1"/>
      <sheetName val="Sec_4_Work_Floors_-_NT_1"/>
      <sheetName val="Sec_5_LGF_Chairs-NT1"/>
      <sheetName val="Sec_6_Additional_18%_GST_1"/>
      <sheetName val="Sec_6_Additional_12%_GST_1"/>
      <sheetName val="Sec_11-NT_set_31"/>
      <sheetName val="DC_Summary1"/>
      <sheetName val="M_Sheet1"/>
      <sheetName val="RA4_Checklist1"/>
      <sheetName val="S-MMS_without_TFA1"/>
      <sheetName val="India_F&amp;S_Template1"/>
      <sheetName val="Next_Weeks_Plan1"/>
      <sheetName val="Break_Up_(bc)1"/>
      <sheetName val="Break_Up_(bc1)1"/>
      <sheetName val="Break_Up_(bc2)1"/>
      <sheetName val="JMC_summary1"/>
      <sheetName val="NT_LBH1"/>
      <sheetName val="index_sheet1"/>
      <sheetName val="ABS-Civil_Works-11"/>
      <sheetName val="SHOP_FLOOR_-_B2__21"/>
      <sheetName val="UTLITY_EARTH_WORK_1"/>
      <sheetName val="UTLITY_RL1"/>
      <sheetName val="R_STEEL_ABSTRACT-011"/>
      <sheetName val="1st_RA_STEEL1"/>
      <sheetName val="B2-Actul_cut_&amp;_fill_1"/>
      <sheetName val="SHOP_FLOOR-EARTH_WORK__1"/>
      <sheetName val="Portfolio_Summary1"/>
      <sheetName val="Base_data_Security_Procedures1"/>
      <sheetName val="P_&amp;_L"/>
      <sheetName val="Library_Procedures"/>
      <sheetName val="Cost_Index"/>
      <sheetName val="Pacakges_split"/>
      <sheetName val="BASIC_PRICE"/>
      <sheetName val="DM_plant_feed_pumps"/>
      <sheetName val="KSt_-_Analysis_"/>
      <sheetName val="BOQ_HT"/>
      <sheetName val="1st_flr"/>
      <sheetName val="W723_FA-h"/>
      <sheetName val="SPT_vs_PHI"/>
      <sheetName val="BOQ_-_Civil"/>
      <sheetName val="Catalyst_Storage_Extension"/>
      <sheetName val="ISO_Cynate_Storage"/>
      <sheetName val="NC_Storage"/>
      <sheetName val="Fire_water_pump_house"/>
      <sheetName val="Solvant_Storage"/>
      <sheetName val="Charging_Room"/>
      <sheetName val="Dyes_metal_&amp;_Shoes_finish"/>
      <sheetName val="UG_TANKS"/>
      <sheetName val="Acrylic_PU"/>
      <sheetName val="Cooling_tower_basin"/>
      <sheetName val="Wash_area_collection_pit"/>
      <sheetName val="Syntan_Scrubber_foundation"/>
      <sheetName val="Melt_room"/>
      <sheetName val="Nitrogen_Shed"/>
      <sheetName val="Pigment_Building"/>
      <sheetName val="Water_plant"/>
      <sheetName val="CANDY_BOQ"/>
      <sheetName val="Door_&amp;_Window"/>
      <sheetName val="final_abstract"/>
      <sheetName val="LT_internal_works"/>
      <sheetName val="A_O_R_(2)"/>
      <sheetName val="Corrupt_SSCI"/>
      <sheetName val="Monthly_Ship+Prod"/>
      <sheetName val="2_1_受電設備棟"/>
      <sheetName val="2_2_受・防火水槽"/>
      <sheetName val="2_3_排水処理設備棟"/>
      <sheetName val="2_4_倉庫棟"/>
      <sheetName val="2_5_守衛棟"/>
      <sheetName val="Bal_Sheet"/>
      <sheetName val="St_co_91_5lvl"/>
      <sheetName val="M_R_1"/>
      <sheetName val="CONC_(Option-2)"/>
      <sheetName val="AutoOpen_Stub_Data"/>
      <sheetName val="Cost_Basis"/>
      <sheetName val="Budget_tracker_&amp;_LOA_entry_"/>
      <sheetName val="filling_75_mm"/>
      <sheetName val="Road_-_Kerb_stone"/>
      <sheetName val="BOQ_LT"/>
      <sheetName val="lmp_&amp;_salse"/>
      <sheetName val="CTbe_tong"/>
      <sheetName val="CTDZ_0_4+cto"/>
      <sheetName val="RCC_work"/>
      <sheetName val="Staff_Acco_11"/>
      <sheetName val="panel_board_installation"/>
      <sheetName val="Total_All_By_Trades_highest_1st"/>
      <sheetName val="Sheet_1"/>
      <sheetName val="FITZ_MORT_94"/>
      <sheetName val="Detail_P&amp;L"/>
      <sheetName val="Assumption_Sheet"/>
      <sheetName val="4K_-_(6a)_Non_Manual_Breakdown"/>
      <sheetName val="Name_List"/>
      <sheetName val="11B_"/>
      <sheetName val="Annexue_B"/>
      <sheetName val="Operating_Statistics"/>
      <sheetName val="Balance_Sheet_"/>
      <sheetName val="Cash_Flow_Working"/>
      <sheetName val="DLC_lookups"/>
      <sheetName val="_top_2B_cer_27"/>
      <sheetName val="CIVIL_abs_II_B_CER__27"/>
      <sheetName val="CUSTOMER_WORKS_27"/>
      <sheetName val="Sales_rate_sheet27"/>
      <sheetName val="2B_specialised__27"/>
      <sheetName val="2b_BACKFILLING27"/>
      <sheetName val="ANTI_TERMITE_sol27"/>
      <sheetName val="RCC_SEPTIC_TANK27"/>
      <sheetName val="RCC_SLAB27"/>
      <sheetName val="F_ESCAPE_ST_RCC27"/>
      <sheetName val="RCC,Ret__Wall27"/>
      <sheetName val="CABL_TRE,RCC27"/>
      <sheetName val="rcc_lintels27"/>
      <sheetName val="SWD__RCC27"/>
      <sheetName val="RCC_PLINTH_BEAM_27"/>
      <sheetName val="SWD_shu27"/>
      <sheetName val="SHU_PLINTH_BEAMS_27"/>
      <sheetName val="ShUTTER_LINTEL27"/>
      <sheetName val="SHU,SLAB__27"/>
      <sheetName val="shu_re_wall27"/>
      <sheetName val="s_tank_sh27"/>
      <sheetName val="cabl_tren,shu27"/>
      <sheetName val="Brickbat_jelly27"/>
      <sheetName val="WATERP_27"/>
      <sheetName val="MIsc_POLYETH__SHEET27"/>
      <sheetName val="TEMP_27"/>
      <sheetName val="Drawings_27"/>
      <sheetName val="rework_claim_status_27"/>
      <sheetName val="project_data_sheet27"/>
      <sheetName val="2B_landscaping_meas_sheet27"/>
      <sheetName val="hanging_restaurant_area_modi27"/>
      <sheetName val="_ROAD_&amp;_WALL__2B27"/>
      <sheetName val="RCC_Ret__Wall27"/>
      <sheetName val="13__Steel_-_Ratio26"/>
      <sheetName val="Labour_productivity27"/>
      <sheetName val="Project_Budget_Worksheet26"/>
      <sheetName val="Stress_Calculation27"/>
      <sheetName val="9__Package_split_-_Cost_26"/>
      <sheetName val="2B_August_2K226"/>
      <sheetName val="Extra_Item26"/>
      <sheetName val="Fill_this_out_first___30"/>
      <sheetName val="schedule_nos26"/>
      <sheetName val="IO_LIST26"/>
      <sheetName val="Linked_Lead26"/>
      <sheetName val="Currency_Sheet26"/>
      <sheetName val="Bill_3_-_Site_Works26"/>
      <sheetName val="Current_Bill_MB_ref26"/>
      <sheetName val="10__&amp;_11__Rate_Code_&amp;_BQ26"/>
      <sheetName val="BASIS_-DEC_0826"/>
      <sheetName val="Builtup_Area26"/>
      <sheetName val="Formwork_-_Planned27"/>
      <sheetName val="Concrete_-_planned27"/>
      <sheetName val="TBAL9697_-group_wise__sdpl26"/>
      <sheetName val="Package_split_-_Cost26"/>
      <sheetName val="Basement_Budget26"/>
      <sheetName val="PRECAST_lightconc-II26"/>
      <sheetName val="Cost_summary11"/>
      <sheetName val="Master_Data_Sheet11"/>
      <sheetName val="INPUT_SHEET26"/>
      <sheetName val="labour_coeff11"/>
      <sheetName val="Staff_Acco_12"/>
      <sheetName val="Approved_MTD_Proj_#'s26"/>
      <sheetName val="Civil_Boq11"/>
      <sheetName val="Inc_St_-Link26"/>
      <sheetName val="Break_up_Sheet11"/>
      <sheetName val="XChange_Rate11"/>
      <sheetName val="BOQ_-Block_A11"/>
      <sheetName val="Cleaning_&amp;_Grubbing11"/>
      <sheetName val="Rate_Analysis11"/>
      <sheetName val="3cd_Annexure11"/>
      <sheetName val="Sheet3_(2)11"/>
      <sheetName val="LIST_OF_MAKES11"/>
      <sheetName val="Msht_5F11"/>
      <sheetName val="소상_&quot;1&quot;11"/>
      <sheetName val="Driveway_Beams11"/>
      <sheetName val="Component_Pricing,_Costs11"/>
      <sheetName val="Labor_abs-NMR11"/>
      <sheetName val="TASKRSRC_(2)11"/>
      <sheetName val="Site_Dev_BOQ11"/>
      <sheetName val="LEVEL_SHEET11"/>
      <sheetName val="site_fab&amp;ernstr11"/>
      <sheetName val="Cashflow_projection11"/>
      <sheetName val="Boq_-_Flats11"/>
      <sheetName val="Column_L1_to_L210"/>
      <sheetName val="Column_L2_to_L310"/>
      <sheetName val="RAMP_310"/>
      <sheetName val="RAMP_110"/>
      <sheetName val="Column_B1_to_L110"/>
      <sheetName val="Slab_L110"/>
      <sheetName val="Slab_L210"/>
      <sheetName val="Basic_Rates11"/>
      <sheetName val="ABP_inputs10"/>
      <sheetName val="Synergy_Sales_Budget10"/>
      <sheetName val="3__Elemental_Summary11"/>
      <sheetName val="SP_Break_Up11"/>
      <sheetName val="Column_steel10"/>
      <sheetName val="Perf_Distribution11"/>
      <sheetName val="Labour_&amp;_Plant11"/>
      <sheetName val="REVENUES_&amp;_BS11"/>
      <sheetName val="Area_Statement_15111111"/>
      <sheetName val="INDIGINEOUS_ITEMS_11"/>
      <sheetName val="key_dates10"/>
      <sheetName val="Pay_Rec10"/>
      <sheetName val="S_&amp;_A9"/>
      <sheetName val="Block_A_-_BOQ9"/>
      <sheetName val="Reference_Information9"/>
      <sheetName val="Employee_List9"/>
      <sheetName val="Sales_Office9"/>
      <sheetName val="CABLE_DATA9"/>
      <sheetName val="Agency_BS9"/>
      <sheetName val="NEW_Main9"/>
      <sheetName val="Plant_&amp;__Machinery9"/>
      <sheetName val="BOQ_Direct_selling_cost9"/>
      <sheetName val="MAT_cost9"/>
      <sheetName val="Adimi_bldg9"/>
      <sheetName val="Pump_House9"/>
      <sheetName val="Fuel_Regu_Station9"/>
      <sheetName val="Cover_sheet9"/>
      <sheetName val="BANK_TRANSFER9"/>
      <sheetName val="water_prop_9"/>
      <sheetName val="MH(on_site)9"/>
      <sheetName val="Data_sheet9"/>
      <sheetName val="WORK_TABLE9"/>
      <sheetName val="BOQ_(2)9"/>
      <sheetName val="Load_Details-220kV9"/>
      <sheetName val="Pile_cap9"/>
      <sheetName val="Discount_&amp;_Margin9"/>
      <sheetName val="External_Development9"/>
      <sheetName val="Meas_-Hotel_Part9"/>
      <sheetName val="Legal_Risk_Analysis9"/>
      <sheetName val="BOQ_T4B9"/>
      <sheetName val="Ave_wtd_rates9"/>
      <sheetName val="Material_9"/>
      <sheetName val="Debits_as_on_12_04_089"/>
      <sheetName val="BS_SCH_5___99"/>
      <sheetName val="BOQ_Abstract9"/>
      <sheetName val="Field_Values9"/>
      <sheetName val="d-safe_specs9"/>
      <sheetName val="d-safe_DELUXE6"/>
      <sheetName val="Break_Dw9"/>
      <sheetName val="Abt_Foundation_9"/>
      <sheetName val="pier_Foundation9"/>
      <sheetName val="Civil_Works9"/>
      <sheetName val="Fin_Sum9"/>
      <sheetName val="Fill_this_out_first___31"/>
      <sheetName val="Back_filling6"/>
      <sheetName val="NT_items_summary6"/>
      <sheetName val="bs_BP_04_SA3"/>
      <sheetName val="SITE_OVERHEADS3"/>
      <sheetName val="1__Merchandising_Plan6"/>
      <sheetName val="Gym_AV6"/>
      <sheetName val="Risk_&amp;_Opportunities3"/>
      <sheetName val="Other_assumptions3"/>
      <sheetName val="MN_T_B_3"/>
      <sheetName val="Power_req_High_side3"/>
      <sheetName val="M&amp;E_plant_costs3"/>
      <sheetName val="B1_Construction_Details3"/>
      <sheetName val="labour_rates3"/>
      <sheetName val="Performance_Report3"/>
      <sheetName val="L&amp;D_2015-163"/>
      <sheetName val="Input_Rates3"/>
      <sheetName val="Chiet_tinh3"/>
      <sheetName val="KQ_Cost_Controlling3"/>
      <sheetName val="KQ_Appropriation3"/>
      <sheetName val="Customize_Your_Invoice3"/>
      <sheetName val="PART_B_INTERIOR_GF_3"/>
      <sheetName val="Summary_year_Plan3"/>
      <sheetName val="Pref-Fund_IV3"/>
      <sheetName val="PROFITABILITY_ANALYSIS_(MONTH)3"/>
      <sheetName val="PROFITABILITY_ANALYSIS_(YTD)3"/>
      <sheetName val="GM_&amp;_TA3"/>
      <sheetName val="SUPPLY_-Sanitary_Fixtures3"/>
      <sheetName val="ITEMS_FOR_CIVIL_TENDER3"/>
      <sheetName val="M_S_3"/>
      <sheetName val="Bill_4(I)3"/>
      <sheetName val="Bill_9(I)3"/>
      <sheetName val="Bill_2(I)3"/>
      <sheetName val="Bill_3(I)3"/>
      <sheetName val="Bill_5(I)3"/>
      <sheetName val="Bill_7A(I)3"/>
      <sheetName val="Bill_7B(I)3"/>
      <sheetName val="APK_NO_2(V1)3"/>
      <sheetName val="Bsmt__Costing3"/>
      <sheetName val="Angebot18_7_3"/>
      <sheetName val="14__MLD_modi3"/>
      <sheetName val="Buying_Schedule3"/>
      <sheetName val="CRF_Register3"/>
      <sheetName val="Spend_by_Supplier3"/>
      <sheetName val="Kristal_Court3"/>
      <sheetName val="extra_work_elec_bill_3"/>
      <sheetName val="Summary_3"/>
      <sheetName val="LCS_SCHEDULE_3"/>
      <sheetName val="OLD_IC3"/>
      <sheetName val="PRECAST_lightconc_II3"/>
      <sheetName val="Variation_Statement3"/>
      <sheetName val="DETAILED__BOQ3"/>
      <sheetName val="HVAC_Approved_Makes3"/>
      <sheetName val="VRF_ODU_DE-RATION3"/>
      <sheetName val="ELE_Approved_Makes3"/>
      <sheetName val="BMS_BOQ3"/>
      <sheetName val="FPS_Approved_Makes3"/>
      <sheetName val="PHE_Approved_Makes3"/>
      <sheetName val="ELV_Approved_Makes3"/>
      <sheetName val="PO_Summary3"/>
      <sheetName val="BOQ_Summary3"/>
      <sheetName val="Sec_1_Loose_Furniture_18%_GST3"/>
      <sheetName val="Sec_1_Loose_Furniture_12%_GST3"/>
      <sheetName val="Sec_1_Loose_Furniture_5%_GST3"/>
      <sheetName val="Sec_2_Cafeteria_Tables3"/>
      <sheetName val="Sec_3_Cafeteria_Chairs3"/>
      <sheetName val="Sec_4_Work_Floors_-_NT_3"/>
      <sheetName val="Sec_5_LGF_Chairs-NT3"/>
      <sheetName val="Sec_6_Additional_18%_GST_3"/>
      <sheetName val="Sec_6_Additional_12%_GST_3"/>
      <sheetName val="Sec_11-NT_set_33"/>
      <sheetName val="DC_Summary3"/>
      <sheetName val="M_Sheet3"/>
      <sheetName val="RA4_Checklist3"/>
      <sheetName val="S-MMS_without_TFA3"/>
      <sheetName val="India_F&amp;S_Template3"/>
      <sheetName val="Next_Weeks_Plan3"/>
      <sheetName val="Break_Up_(bc)3"/>
      <sheetName val="Break_Up_(bc1)3"/>
      <sheetName val="Break_Up_(bc2)3"/>
      <sheetName val="JMC_summary3"/>
      <sheetName val="NT_LBH3"/>
      <sheetName val="index_sheet3"/>
      <sheetName val="ABS-Civil_Works-13"/>
      <sheetName val="SHOP_FLOOR_-_B2__23"/>
      <sheetName val="UTLITY_EARTH_WORK_3"/>
      <sheetName val="UTLITY_RL3"/>
      <sheetName val="R_STEEL_ABSTRACT-013"/>
      <sheetName val="1st_RA_STEEL3"/>
      <sheetName val="B2-Actul_cut_&amp;_fill_3"/>
      <sheetName val="SHOP_FLOOR-EARTH_WORK__3"/>
      <sheetName val="Portfolio_Summary3"/>
      <sheetName val="Base_data_Security_Procedures3"/>
      <sheetName val="_top_2B_cer_28"/>
      <sheetName val="CIVIL_abs_II_B_CER__28"/>
      <sheetName val="CUSTOMER_WORKS_28"/>
      <sheetName val="Sales_rate_sheet28"/>
      <sheetName val="2B_specialised__28"/>
      <sheetName val="2b_BACKFILLING28"/>
      <sheetName val="ANTI_TERMITE_sol28"/>
      <sheetName val="RCC_SEPTIC_TANK28"/>
      <sheetName val="RCC_SLAB28"/>
      <sheetName val="F_ESCAPE_ST_RCC28"/>
      <sheetName val="RCC,Ret__Wall28"/>
      <sheetName val="CABL_TRE,RCC28"/>
      <sheetName val="rcc_lintels28"/>
      <sheetName val="SWD__RCC28"/>
      <sheetName val="RCC_PLINTH_BEAM_28"/>
      <sheetName val="SWD_shu28"/>
      <sheetName val="SHU_PLINTH_BEAMS_28"/>
      <sheetName val="ShUTTER_LINTEL28"/>
      <sheetName val="SHU,SLAB__28"/>
      <sheetName val="shu_re_wall28"/>
      <sheetName val="s_tank_sh28"/>
      <sheetName val="cabl_tren,shu28"/>
      <sheetName val="Brickbat_jelly28"/>
      <sheetName val="WATERP_28"/>
      <sheetName val="MIsc_POLYETH__SHEET28"/>
      <sheetName val="TEMP_28"/>
      <sheetName val="Drawings_28"/>
      <sheetName val="rework_claim_status_28"/>
      <sheetName val="project_data_sheet28"/>
      <sheetName val="2B_landscaping_meas_sheet28"/>
      <sheetName val="hanging_restaurant_area_modi28"/>
      <sheetName val="_ROAD_&amp;_WALL__2B28"/>
      <sheetName val="RCC_Ret__Wall28"/>
      <sheetName val="13__Steel_-_Ratio27"/>
      <sheetName val="Labour_productivity28"/>
      <sheetName val="Project_Budget_Worksheet27"/>
      <sheetName val="Stress_Calculation28"/>
      <sheetName val="9__Package_split_-_Cost_27"/>
      <sheetName val="2B_August_2K227"/>
      <sheetName val="Extra_Item27"/>
      <sheetName val="Fill_this_out_first___32"/>
      <sheetName val="schedule_nos27"/>
      <sheetName val="IO_LIST27"/>
      <sheetName val="Linked_Lead27"/>
      <sheetName val="Currency_Sheet27"/>
      <sheetName val="Bill_3_-_Site_Works27"/>
      <sheetName val="Current_Bill_MB_ref27"/>
      <sheetName val="10__&amp;_11__Rate_Code_&amp;_BQ27"/>
      <sheetName val="BASIS_-DEC_0827"/>
      <sheetName val="Builtup_Area27"/>
      <sheetName val="Formwork_-_Planned28"/>
      <sheetName val="Concrete_-_planned28"/>
      <sheetName val="TBAL9697_-group_wise__sdpl27"/>
      <sheetName val="Package_split_-_Cost27"/>
      <sheetName val="Basement_Budget27"/>
      <sheetName val="PRECAST_lightconc-II27"/>
      <sheetName val="Cost_summary12"/>
      <sheetName val="Master_Data_Sheet12"/>
      <sheetName val="INPUT_SHEET27"/>
      <sheetName val="labour_coeff12"/>
      <sheetName val="Staff_Acco_13"/>
      <sheetName val="Approved_MTD_Proj_#'s27"/>
      <sheetName val="Civil_Boq12"/>
      <sheetName val="Inc_St_-Link27"/>
      <sheetName val="Break_up_Sheet12"/>
      <sheetName val="XChange_Rate12"/>
      <sheetName val="BOQ_-Block_A12"/>
      <sheetName val="Cleaning_&amp;_Grubbing12"/>
      <sheetName val="Rate_Analysis12"/>
      <sheetName val="3cd_Annexure12"/>
      <sheetName val="Sheet3_(2)12"/>
      <sheetName val="LIST_OF_MAKES12"/>
      <sheetName val="Msht_5F12"/>
      <sheetName val="소상_&quot;1&quot;12"/>
      <sheetName val="Driveway_Beams12"/>
      <sheetName val="Component_Pricing,_Costs12"/>
      <sheetName val="Labor_abs-NMR12"/>
      <sheetName val="TASKRSRC_(2)12"/>
      <sheetName val="Site_Dev_BOQ12"/>
      <sheetName val="LEVEL_SHEET12"/>
      <sheetName val="site_fab&amp;ernstr12"/>
      <sheetName val="Cashflow_projection12"/>
      <sheetName val="Boq_-_Flats12"/>
      <sheetName val="Column_L1_to_L211"/>
      <sheetName val="Column_L2_to_L311"/>
      <sheetName val="RAMP_311"/>
      <sheetName val="RAMP_111"/>
      <sheetName val="Column_B1_to_L111"/>
      <sheetName val="Slab_L111"/>
      <sheetName val="Slab_L211"/>
      <sheetName val="Basic_Rates12"/>
      <sheetName val="ABP_inputs11"/>
      <sheetName val="Synergy_Sales_Budget11"/>
      <sheetName val="3__Elemental_Summary12"/>
      <sheetName val="SP_Break_Up12"/>
      <sheetName val="Column_steel11"/>
      <sheetName val="Perf_Distribution12"/>
      <sheetName val="Labour_&amp;_Plant12"/>
      <sheetName val="REVENUES_&amp;_BS12"/>
      <sheetName val="Area_Statement_15111112"/>
      <sheetName val="INDIGINEOUS_ITEMS_12"/>
      <sheetName val="key_dates11"/>
      <sheetName val="Pay_Rec11"/>
      <sheetName val="S_&amp;_A10"/>
      <sheetName val="Block_A_-_BOQ10"/>
      <sheetName val="Reference_Information10"/>
      <sheetName val="Employee_List10"/>
      <sheetName val="Sales_Office10"/>
      <sheetName val="CABLE_DATA10"/>
      <sheetName val="Agency_BS10"/>
      <sheetName val="NEW_Main10"/>
      <sheetName val="Plant_&amp;__Machinery10"/>
      <sheetName val="BOQ_Direct_selling_cost10"/>
      <sheetName val="MAT_cost10"/>
      <sheetName val="Adimi_bldg10"/>
      <sheetName val="Pump_House10"/>
      <sheetName val="Fuel_Regu_Station10"/>
      <sheetName val="Cover_sheet10"/>
      <sheetName val="BANK_TRANSFER10"/>
      <sheetName val="water_prop_10"/>
      <sheetName val="MH(on_site)10"/>
      <sheetName val="Data_sheet10"/>
      <sheetName val="WORK_TABLE10"/>
      <sheetName val="BOQ_(2)10"/>
      <sheetName val="Load_Details-220kV10"/>
      <sheetName val="Pile_cap10"/>
      <sheetName val="Discount_&amp;_Margin10"/>
      <sheetName val="External_Development10"/>
      <sheetName val="Meas_-Hotel_Part10"/>
      <sheetName val="Legal_Risk_Analysis10"/>
      <sheetName val="BOQ_T4B10"/>
      <sheetName val="Ave_wtd_rates10"/>
      <sheetName val="Material_10"/>
      <sheetName val="Debits_as_on_12_04_0810"/>
      <sheetName val="BS_SCH_5___910"/>
      <sheetName val="BOQ_Abstract10"/>
      <sheetName val="Field_Values10"/>
      <sheetName val="d-safe_specs10"/>
      <sheetName val="d-safe_DELUXE7"/>
      <sheetName val="Break_Dw10"/>
      <sheetName val="Abt_Foundation_10"/>
      <sheetName val="pier_Foundation10"/>
      <sheetName val="Civil_Works10"/>
      <sheetName val="Fin_Sum10"/>
      <sheetName val="Fill_this_out_first___33"/>
      <sheetName val="Back_filling7"/>
      <sheetName val="NT_items_summary7"/>
      <sheetName val="bs_BP_04_SA4"/>
      <sheetName val="SITE_OVERHEADS4"/>
      <sheetName val="1__Merchandising_Plan7"/>
      <sheetName val="Gym_AV7"/>
      <sheetName val="Risk_&amp;_Opportunities4"/>
      <sheetName val="Other_assumptions4"/>
      <sheetName val="MN_T_B_4"/>
      <sheetName val="Power_req_High_side4"/>
      <sheetName val="M&amp;E_plant_costs4"/>
      <sheetName val="B1_Construction_Details4"/>
      <sheetName val="labour_rates4"/>
      <sheetName val="Performance_Report4"/>
      <sheetName val="L&amp;D_2015-164"/>
      <sheetName val="Input_Rates4"/>
      <sheetName val="Chiet_tinh4"/>
      <sheetName val="KQ_Cost_Controlling4"/>
      <sheetName val="KQ_Appropriation4"/>
      <sheetName val="Customize_Your_Invoice4"/>
      <sheetName val="PART_B_INTERIOR_GF_4"/>
      <sheetName val="Summary_year_Plan4"/>
      <sheetName val="Pref-Fund_IV4"/>
      <sheetName val="PROFITABILITY_ANALYSIS_(MONTH)4"/>
      <sheetName val="PROFITABILITY_ANALYSIS_(YTD)4"/>
      <sheetName val="GM_&amp;_TA4"/>
      <sheetName val="SUPPLY_-Sanitary_Fixtures4"/>
      <sheetName val="ITEMS_FOR_CIVIL_TENDER4"/>
      <sheetName val="M_S_4"/>
      <sheetName val="Bill_4(I)4"/>
      <sheetName val="Bill_9(I)4"/>
      <sheetName val="Bill_2(I)4"/>
      <sheetName val="Bill_3(I)4"/>
      <sheetName val="Bill_5(I)4"/>
      <sheetName val="Bill_7A(I)4"/>
      <sheetName val="Bill_7B(I)4"/>
      <sheetName val="APK_NO_2(V1)4"/>
      <sheetName val="Bsmt__Costing4"/>
      <sheetName val="Angebot18_7_4"/>
      <sheetName val="14__MLD_modi4"/>
      <sheetName val="Buying_Schedule4"/>
      <sheetName val="CRF_Register4"/>
      <sheetName val="Spend_by_Supplier4"/>
      <sheetName val="Kristal_Court4"/>
      <sheetName val="extra_work_elec_bill_4"/>
      <sheetName val="Summary_4"/>
      <sheetName val="LCS_SCHEDULE_4"/>
      <sheetName val="OLD_IC4"/>
      <sheetName val="PRECAST_lightconc_II4"/>
      <sheetName val="Variation_Statement4"/>
      <sheetName val="DETAILED__BOQ4"/>
      <sheetName val="HVAC_Approved_Makes4"/>
      <sheetName val="VRF_ODU_DE-RATION4"/>
      <sheetName val="ELE_Approved_Makes4"/>
      <sheetName val="BMS_BOQ4"/>
      <sheetName val="FPS_Approved_Makes4"/>
      <sheetName val="PHE_Approved_Makes4"/>
      <sheetName val="ELV_Approved_Makes4"/>
      <sheetName val="PO_Summary4"/>
      <sheetName val="BOQ_Summary4"/>
      <sheetName val="Sec_1_Loose_Furniture_18%_GST4"/>
      <sheetName val="Sec_1_Loose_Furniture_12%_GST4"/>
      <sheetName val="Sec_1_Loose_Furniture_5%_GST4"/>
      <sheetName val="Sec_2_Cafeteria_Tables4"/>
      <sheetName val="Sec_3_Cafeteria_Chairs4"/>
      <sheetName val="Sec_4_Work_Floors_-_NT_4"/>
      <sheetName val="Sec_5_LGF_Chairs-NT4"/>
      <sheetName val="Sec_6_Additional_18%_GST_4"/>
      <sheetName val="Sec_6_Additional_12%_GST_4"/>
      <sheetName val="Sec_11-NT_set_34"/>
      <sheetName val="DC_Summary4"/>
      <sheetName val="M_Sheet4"/>
      <sheetName val="RA4_Checklist4"/>
      <sheetName val="S-MMS_without_TFA4"/>
      <sheetName val="India_F&amp;S_Template4"/>
      <sheetName val="Next_Weeks_Plan4"/>
      <sheetName val="Break_Up_(bc)4"/>
      <sheetName val="Break_Up_(bc1)4"/>
      <sheetName val="Break_Up_(bc2)4"/>
      <sheetName val="JMC_summary4"/>
      <sheetName val="NT_LBH4"/>
      <sheetName val="index_sheet4"/>
      <sheetName val="ABS-Civil_Works-14"/>
      <sheetName val="SHOP_FLOOR_-_B2__24"/>
      <sheetName val="UTLITY_EARTH_WORK_4"/>
      <sheetName val="UTLITY_RL4"/>
      <sheetName val="R_STEEL_ABSTRACT-014"/>
      <sheetName val="1st_RA_STEEL4"/>
      <sheetName val="B2-Actul_cut_&amp;_fill_4"/>
      <sheetName val="SHOP_FLOOR-EARTH_WORK__4"/>
      <sheetName val="Portfolio_Summary4"/>
      <sheetName val="Base_data_Security_Procedures4"/>
      <sheetName val="P_&amp;_L1"/>
      <sheetName val="Library_Procedures1"/>
      <sheetName val="Cost_Index1"/>
      <sheetName val="Pacakges_split1"/>
      <sheetName val="BASIC_PRICE1"/>
      <sheetName val="DM_plant_feed_pumps1"/>
      <sheetName val="KSt_-_Analysis_1"/>
      <sheetName val="BOQ_HT1"/>
      <sheetName val="1st_flr1"/>
      <sheetName val="W723_FA-h1"/>
      <sheetName val="SPT_vs_PHI1"/>
      <sheetName val="BOQ_-_Civil1"/>
      <sheetName val="Catalyst_Storage_Extension1"/>
      <sheetName val="ISO_Cynate_Storage1"/>
      <sheetName val="NC_Storage1"/>
      <sheetName val="Fire_water_pump_house1"/>
      <sheetName val="Solvant_Storage1"/>
      <sheetName val="Charging_Room1"/>
      <sheetName val="Dyes_metal_&amp;_Shoes_finish1"/>
      <sheetName val="UG_TANKS1"/>
      <sheetName val="Acrylic_PU1"/>
      <sheetName val="Cooling_tower_basin1"/>
      <sheetName val="Wash_area_collection_pit1"/>
      <sheetName val="Syntan_Scrubber_foundation1"/>
      <sheetName val="Melt_room1"/>
      <sheetName val="Nitrogen_Shed1"/>
      <sheetName val="Pigment_Building1"/>
      <sheetName val="Water_plant1"/>
      <sheetName val="CANDY_BOQ1"/>
      <sheetName val="Door_&amp;_Window1"/>
      <sheetName val="final_abstract1"/>
      <sheetName val="LT_internal_works1"/>
      <sheetName val="A_O_R_(2)1"/>
      <sheetName val="Corrupt_SSCI1"/>
      <sheetName val="Monthly_Ship+Prod1"/>
      <sheetName val="2_1_受電設備棟1"/>
      <sheetName val="2_2_受・防火水槽1"/>
      <sheetName val="2_3_排水処理設備棟1"/>
      <sheetName val="2_4_倉庫棟1"/>
      <sheetName val="2_5_守衛棟1"/>
      <sheetName val="Bal_Sheet1"/>
      <sheetName val="St_co_91_5lvl1"/>
      <sheetName val="M_R_11"/>
      <sheetName val="CONC_(Option-2)1"/>
      <sheetName val="AutoOpen_Stub_Data1"/>
      <sheetName val="Cost_Basis1"/>
      <sheetName val="Budget_tracker_&amp;_LOA_entry_1"/>
      <sheetName val="filling_75_mm1"/>
      <sheetName val="Road_-_Kerb_stone1"/>
      <sheetName val="BOQ_LT1"/>
      <sheetName val="lmp_&amp;_salse1"/>
      <sheetName val="CTbe_tong1"/>
      <sheetName val="CTDZ_0_4+cto1"/>
      <sheetName val="RCC_work1"/>
      <sheetName val="Staff_Acco_14"/>
      <sheetName val="panel_board_installation1"/>
      <sheetName val="Total_All_By_Trades_highest_1s1"/>
      <sheetName val="Sheet_11"/>
      <sheetName val="FITZ_MORT_941"/>
      <sheetName val="Detail_P&amp;L1"/>
      <sheetName val="Assumption_Sheet1"/>
      <sheetName val="4K_-_(6a)_Non_Manual_Breakdown1"/>
      <sheetName val="Name_List1"/>
      <sheetName val="11B_1"/>
      <sheetName val="Annexue_B1"/>
      <sheetName val="Operating_Statistics1"/>
      <sheetName val="Balance_Sheet_1"/>
      <sheetName val="Cash_Flow_Working1"/>
      <sheetName val="DLC_lookups1"/>
      <sheetName val="std.wt."/>
      <sheetName val="SSR &amp; NSSR Market final"/>
      <sheetName val="Summary_CFA_Overall"/>
      <sheetName val="Cash_Flow"/>
      <sheetName val="S1BOQ"/>
      <sheetName val="SPT vs PH_x0000_"/>
      <sheetName val="CTRs (HOURS) "/>
      <sheetName val="SPEC SHEET"/>
      <sheetName val="Client Addressess"/>
      <sheetName val="공사비 내역 (가)"/>
      <sheetName val="Dropdowns"/>
      <sheetName val="PBBT_Intern"/>
      <sheetName val="Master"/>
      <sheetName val="sum-all"/>
      <sheetName val="THK"/>
      <sheetName val="Lead_(Final)"/>
      <sheetName val="Detailed Summary (5)"/>
      <sheetName val="RFP002"/>
      <sheetName val="ParamValues"/>
      <sheetName val="Comparison"/>
      <sheetName val="Toilet"/>
      <sheetName val=" C &amp; I MB"/>
      <sheetName val="Toilet MB"/>
      <sheetName val="Break_Up"/>
      <sheetName val="RESULT"/>
      <sheetName val="Gr__H"/>
      <sheetName val="CIP_Summary_0012"/>
      <sheetName val="CIP_Detail_0011"/>
      <sheetName val="99_to_00_blns"/>
      <sheetName val="Drop_Down_List"/>
      <sheetName val="SPT_vs_PH"/>
      <sheetName val="SHORT_LIST"/>
      <sheetName val="BLK2"/>
      <sheetName val="BLK3"/>
      <sheetName val="E &amp; R"/>
      <sheetName val="radar"/>
      <sheetName val="UG"/>
      <sheetName val="CIVIL RATES"/>
      <sheetName val="More &amp; Less work record"/>
      <sheetName val="Benutzungshinweise"/>
      <sheetName val="VDCI"/>
      <sheetName val="NEW-IDs Fun &amp; Group"/>
      <sheetName val="SPT vs PHX"/>
      <sheetName val="Fee Rate Summary"/>
      <sheetName val="Building 1"/>
      <sheetName val="Parametry"/>
      <sheetName val="appendix A"/>
      <sheetName val="Mico"/>
      <sheetName val="Earthing Tower-1 Superseded"/>
      <sheetName val="WO-List"/>
      <sheetName val="S4"/>
      <sheetName val="SPT vs PH_x0005_"/>
      <sheetName val="Payment Summary"/>
      <sheetName val="Data (adj."/>
      <sheetName val="steam outlet"/>
      <sheetName val="Deduction of assets"/>
      <sheetName val="dlvoid"/>
      <sheetName val="FitOutConfCentre"/>
      <sheetName val="입찰내역 발주처 양식"/>
      <sheetName val="beam-reinft-IIInd floor"/>
      <sheetName val="Tender Summary"/>
      <sheetName val="Material List "/>
      <sheetName val="SPILL OVER"/>
      <sheetName val="P&amp;LSum"/>
      <sheetName val="1_Project_Profile"/>
      <sheetName val="MRATES"/>
      <sheetName val="tender allowances"/>
      <sheetName val="Model (Not Merged)"/>
      <sheetName val="C23"/>
      <sheetName val="BULook"/>
      <sheetName val="LOOSE FURNITURES BOQ"/>
      <sheetName val="CFForecast detail"/>
      <sheetName val="Rate Analysis "/>
      <sheetName val="WWR"/>
      <sheetName val="APPENDIX 4.1a"/>
      <sheetName val="CABLERET"/>
      <sheetName val="Ganesh_assumptions"/>
      <sheetName val="APPENDIX_4_1a"/>
      <sheetName val="Ganesh_assumptions1"/>
      <sheetName val="APPENDIX_4_1a1"/>
      <sheetName val="Doors"/>
      <sheetName val="CASHPROJ"/>
      <sheetName val="reference"/>
      <sheetName val="MASONARY "/>
      <sheetName val="AoR Finishing"/>
      <sheetName val="Non_Frame_Work5"/>
      <sheetName val="DIV_25"/>
      <sheetName val="Drop_Down_List1"/>
      <sheetName val="Summary_CFA_Overall1"/>
      <sheetName val="Cash_Flow1"/>
      <sheetName val="CTRs_(HOURS)_"/>
      <sheetName val="SPEC_SHEET"/>
      <sheetName val="@Risk_Inputs"/>
      <sheetName val="Top_Line_-_WWW"/>
      <sheetName val="No__Of_flats"/>
      <sheetName val="MSM_Vol"/>
      <sheetName val="Trial_Bal"/>
      <sheetName val="AD_ST"/>
      <sheetName val="August_TB"/>
      <sheetName val="Price_Comparison"/>
      <sheetName val="cover_page"/>
      <sheetName val="New_May"/>
      <sheetName val="Bill_No__3_POT_MAINT(Deliv)"/>
      <sheetName val="Orders_&amp;_Annexures"/>
      <sheetName val="std_wt_"/>
      <sheetName val="SSR_&amp;_NSSR_Market_final"/>
      <sheetName val="CIVIL_RATES"/>
      <sheetName val="Client_Addressess"/>
      <sheetName val="공사비_내역_(가)"/>
      <sheetName val="Earthing_Tower-1_Superseded"/>
      <sheetName val="Lookup_data"/>
      <sheetName val="Payment_Summary"/>
      <sheetName val="U.P List"/>
      <sheetName val="Name Lists"/>
      <sheetName val="old boq"/>
      <sheetName val="Foo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 refreshError="1"/>
      <sheetData sheetId="1891" refreshError="1"/>
      <sheetData sheetId="1892" refreshError="1"/>
      <sheetData sheetId="1893" refreshError="1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 refreshError="1"/>
      <sheetData sheetId="2257"/>
      <sheetData sheetId="2258" refreshError="1"/>
      <sheetData sheetId="2259" refreshError="1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/>
      <sheetData sheetId="2447"/>
      <sheetData sheetId="2448"/>
      <sheetData sheetId="2449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 refreshError="1"/>
      <sheetData sheetId="2544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/>
      <sheetData sheetId="2672"/>
      <sheetData sheetId="2673"/>
      <sheetData sheetId="2674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 refreshError="1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 refreshError="1"/>
      <sheetData sheetId="4045" refreshError="1"/>
      <sheetData sheetId="4046"/>
      <sheetData sheetId="4047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/>
      <sheetData sheetId="4060" refreshError="1"/>
      <sheetData sheetId="4061" refreshError="1"/>
      <sheetData sheetId="4062" refreshError="1"/>
      <sheetData sheetId="4063" refreshError="1"/>
      <sheetData sheetId="4064"/>
      <sheetData sheetId="4065"/>
      <sheetData sheetId="4066"/>
      <sheetData sheetId="4067" refreshError="1"/>
      <sheetData sheetId="4068" refreshError="1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/>
      <sheetData sheetId="4121"/>
      <sheetData sheetId="4122"/>
      <sheetData sheetId="4123"/>
      <sheetData sheetId="4124" refreshError="1"/>
      <sheetData sheetId="4125" refreshError="1"/>
      <sheetData sheetId="4126"/>
      <sheetData sheetId="4127" refreshError="1"/>
      <sheetData sheetId="4128" refreshError="1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PCC"/>
      <sheetName val="Break up Sheet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Conc"/>
      <sheetName val="Other assumptions"/>
      <sheetName val="Builtup Area"/>
      <sheetName val="Boq - Flat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TBAL9697_-group_wise__sdpl"/>
      <sheetName val="Rate_analysis"/>
      <sheetName val="_p-NMR"/>
      <sheetName val="?_p-NMR"/>
      <sheetName val="Labor_bills_19_08_06"/>
      <sheetName val="__p-NMR"/>
      <sheetName val="Other_assumptions"/>
      <sheetName val="Builtup_Area"/>
      <sheetName val="Micro"/>
      <sheetName val="Macro"/>
      <sheetName val="Scaff-Rose"/>
      <sheetName val="BOQ Distribution"/>
      <sheetName val="AOR"/>
      <sheetName val="PROJECT BRIEF(EX.NEW)"/>
      <sheetName val="LAB"/>
      <sheetName val="site fab&amp;ernstr"/>
      <sheetName val="FORM7"/>
      <sheetName val="new tech flt bldg"/>
      <sheetName val="_x005f_x0000_._x005f_x0008_p-NMR"/>
      <sheetName val="_._x005f_x0008_p-NMR"/>
      <sheetName val="Approved MTD Proj #'s"/>
      <sheetName val="MPR_PA_1"/>
      <sheetName val="GuestProfile"/>
      <sheetName val="Services"/>
      <sheetName val="Sheet3 (2)"/>
      <sheetName val="3cd Annexure"/>
      <sheetName val="SUPPLY -Sanitary Fixtures"/>
      <sheetName val="External"/>
      <sheetName val="ITEMS FOR CIVIL TENDER"/>
      <sheetName val="August TB"/>
      <sheetName val="Kristal Court"/>
      <sheetName val="Rates"/>
      <sheetName val="Headings"/>
      <sheetName val="Variance Report"/>
      <sheetName val="BOQ"/>
      <sheetName val="Enquire"/>
      <sheetName val="#REF"/>
      <sheetName val="Basement Budget"/>
      <sheetName val="RENT MASTER FILE"/>
      <sheetName val="Pile cap"/>
      <sheetName val="Top Line - WWW"/>
      <sheetName val="Adimi bldg"/>
      <sheetName val="Pump House"/>
      <sheetName val="Fuel Regu Station"/>
      <sheetName val="XREF"/>
      <sheetName val="S1 "/>
      <sheetName val="S7B "/>
      <sheetName val="S7A"/>
      <sheetName val="S6 "/>
      <sheetName val="S3 "/>
      <sheetName val="S2 "/>
      <sheetName val="Database"/>
      <sheetName val="schedule nos"/>
      <sheetName val="Design"/>
      <sheetName val="Sheet1"/>
      <sheetName val="Formulas"/>
      <sheetName val="Costing"/>
      <sheetName val="Assumptions"/>
      <sheetName val="CABLE DATA"/>
      <sheetName val="CFForecast detail"/>
      <sheetName val="Dropdowns"/>
      <sheetName val="Actuals"/>
      <sheetName val="DATA"/>
      <sheetName val="BASIS -DEC 08"/>
      <sheetName val="Project Budget Worksheet"/>
      <sheetName val="p&amp;m"/>
      <sheetName val="Formulae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TBAL9697_-group_wise__sdpl1"/>
      <sheetName val="Rate_analysis1"/>
      <sheetName val="Labor_bills_19_08_061"/>
      <sheetName val="Other_assumptions1"/>
      <sheetName val="Builtup_Area1"/>
      <sheetName val="Boq_-_Flats"/>
      <sheetName val="BOQ_Distribution"/>
      <sheetName val="PROJECT_BRIEF(EX_NEW)"/>
      <sheetName val="site_fab&amp;ernstr"/>
      <sheetName val="new_tech_flt_bldg"/>
      <sheetName val="_x005f_x0000___x005f_x0008_p-NMR"/>
      <sheetName val="___x005f_x0008_p-NMR"/>
      <sheetName val="Approved_MTD_Proj_#'s"/>
      <sheetName val="Sheet3_(2)"/>
      <sheetName val="3cd_Annexure"/>
      <sheetName val="SUPPLY_-Sanitary_Fixtures"/>
      <sheetName val="ITEMS_FOR_CIVIL_TENDER"/>
      <sheetName val="August_TB"/>
      <sheetName val="Kristal_Court"/>
      <sheetName val="Variance_Report"/>
      <sheetName val="Basement_Budget"/>
      <sheetName val="RENT_MASTER_FILE"/>
      <sheetName val="Pile_cap"/>
      <sheetName val="Top_Line_-_WWW"/>
      <sheetName val="Adimi_bldg"/>
      <sheetName val="Pump_House"/>
      <sheetName val="Fuel_Regu_Station"/>
      <sheetName val="S1_"/>
      <sheetName val="S7B_"/>
      <sheetName val="S6_"/>
      <sheetName val="S3_"/>
      <sheetName val="S2_"/>
      <sheetName val="schedule_nos"/>
      <sheetName val="EAS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Approved_MTD_Proj_#'s1"/>
      <sheetName val="nVision"/>
      <sheetName val="COLUMN"/>
      <sheetName val="Quotation"/>
      <sheetName val="Contents"/>
      <sheetName val="_x005f_x0000_._x005f_x0008_p-NM"/>
      <sheetName val="ancillary"/>
      <sheetName val="Field Values"/>
      <sheetName val="Jams &amp; Cills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Results"/>
      <sheetName val="PLGroupings"/>
      <sheetName val="Pay_Sep06"/>
      <sheetName val="10. &amp; 11. Rate Code &amp; BQ"/>
      <sheetName val="Cable-data"/>
      <sheetName val="p1-costg"/>
      <sheetName val="RA-markate"/>
      <sheetName val="BLOCK-A (MEA.SHEET)"/>
      <sheetName val="Cash Flow Working"/>
      <sheetName val="Set"/>
      <sheetName val="BOQ_Distribution1"/>
      <sheetName val="site_fab&amp;ernstr1"/>
      <sheetName val="new_tech_flt_bldg1"/>
      <sheetName val="CFForecast_detail"/>
      <sheetName val="3"/>
      <sheetName val="MONTH"/>
      <sheetName val="Trial Bal "/>
      <sheetName val="Balance Sheet"/>
      <sheetName val="eval"/>
      <sheetName val="1. Acquisition"/>
      <sheetName val="Ref_Sheet"/>
      <sheetName val="Mico"/>
      <sheetName val="SCHEDULE"/>
      <sheetName val="INPUT SHEET"/>
      <sheetName val="RES-PLANNING"/>
      <sheetName val="13. Steel - Ratio"/>
      <sheetName val="4K - (6a) Non Manual Breakdown"/>
      <sheetName val="PRICE-COMP"/>
      <sheetName val="Comparative"/>
      <sheetName val="9. Package split - Cost "/>
      <sheetName val="beam-reinft-IIInd floor"/>
      <sheetName val="Data sheet"/>
      <sheetName val="Area Statement."/>
      <sheetName val="Definitions"/>
      <sheetName val=" "/>
      <sheetName val="HARGA MATERIAL"/>
      <sheetName val="Kitchen"/>
      <sheetName val="PROFITABILITY ANALYSIS (MONTH)"/>
      <sheetName val="PROFITABILITY ANALYSIS (YTD)"/>
      <sheetName val="Abs"/>
      <sheetName val="SW-07"/>
      <sheetName val="SW-08"/>
      <sheetName val="SW-09"/>
      <sheetName val="Slab-07 "/>
      <sheetName val="Slab-08"/>
      <sheetName val="Slab-09"/>
      <sheetName val="Slab-10"/>
      <sheetName val="Slab-11"/>
      <sheetName val="podium-slab"/>
      <sheetName val="Input"/>
      <sheetName val="IO LIST"/>
      <sheetName val="pile Fabrication"/>
      <sheetName val="Basic-Material "/>
      <sheetName val="TULIPS PHASE-2 BOQ FINAL"/>
      <sheetName val="ANN-I-DETAILS"/>
      <sheetName val="tender allowances"/>
      <sheetName val="Cashflow"/>
      <sheetName val="Occ"/>
      <sheetName val="Debits as on 12.04.08"/>
      <sheetName val="MH(on site)"/>
      <sheetName val="Intro"/>
      <sheetName val="Summary"/>
      <sheetName val="Controls"/>
      <sheetName val="CCTV KAMERE (2)"/>
      <sheetName val="old boq"/>
      <sheetName val="_"/>
      <sheetName val="PROFITABILITY_ANALYSIS_(MONTH)"/>
      <sheetName val="PROFITABILITY_ANALYSIS_(YTD)"/>
      <sheetName val="Jams_&amp;_Cills"/>
      <sheetName val="BASIS_-DEC_08"/>
      <sheetName val="Project_Budget_Worksheet"/>
      <sheetName val="Basic_Rates"/>
      <sheetName val="BUSDUCT_SUMMARY-SUBSTATION"/>
      <sheetName val="HARGA_MATERIAL"/>
      <sheetName val="_x005f_x0000___x005f_x0008_p-NM"/>
      <sheetName val="10_Linkway"/>
      <sheetName val="11_Bus_Shelter-Bay"/>
      <sheetName val="CANDY_BOQ"/>
      <sheetName val="BLOCK-A_(MEA_SHEET)"/>
      <sheetName val="Construction"/>
      <sheetName val="Portfolio Summary"/>
      <sheetName val="Fin. Assumpt. - Sensitivities"/>
      <sheetName val="Master Data Sheet"/>
      <sheetName val="_x005f_x005f_x005f_x0000_._x005f_x005f_x005f_x0008_p-NM"/>
      <sheetName val="_._x005f_x005f_x005f_x0008_p-NMR"/>
      <sheetName val="Building 1"/>
      <sheetName val="_x005f_x005f_x005f_x005f_x005f_x005f_x005f_x0000_._x005"/>
      <sheetName val="_._x005f_x005f_x005f_x005f_x005f_x005f_x005f_x0008_p-NM"/>
      <sheetName val="SILICATE"/>
      <sheetName val="?._x005f_x0008_p-NMR"/>
      <sheetName val="_x005f_x005f_x005f_x005f_x005f_x005f_x005f_x005f_x005f_x005f_"/>
      <sheetName val="_._x005f_x005f_x005f_x005f_x005f_x005f_x005f_x005f_x005"/>
      <sheetName val="INDIGINEOUS ITEMS "/>
      <sheetName val="Macro1"/>
      <sheetName val="_x005f_x005f_x005f_x0000_._x005"/>
      <sheetName val="_._x005f_x005f_x005f_x0008_p-NM"/>
      <sheetName val="?._x005f_x005f_x005f_x0008_p-NMR"/>
      <sheetName val="Load Details-220kV"/>
      <sheetName val="jobhist"/>
      <sheetName val="MH Compensate-Nov"/>
      <sheetName val="Variables_x"/>
      <sheetName val="Detail"/>
      <sheetName val="Design Sheet"/>
      <sheetName val="2.civil-RA"/>
      <sheetName val="labour coeff"/>
      <sheetName val="PX1DATA"/>
      <sheetName val="PX2DATA"/>
      <sheetName val="Summary year Plan"/>
      <sheetName val="Lead"/>
      <sheetName val="sept-plan"/>
      <sheetName val="Sheet2"/>
      <sheetName val="FitOutConfCentre"/>
      <sheetName val="Boq Block A"/>
      <sheetName val="Earthing Tower-1 Superseded"/>
      <sheetName val="Appendix 8A"/>
      <sheetName val="wordsdata"/>
      <sheetName val="Main-Material"/>
      <sheetName val="Structure Bills Qty"/>
      <sheetName val="Sheet3"/>
      <sheetName val="Material"/>
      <sheetName val="PLAN_FEB97"/>
      <sheetName val="Measurment"/>
      <sheetName val="3. Elemental Summary"/>
      <sheetName val="S2groupcode"/>
      <sheetName val="QS Name"/>
      <sheetName val="12a. CFTable"/>
      <sheetName val="총괄표 (2)"/>
      <sheetName val="Notes for BOQ"/>
      <sheetName val="Title"/>
      <sheetName val="Labour productivity"/>
      <sheetName val="General"/>
      <sheetName val="A.O.R."/>
      <sheetName val="sheeet7"/>
      <sheetName val="Hardfinishes-Contemporary"/>
      <sheetName val="Planned"/>
      <sheetName val="Quote to send"/>
      <sheetName val="Working back up"/>
      <sheetName val="Manpower cost"/>
      <sheetName val="Machinery cost"/>
      <sheetName val="공사비 내역 (가)"/>
      <sheetName val="Named ranges"/>
      <sheetName val="Notes_for_BOQ"/>
      <sheetName val="총괄표_(2)"/>
      <sheetName val="Labour_productivity"/>
      <sheetName val="A_O_R_"/>
      <sheetName val="tender_allowances"/>
      <sheetName val="Quote_to_send"/>
      <sheetName val="Working_back_up"/>
      <sheetName val="Manpower_cost"/>
      <sheetName val="Machinery_cost"/>
      <sheetName val="Cover"/>
      <sheetName val="allowances"/>
      <sheetName val="Master Equipment List"/>
      <sheetName val="except wiring"/>
      <sheetName val="MATERIALS_masterlist"/>
      <sheetName val="Overall Summary "/>
      <sheetName val="Vehicles"/>
      <sheetName val="CL MEP -VOL 3"/>
      <sheetName val="4. Capex"/>
      <sheetName val="5. Opex"/>
      <sheetName val="Info"/>
      <sheetName val="Architect Area &amp; Cost Inputs"/>
      <sheetName val="Narrative"/>
      <sheetName val="S1 new-Overall-with C8A"/>
      <sheetName val="Wood Works-R1 "/>
      <sheetName val="Aluminum"/>
      <sheetName val="Summary -New with C8A)"/>
      <sheetName val="Boq_C7+A-MEP "/>
      <sheetName val="Prelims"/>
      <sheetName val="Interim --&gt; Top"/>
      <sheetName val="OFF-TOP"/>
      <sheetName val="Details"/>
      <sheetName val="Testing"/>
      <sheetName val="beam-reinft"/>
      <sheetName val="Steel "/>
      <sheetName val="FNI_Spec"/>
      <sheetName val="定义"/>
      <sheetName val="001"/>
      <sheetName val="ESTIMATE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TBAL9697_-group_wise__sdpl3"/>
      <sheetName val="Rate_analysis3"/>
      <sheetName val="Labor_bills_19_08_062"/>
      <sheetName val="BOQ_Distribution2"/>
      <sheetName val="PROJECT_BRIEF(EX_NEW)1"/>
      <sheetName val="site_fab&amp;ernstr2"/>
      <sheetName val="new_tech_flt_bldg2"/>
      <sheetName val="Other_assumptions2"/>
      <sheetName val="Builtup_Area2"/>
      <sheetName val="Boq_-_Flats1"/>
      <sheetName val="S1_1"/>
      <sheetName val="S7B_1"/>
      <sheetName val="S6_1"/>
      <sheetName val="S3_1"/>
      <sheetName val="S2_1"/>
      <sheetName val="schedule_nos1"/>
      <sheetName val="RENT_MASTER_FILE1"/>
      <sheetName val="Approved_MTD_Proj_#'s2"/>
      <sheetName val="CFForecast_detail1"/>
      <sheetName val="Notes_for_BOQ1"/>
      <sheetName val="총괄표_(2)1"/>
      <sheetName val="Labour_productivity1"/>
      <sheetName val="_x005f_x0000___x005f_x0008_p-NMR1"/>
      <sheetName val="___x005f_x0008_p-NMR1"/>
      <sheetName val="Sheet3_(2)1"/>
      <sheetName val="3cd_Annexure1"/>
      <sheetName val="SUPPLY_-Sanitary_Fixtures1"/>
      <sheetName val="ITEMS_FOR_CIVIL_TENDER1"/>
      <sheetName val="August_TB1"/>
      <sheetName val="Kristal_Court1"/>
      <sheetName val="10_Linkway1"/>
      <sheetName val="11_Bus_Shelter-Bay1"/>
      <sheetName val="BASIS_-DEC_081"/>
      <sheetName val="A_O_R_1"/>
      <sheetName val="tender_allowances1"/>
      <sheetName val="Quote_to_send1"/>
      <sheetName val="Working_back_up1"/>
      <sheetName val="Manpower_cost1"/>
      <sheetName val="Machinery_cost1"/>
      <sheetName val="Trial_Bal_"/>
      <sheetName val="Balance_Sheet"/>
      <sheetName val="1__Acquisition"/>
      <sheetName val="공사비_내역_(가)"/>
      <sheetName val="Cash_Flow_Working"/>
      <sheetName val="Named_ranges"/>
      <sheetName val="MH(on_site)"/>
      <sheetName val="Master_Equipment_List"/>
      <sheetName val="except_wiring"/>
      <sheetName val="Overall_Summary_"/>
      <sheetName val="CL_MEP_-VOL_3"/>
      <sheetName val="4__Capex"/>
      <sheetName val="5__Opex"/>
      <sheetName val="Architect_Area_&amp;_Cost_Inputs"/>
      <sheetName val="S1_new-Overall-with_C8A"/>
      <sheetName val="Wood_Works-R1_"/>
      <sheetName val="Summary_-New_with_C8A)"/>
      <sheetName val="Boq_C7+A-MEP_"/>
      <sheetName val="Interim_--&gt;_Top"/>
      <sheetName val="Basic-Material_"/>
      <sheetName val="TULIPS_PHASE-2_BOQ_FINAL"/>
      <sheetName val="CABLE_DATA"/>
      <sheetName val="CCTV_KAMERE_(2)"/>
      <sheetName val="IO_LIST"/>
      <sheetName val="Steel_"/>
      <sheetName val="Structure_Bills_Qty"/>
      <sheetName val="_x005f_x005f_x005f_x0000___x005f_x005f_x005f_x0008_p-NM"/>
      <sheetName val="___x005f_x005f_x005f_x0008_p-NMR"/>
      <sheetName val="_x005f_x005f_x005f_x005f_x005f_x005f_x005f_x0000___x005"/>
      <sheetName val="___x005f_x005f_x005f_x005f_x005f_x005f_x005f_x0008_p-NM"/>
      <sheetName val="_x005f_x005f_x005f_x0000___x005"/>
      <sheetName val="___x005f_x005f_x005f_x0008_p-NM"/>
      <sheetName val="?__x005f_x0008_p-NMR"/>
      <sheetName val="?__x005f_x005f_x005f_x0008_p-NMR"/>
      <sheetName val="Main Sum (Model B)"/>
      <sheetName val="Main Sum"/>
      <sheetName val="③赤紙(日文)"/>
      <sheetName val="Training"/>
      <sheetName val="PERCENTAGE"/>
      <sheetName val="TIE-INS"/>
      <sheetName val="RAW DATA"/>
      <sheetName val="Comp"/>
      <sheetName val="269T(final)"/>
      <sheetName val="FedEx_Rates"/>
      <sheetName val="#511BkRec"/>
      <sheetName val="#511-DEC97"/>
      <sheetName val="Depreciation Methods"/>
      <sheetName val="cashflows &amp;IRR"/>
      <sheetName val="Assump"/>
      <sheetName val="dBase"/>
      <sheetName val="A"/>
      <sheetName val="RCC_Ret_ Wall"/>
      <sheetName val="Charge Rates"/>
      <sheetName val="Settings"/>
      <sheetName val="ridgewood"/>
      <sheetName val="Lookups"/>
      <sheetName val="Detail In Door Stad"/>
      <sheetName val="RCC,Ret. Wall"/>
      <sheetName val="Financials"/>
      <sheetName val="_x005f_x005f_x005f_x005f_"/>
      <sheetName val="_._x005f_x005f_x005f_x005f_x005"/>
      <sheetName val="SPEC"/>
      <sheetName val="Concrete measurement"/>
      <sheetName val="Model (Not Merged)"/>
      <sheetName val="BFS"/>
      <sheetName val="TOS-F"/>
      <sheetName val="GBW"/>
      <sheetName val="iNDEX"/>
      <sheetName val="BQLIST"/>
      <sheetName val="Labour &amp; Plant"/>
      <sheetName val="SCHEDULE (9)"/>
      <sheetName val="P&amp;L"/>
      <sheetName val="Vendors"/>
      <sheetName val="Materials Cost"/>
      <sheetName val="Depreciation"/>
      <sheetName val="complexall"/>
      <sheetName val="RGF-0004-1"/>
      <sheetName val="Intro."/>
      <sheetName val="1"/>
      <sheetName val="_x0000_._x0008_p-NM"/>
      <sheetName val="S &amp; A"/>
      <sheetName val="Jams_&amp;_Cills1"/>
      <sheetName val="Basement_Budget1"/>
      <sheetName val="nishanth"/>
      <sheetName val="Own summary"/>
      <sheetName val="Labour Rate "/>
      <sheetName val="Net TB"/>
      <sheetName val="doq"/>
      <sheetName val="Factors"/>
      <sheetName val="sumary"/>
      <sheetName val="TB"/>
      <sheetName val="bs"/>
      <sheetName val="Balustrade"/>
      <sheetName val="Area"/>
      <sheetName val="Purchases FWJ"/>
      <sheetName val="CASHFLOWS"/>
      <sheetName val="Cost Sheet"/>
      <sheetName val="Config"/>
      <sheetName val="MN T.B."/>
      <sheetName val="banilad"/>
      <sheetName val="Mactan"/>
      <sheetName val="Mandaue"/>
      <sheetName val="Internet"/>
      <sheetName val="sheet6"/>
      <sheetName val="wip"/>
      <sheetName val="PRMDESP"/>
      <sheetName val="Sheet3_(2)2"/>
      <sheetName val="SUPPLY_-Sanitary_Fixtures2"/>
      <sheetName val="ITEMS_FOR_CIVIL_TENDER2"/>
      <sheetName val="3cd_Annexure2"/>
      <sheetName val="August_TB2"/>
      <sheetName val="Kristal_Court2"/>
      <sheetName val="_1"/>
      <sheetName val="PROFITABILITY_ANALYSIS_(MONTH)1"/>
      <sheetName val="PROFITABILITY_ANALYSIS_(YTD)1"/>
      <sheetName val="Basement_Budget2"/>
      <sheetName val="Jams_&amp;_Cills2"/>
      <sheetName val="Project_Budget_Worksheet1"/>
      <sheetName val="Basic_Rates1"/>
      <sheetName val="BUSDUCT_SUMMARY-SUBSTATION1"/>
      <sheetName val="HARGA_MATERIAL1"/>
      <sheetName val="_x005f_x0000___x005f_x0008_p-NM1"/>
      <sheetName val="CANDY_BOQ1"/>
      <sheetName val="BLOCK-A_(MEA_SHEET)1"/>
      <sheetName val="Adimi_bldg1"/>
      <sheetName val="Pump_House1"/>
      <sheetName val="Fuel_Regu_Station1"/>
      <sheetName val="Debits_as_on_12_04_08"/>
      <sheetName val="old_boq"/>
      <sheetName val="Field_Values"/>
      <sheetName val="pile_Fabrication"/>
      <sheetName val="Master_Data_Sheet"/>
      <sheetName val="Building_1"/>
      <sheetName val="___x005f_x005f_x005f_x005f_x005f_x005f_x005f_x005f_x005"/>
      <sheetName val="INDIGINEOUS_ITEMS_"/>
      <sheetName val="10__&amp;_11__Rate_Code_&amp;_BQ"/>
      <sheetName val="Design_Sheet"/>
      <sheetName val="Portfolio_Summary"/>
      <sheetName val="Load_Details-220kV"/>
      <sheetName val="MH_Compensate-Nov"/>
      <sheetName val="RAW_DATA"/>
      <sheetName val="Intro_"/>
      <sheetName val="INPUT_SHEET"/>
      <sheetName val="13__Steel_-_Ratio"/>
      <sheetName val="4K_-_(6a)_Non_Manual_Breakdown"/>
      <sheetName val="9__Package_split_-_Cost_"/>
      <sheetName val="beam-reinft-IIInd_floor"/>
      <sheetName val="Data_sheet"/>
      <sheetName val="S_&amp;_A"/>
      <sheetName val="2_civil-RA"/>
      <sheetName val="labour_coeff"/>
      <sheetName val="Area_Statement_"/>
      <sheetName val="Fin__Assumpt__-_Sensitivities"/>
      <sheetName val="Labour_&amp;_Plant"/>
      <sheetName val="RCC_Ret__Wall"/>
      <sheetName val="Charge_Rates"/>
      <sheetName val="_p-NM"/>
      <sheetName val="Net_TB"/>
      <sheetName val="Own_summary"/>
      <sheetName val="Labour_Rate_"/>
      <sheetName val="Licences"/>
      <sheetName val="Performance Report"/>
      <sheetName val="RA"/>
      <sheetName val="Sectional  Summary"/>
      <sheetName val="final abstract"/>
      <sheetName val="Main Sheet"/>
      <sheetName val="Project Plan - WWW"/>
      <sheetName val="col-reinft1"/>
      <sheetName val="Area Statement PMO"/>
      <sheetName val="Material "/>
      <sheetName val="Indices"/>
      <sheetName val="Materials Cost(PCC)"/>
      <sheetName val="F1a-Pile"/>
      <sheetName val="Rocker"/>
      <sheetName val="girder"/>
      <sheetName val="Supplier"/>
      <sheetName val="Summary Sheets"/>
      <sheetName val="_x005f_x005f_x005F"/>
      <sheetName val="_x005f_x005f_"/>
      <sheetName val="_._x005f_x005F_x005"/>
      <sheetName val="_x005f_x0000_._x005"/>
      <sheetName val="_._x005f_x0008_p-NM"/>
      <sheetName val="Detail P&amp;L"/>
      <sheetName val="Assumption Sheet"/>
      <sheetName val="Concrete_measurement"/>
      <sheetName val="RCC,Ret__Wall"/>
      <sheetName val="Detail_In_Door_Stad"/>
      <sheetName val="___x005f_x005f_x005f_x005f_x005"/>
      <sheetName val="SCHEDULE_(9)"/>
      <sheetName val="Purchases_FWJ"/>
      <sheetName val="Cost_Sheet"/>
      <sheetName val="MN_T_B_"/>
      <sheetName val="Staircase-4"/>
      <sheetName val="labour rates"/>
      <sheetName val="Civil Boq"/>
      <sheetName val="Pay. Recom"/>
      <sheetName val="BOQ T4B"/>
      <sheetName val="CTRs (HOURS) "/>
      <sheetName val="Start"/>
      <sheetName val="Sectional__Summary"/>
      <sheetName val="Performance_Report"/>
      <sheetName val="Legal Risk Analysis"/>
      <sheetName val="strand"/>
      <sheetName val="Debtors analysis"/>
      <sheetName val="L"/>
      <sheetName val="Executive Summary"/>
      <sheetName val="BHANDUP"/>
      <sheetName val="Lagerhalle"/>
      <sheetName val="WSPOffices"/>
      <sheetName val="DSB"/>
      <sheetName val="rc0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x0000_._x005"/>
      <sheetName val="_._x0008_p-NM"/>
      <sheetName val="DATI_CONS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입찰내역 발주처 양식"/>
      <sheetName val="% prog figs -u5 and total"/>
      <sheetName val="材料"/>
      <sheetName val="AN2"/>
      <sheetName val="单位"/>
      <sheetName val="GM &amp; TA"/>
      <sheetName val="BOQ_Distribution3"/>
      <sheetName val="Labor_bills_19_08_063"/>
      <sheetName val="site_fab&amp;ernstr3"/>
      <sheetName val="new_tech_flt_bldg3"/>
      <sheetName val="Approved_MTD_Proj_#'s3"/>
      <sheetName val="CFForecast_detail2"/>
      <sheetName val="Trial_Bal_1"/>
      <sheetName val="Balance_Sheet1"/>
      <sheetName val="Cash_Flow_Working1"/>
      <sheetName val="1__Acquisition1"/>
      <sheetName val="tender_allowances2"/>
      <sheetName val="MH(on_site)1"/>
      <sheetName val="Named_ranges1"/>
      <sheetName val="Master_Equipment_List1"/>
      <sheetName val="except_wiring1"/>
      <sheetName val="Overall_Summary_1"/>
      <sheetName val="CL_MEP_-VOL_31"/>
      <sheetName val="4__Capex1"/>
      <sheetName val="5__Opex1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_x005f_x0000___x005f_x0008_p-NMR2"/>
      <sheetName val="___x005f_x0008_p-NMR2"/>
      <sheetName val="Trial_Bal_2"/>
      <sheetName val="Balance_Sheet2"/>
      <sheetName val="BASIS_-DEC_082"/>
      <sheetName val="Cash_Flow_Working2"/>
      <sheetName val="1__Acquisition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총괄표_(2)2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gso"/>
      <sheetName val="E_Summary"/>
      <sheetName val="D_Cntnts"/>
      <sheetName val="Services_InitialEst_UtilityServ"/>
      <sheetName val="Steel_1"/>
      <sheetName val="산근"/>
      <sheetName val="VC Summary"/>
      <sheetName val="VC_Summary"/>
      <sheetName val="SRC-B3U2"/>
      <sheetName val="VAL"/>
      <sheetName val="master"/>
      <sheetName val="Rate analysis civil"/>
      <sheetName val="ELEC&amp; MISC"/>
      <sheetName val="concrete"/>
      <sheetName val="inter"/>
      <sheetName val="Masters"/>
      <sheetName val="Basic Rate"/>
      <sheetName val="OpRes"/>
      <sheetName val="PRICE BID"/>
      <sheetName val="Data (adj."/>
      <sheetName val="Internal Finishes (Unit types)"/>
      <sheetName val="Fin Sum"/>
      <sheetName val="DetEst"/>
      <sheetName val="labour"/>
      <sheetName val="Cost summary"/>
      <sheetName val="APPENDIX 4.1a"/>
      <sheetName val="PRECAST lightconc-II"/>
      <sheetName val="Project ODC_NDEU"/>
      <sheetName val="Project_Budget_Worksheet2"/>
      <sheetName val="_2"/>
      <sheetName val="HARGA_MATERIAL2"/>
      <sheetName val="_x005f_x0000___x005f_x0008_p-NM2"/>
      <sheetName val="BLOCK-A_(MEA_SHEET)2"/>
      <sheetName val="PROFITABILITY_ANALYSIS_(MONTH)2"/>
      <sheetName val="PROFITABILITY_ANALYSIS_(YTD)2"/>
      <sheetName val="Adimi_bldg2"/>
      <sheetName val="Pump_House2"/>
      <sheetName val="Fuel_Regu_Station2"/>
      <sheetName val="Basic-Material_1"/>
      <sheetName val="TULIPS_PHASE-2_BOQ_FINAL1"/>
      <sheetName val="Debits_as_on_12_04_081"/>
      <sheetName val="CABLE_DATA1"/>
      <sheetName val="IO_LIST1"/>
      <sheetName val="CCTV_KAMERE_(2)1"/>
      <sheetName val="old_boq1"/>
      <sheetName val="Field_Values1"/>
      <sheetName val="Portfolio_Summary1"/>
      <sheetName val="Fin__Assumpt__-_Sensitivities1"/>
      <sheetName val="Master_Data_Sheet1"/>
      <sheetName val="_x005f_x005f_x005f_x0000___x005f_x005f_x005f_x0008_p-N1"/>
      <sheetName val="___x005f_x005f_x005f_x0008_p-NMR1"/>
      <sheetName val="Building_11"/>
      <sheetName val="_x005f_x005f_x005f_x005f_x005f_x005f_x005f_x0000___x001"/>
      <sheetName val="___x005f_x005f_x005f_x005f_x005f_x005f_x005f_x0008_p-N1"/>
      <sheetName val="?__x005f_x0008_p-NMR1"/>
      <sheetName val="___x005f_x005f_x005f_x005f_x005f_x005f_x005f_x005f_x001"/>
      <sheetName val="INDIGINEOUS_ITEMS_1"/>
      <sheetName val="10__&amp;_11__Rate_Code_&amp;_BQ1"/>
      <sheetName val="_x005f_x005f_x005f_x0000___x0051"/>
      <sheetName val="___x005f_x005f_x005f_x0008_p-NM1"/>
      <sheetName val="?__x005f_x005f_x005f_x0008_p-NMR1"/>
      <sheetName val="Load_Details-220kV1"/>
      <sheetName val="MH_Compensate-Nov1"/>
      <sheetName val="Design_Sheet1"/>
      <sheetName val="pile_Fabrication1"/>
      <sheetName val="Top_Line_-_WWW1"/>
      <sheetName val="Pile_cap1"/>
      <sheetName val="INPUT_SHEET1"/>
      <sheetName val="S_&amp;_A1"/>
      <sheetName val="13__Steel_-_Ratio1"/>
      <sheetName val="9__Package_split_-_Cost_1"/>
      <sheetName val="2_civil-RA1"/>
      <sheetName val="labour_coeff1"/>
      <sheetName val="4K_-_(6a)_Non_Manual_Breakdown1"/>
      <sheetName val="beam-reinft-IIInd_floor1"/>
      <sheetName val="Data_sheet1"/>
      <sheetName val="Area_Statement_1"/>
      <sheetName val="Variance_Report1"/>
      <sheetName val="Own_summary1"/>
      <sheetName val="Labour_Rate_1"/>
      <sheetName val="Jams_&amp;_Cills4"/>
      <sheetName val="Basement_Budget4"/>
      <sheetName val="Project_Budget_Worksheet3"/>
      <sheetName val="_3"/>
      <sheetName val="Other_assumptions4"/>
      <sheetName val="Builtup_Area4"/>
      <sheetName val="Boq_-_Flats3"/>
      <sheetName val="PROJECT_BRIEF(EX_NEW)3"/>
      <sheetName val="Basic_Rates3"/>
      <sheetName val="BUSDUCT_SUMMARY-SUBSTATION3"/>
      <sheetName val="HARGA_MATERIAL3"/>
      <sheetName val="_x005f_x0000___x005f_x0008_p-NM3"/>
      <sheetName val="10_Linkway3"/>
      <sheetName val="11_Bus_Shelter-Bay3"/>
      <sheetName val="CANDY_BOQ3"/>
      <sheetName val="BLOCK-A_(MEA_SHEET)3"/>
      <sheetName val="PROFITABILITY_ANALYSIS_(MONTH)3"/>
      <sheetName val="PROFITABILITY_ANALYSIS_(YTD)3"/>
      <sheetName val="Adimi_bldg3"/>
      <sheetName val="Pump_House3"/>
      <sheetName val="Fuel_Regu_Station3"/>
      <sheetName val="Basic-Material_2"/>
      <sheetName val="TULIPS_PHASE-2_BOQ_FINAL2"/>
      <sheetName val="Debits_as_on_12_04_082"/>
      <sheetName val="CABLE_DATA2"/>
      <sheetName val="IO_LIST2"/>
      <sheetName val="CCTV_KAMERE_(2)2"/>
      <sheetName val="old_boq2"/>
      <sheetName val="Field_Values2"/>
      <sheetName val="Portfolio_Summary2"/>
      <sheetName val="Fin__Assumpt__-_Sensitivities2"/>
      <sheetName val="Master_Data_Sheet2"/>
      <sheetName val="_x005f_x005f_x005f_x0000___x005f_x005f_x005f_x0008_p-N2"/>
      <sheetName val="___x005f_x005f_x005f_x0008_p-NMR2"/>
      <sheetName val="Building_12"/>
      <sheetName val="_x005f_x005f_x005f_x005f_x005f_x005f_x005f_x0000___x002"/>
      <sheetName val="___x005f_x005f_x005f_x005f_x005f_x005f_x005f_x0008_p-N2"/>
      <sheetName val="?__x005f_x0008_p-NMR2"/>
      <sheetName val="___x005f_x005f_x005f_x005f_x005f_x005f_x005f_x005f_x002"/>
      <sheetName val="INDIGINEOUS_ITEMS_2"/>
      <sheetName val="10__&amp;_11__Rate_Code_&amp;_BQ2"/>
      <sheetName val="_x005f_x005f_x005f_x0000___x0052"/>
      <sheetName val="___x005f_x005f_x005f_x0008_p-NM2"/>
      <sheetName val="?__x005f_x005f_x005f_x0008_p-NMR2"/>
      <sheetName val="Load_Details-220kV2"/>
      <sheetName val="MH_Compensate-Nov2"/>
      <sheetName val="Design_Sheet2"/>
      <sheetName val="pile_Fabrication2"/>
      <sheetName val="Top_Line_-_WWW2"/>
      <sheetName val="Pile_cap2"/>
      <sheetName val="INPUT_SHEET2"/>
      <sheetName val="S_&amp;_A2"/>
      <sheetName val="13__Steel_-_Ratio2"/>
      <sheetName val="9__Package_split_-_Cost_2"/>
      <sheetName val="2_civil-RA2"/>
      <sheetName val="labour_coeff2"/>
      <sheetName val="4K_-_(6a)_Non_Manual_Breakdown2"/>
      <sheetName val="beam-reinft-IIInd_floor2"/>
      <sheetName val="Data_sheet2"/>
      <sheetName val="Area_Statement_2"/>
      <sheetName val="Variance_Report2"/>
      <sheetName val="RENT_MASTER_FILE2"/>
      <sheetName val="Own_summary2"/>
      <sheetName val="Labour_Rate_2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TBAL9697_-group_wise__sdpl6"/>
      <sheetName val="Rate_analysis6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5"/>
      <sheetName val="Basement_Budget5"/>
      <sheetName val="_x005f_x0000___x005f_x0008_p-NMR4"/>
      <sheetName val="___x005f_x0008_p-NMR4"/>
      <sheetName val="BASIS_-DEC_084"/>
      <sheetName val="Project_Budget_Worksheet4"/>
      <sheetName val="_4"/>
      <sheetName val="Other_assumptions5"/>
      <sheetName val="Builtup_Area5"/>
      <sheetName val="Boq_-_Flats4"/>
      <sheetName val="PROJECT_BRIEF(EX_NEW)4"/>
      <sheetName val="Basic_Rates4"/>
      <sheetName val="BUSDUCT_SUMMARY-SUBSTATION4"/>
      <sheetName val="HARGA_MATERIAL4"/>
      <sheetName val="_x005f_x0000___x005f_x0008_p-NM4"/>
      <sheetName val="10_Linkway4"/>
      <sheetName val="11_Bus_Shelter-Bay4"/>
      <sheetName val="CANDY_BOQ4"/>
      <sheetName val="BLOCK-A_(MEA_SHEET)4"/>
      <sheetName val="PROFITABILITY_ANALYSIS_(MONTH)4"/>
      <sheetName val="PROFITABILITY_ANALYSIS_(YTD)4"/>
      <sheetName val="Adimi_bldg4"/>
      <sheetName val="Pump_House4"/>
      <sheetName val="Fuel_Regu_Station4"/>
      <sheetName val="Basic-Material_3"/>
      <sheetName val="TULIPS_PHASE-2_BOQ_FINAL3"/>
      <sheetName val="Cash_Flow_Working3"/>
      <sheetName val="Debits_as_on_12_04_083"/>
      <sheetName val="CABLE_DATA3"/>
      <sheetName val="IO_LIST3"/>
      <sheetName val="MH(on_site)3"/>
      <sheetName val="CCTV_KAMERE_(2)3"/>
      <sheetName val="old_boq3"/>
      <sheetName val="Field_Values3"/>
      <sheetName val="Portfolio_Summary3"/>
      <sheetName val="Fin__Assumpt__-_Sensitivities3"/>
      <sheetName val="Master_Data_Sheet3"/>
      <sheetName val="_x005f_x005f_x005f_x0000___x005f_x005f_x005f_x0008_p-N3"/>
      <sheetName val="___x005f_x005f_x005f_x0008_p-NMR3"/>
      <sheetName val="Building_13"/>
      <sheetName val="_x005f_x005f_x005f_x005f_x005f_x005f_x005f_x0000___x003"/>
      <sheetName val="___x005f_x005f_x005f_x005f_x005f_x005f_x005f_x0008_p-N3"/>
      <sheetName val="?__x005f_x0008_p-NMR3"/>
      <sheetName val="___x005f_x005f_x005f_x005f_x005f_x005f_x005f_x005f_x003"/>
      <sheetName val="INDIGINEOUS_ITEMS_3"/>
      <sheetName val="10__&amp;_11__Rate_Code_&amp;_BQ3"/>
      <sheetName val="_x005f_x005f_x005f_x0000___x0053"/>
      <sheetName val="___x005f_x005f_x005f_x0008_p-NM3"/>
      <sheetName val="?__x005f_x005f_x005f_x0008_p-NMR3"/>
      <sheetName val="Load_Details-220kV3"/>
      <sheetName val="schedule_nos3"/>
      <sheetName val="MH_Compensate-Nov3"/>
      <sheetName val="Design_Sheet3"/>
      <sheetName val="pile_Fabrication3"/>
      <sheetName val="Top_Line_-_WWW3"/>
      <sheetName val="Pile_cap3"/>
      <sheetName val="INPUT_SHEET3"/>
      <sheetName val="S_&amp;_A3"/>
      <sheetName val="13__Steel_-_Ratio3"/>
      <sheetName val="9__Package_split_-_Cost_3"/>
      <sheetName val="2_civil-RA3"/>
      <sheetName val="labour_coeff3"/>
      <sheetName val="4K_-_(6a)_Non_Manual_Breakdown3"/>
      <sheetName val="beam-reinft-IIInd_floor3"/>
      <sheetName val="Data_sheet3"/>
      <sheetName val="Area_Statement_3"/>
      <sheetName val="Variance_Report3"/>
      <sheetName val="RENT_MASTER_FILE3"/>
      <sheetName val="Own_summary3"/>
      <sheetName val="Labour_Rate_3"/>
      <sheetName val="Params"/>
      <sheetName val="PROG_DATA"/>
      <sheetName val="Bouclage"/>
      <sheetName val="(09)FINISHES"/>
      <sheetName val="Valorisation"/>
      <sheetName val="reference"/>
      <sheetName val="Rates Analysis"/>
      <sheetName val="1 Summary"/>
      <sheetName val="tender_allowances4"/>
      <sheetName val="Named_ranges3"/>
      <sheetName val="Master_Equipment_List3"/>
      <sheetName val="Notes_for_BOQ3"/>
      <sheetName val="A_O_R_3"/>
      <sheetName val="except_wiring3"/>
      <sheetName val="Overall_Summary_3"/>
      <sheetName val="CL_MEP_-VOL_33"/>
      <sheetName val="4__Capex3"/>
      <sheetName val="5__Opex3"/>
      <sheetName val="BOQ_Distribution6"/>
      <sheetName val="Labor_bills_19_08_066"/>
      <sheetName val="site_fab&amp;ernstr6"/>
      <sheetName val="new_tech_flt_bldg6"/>
      <sheetName val="Approved_MTD_Proj_#'s6"/>
      <sheetName val="CFForecast_detail5"/>
      <sheetName val="Trial_Bal_4"/>
      <sheetName val="Balance_Sheet4"/>
      <sheetName val="Cash_Flow_Working4"/>
      <sheetName val="1__Acquisition4"/>
      <sheetName val="tender_allowances5"/>
      <sheetName val="MH(on_site)4"/>
      <sheetName val="Named_ranges4"/>
      <sheetName val="Master_Equipment_List4"/>
      <sheetName val="Notes_for_BOQ4"/>
      <sheetName val="schedule_nos4"/>
      <sheetName val="A_O_R_4"/>
      <sheetName val="except_wiring4"/>
      <sheetName val="Overall_Summary_4"/>
      <sheetName val="CL_MEP_-VOL_34"/>
      <sheetName val="4__Capex4"/>
      <sheetName val="5__Opex4"/>
      <sheetName val="총괄표_(2)4"/>
      <sheetName val="look-dept"/>
      <sheetName val="s"/>
      <sheetName val="KP1590_E"/>
      <sheetName val="BP"/>
      <sheetName val="SC Cost FEB 03"/>
      <sheetName val="India F&amp;S Template"/>
      <sheetName val="Client Addressess"/>
      <sheetName val="Variation Statement"/>
      <sheetName val="pri-com"/>
      <sheetName val="Loads"/>
      <sheetName val="Detailed Summary (3)"/>
      <sheetName val="Options"/>
      <sheetName val="Voucher"/>
      <sheetName val="Cal"/>
      <sheetName val="BORDGC"/>
      <sheetName val="Door &amp; Window"/>
      <sheetName val="Pacakges split"/>
      <sheetName val="SITE OVERHEADS"/>
      <sheetName val="cover page"/>
      <sheetName val="8. Cover"/>
      <sheetName val="NOT FULL RESTRAINT"/>
      <sheetName val="BEARING &amp; BUCKLING"/>
      <sheetName val="PFC"/>
      <sheetName val="RSJ"/>
      <sheetName val="Block A - BOQ"/>
      <sheetName val="Cashflow projection"/>
      <sheetName val="costing_ESDV"/>
      <sheetName val="costing_FE"/>
      <sheetName val="costing_Misc"/>
      <sheetName val="costing_MOV"/>
      <sheetName val="costing_Press"/>
      <sheetName val="Form 6"/>
      <sheetName val="Consolidated"/>
      <sheetName val="NATIONAL-TIME"/>
      <sheetName val="INVOICE"/>
      <sheetName val="BOQ - Electric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RateAnalysis"/>
      <sheetName val="loadcal"/>
      <sheetName val="Fill this out first..."/>
      <sheetName val="para"/>
      <sheetName val="kppl pl"/>
      <sheetName val="Improvements"/>
      <sheetName val="ESGS Costing"/>
      <sheetName val="HR &amp; Admin - 1"/>
      <sheetName val="On Roll - Vacant"/>
      <sheetName val="HR &amp; Admin"/>
      <sheetName val="_x005f_x0000___x005"/>
      <sheetName val="___x005f_x0008_p-NM"/>
      <sheetName val="pt-cw"/>
      <sheetName val="Birla Sruya"/>
      <sheetName val="S1_2"/>
      <sheetName val="S7B_2"/>
      <sheetName val="S6_2"/>
      <sheetName val="S3_2"/>
      <sheetName val="S2_2"/>
      <sheetName val="Slab-07_"/>
      <sheetName val="Summary_year_Plan"/>
      <sheetName val="Boq_Block_A"/>
      <sheetName val="Earthing_Tower-1_Superseded"/>
      <sheetName val="Appendix_8A"/>
      <sheetName val="Structure_Bills_Qty1"/>
      <sheetName val="3__Elemental_Summary"/>
      <sheetName val="QS_Name"/>
      <sheetName val="12a__CFTable"/>
      <sheetName val="Labour_productivity2"/>
      <sheetName val="Quote_to_send2"/>
      <sheetName val="Working_back_up2"/>
      <sheetName val="Manpower_cost2"/>
      <sheetName val="Machinery_cost2"/>
      <sheetName val="공사비_내역_(가)1"/>
      <sheetName val="Architect_Area_&amp;_Cost_Inputs1"/>
      <sheetName val="S1_new-Overall-with_C8A1"/>
      <sheetName val="Wood_Works-R1_1"/>
      <sheetName val="Summary_-New_with_C8A)1"/>
      <sheetName val="Boq_C7+A-MEP_1"/>
      <sheetName val="Interim_--&gt;_Top1"/>
      <sheetName val="Main_Sum_(Model_B)"/>
      <sheetName val="Main_Sum"/>
      <sheetName val="Depreciation_Methods"/>
      <sheetName val="cashflows_&amp;IRR"/>
      <sheetName val="Plan Summary"/>
      <sheetName val="Cor Oh"/>
      <sheetName val="Wag&amp;Sal"/>
      <sheetName val="S-4 Elemental Sum"/>
      <sheetName val="_x0000___x0008_p-NMR"/>
      <sheetName val="___x0008_p-NMR"/>
      <sheetName val="_x0000___x0008_p-NM"/>
      <sheetName val="_x0000___x0008_p-NMR1"/>
      <sheetName val="___x0008_p-NMR1"/>
      <sheetName val="?__x0008_p-NMR"/>
      <sheetName val="._x0008_p-NMR"/>
      <sheetName val="._x0008_p-NM"/>
      <sheetName val="._x005"/>
      <sheetName val="__x0008_p-NMR"/>
      <sheetName val="__x0008_p-NM"/>
      <sheetName val="__x0008_p-NMR1"/>
      <sheetName val="M.S."/>
      <sheetName val="LBO"/>
      <sheetName val="Main"/>
      <sheetName val="BLK2"/>
      <sheetName val="BLK3"/>
      <sheetName val="E &amp; R"/>
      <sheetName val="radar"/>
      <sheetName val="UG"/>
      <sheetName val="Quote Sheet"/>
      <sheetName val="item"/>
      <sheetName val="SCH4"/>
      <sheetName val="MASTER_RATE ANALYSIS"/>
      <sheetName val="Lead (Final)"/>
      <sheetName val="Linked Lead"/>
      <sheetName val="OEM "/>
      <sheetName val="A4a"/>
      <sheetName val="bs BP 04 SA"/>
      <sheetName val="Attributes"/>
      <sheetName val="細目"/>
      <sheetName val="_x0000___x0008_p-NM1"/>
      <sheetName val="_x005F"/>
      <sheetName val="_x0000___x0008_p-NMR2"/>
      <sheetName val="___x0008_p-NMR2"/>
      <sheetName val="_x0000___x0008_p-NMR3"/>
      <sheetName val="___x0008_p-NMR3"/>
      <sheetName val="_x0000___x0008_p-NM2"/>
      <sheetName val="_x005f_x0000___x005f_x0008_p-N1"/>
      <sheetName val="_x005f_x005f_x005f_x0000___x001"/>
      <sheetName val="___x005f_x005f_x005f_x0008_p-N1"/>
      <sheetName val="___x005f_x005f_x005f_x005f_x001"/>
      <sheetName val="_x005f_x0000___x0051"/>
      <sheetName val="___x005f_x0008_p-NM1"/>
      <sheetName val="_x0000___x0008_p-NM3"/>
      <sheetName val="_x005f_x0000___x005f_x0008_p-N2"/>
      <sheetName val="_x005f_x005f_x005f_x0000___x002"/>
      <sheetName val="___x005f_x005f_x005f_x0008_p-N2"/>
      <sheetName val="___x005f_x005f_x005f_x005f_x002"/>
      <sheetName val="_x005f_x0000___x0052"/>
      <sheetName val="___x005f_x0008_p-NM2"/>
      <sheetName val="_x0000___x0008_p-NMR4"/>
      <sheetName val="___x0008_p-NMR4"/>
      <sheetName val="_x0000___x0008_p-NM4"/>
      <sheetName val="_x005f_x0000___x005f_x0008_p-N3"/>
      <sheetName val="_x005f_x005f_x005f_x0000___x003"/>
      <sheetName val="___x005f_x005f_x005f_x0008_p-N3"/>
      <sheetName val="___x005f_x005f_x005f_x005f_x003"/>
      <sheetName val="_x005f_x0000___x0053"/>
      <sheetName val="___x005f_x0008_p-NM3"/>
      <sheetName val="___x005f_x005f_x005"/>
      <sheetName val="Lowside"/>
      <sheetName val="Annexure A"/>
      <sheetName val="Opening Date"/>
      <sheetName val="Maping_Other"/>
      <sheetName val="Legend"/>
      <sheetName val="Cd"/>
      <sheetName val="Cs"/>
      <sheetName val="CPIPE"/>
      <sheetName val="THK"/>
      <sheetName val="CPIPE 1"/>
      <sheetName val="ABBR"/>
      <sheetName val="Scheme Area Details_Block__ C2"/>
      <sheetName val="DSLP"/>
      <sheetName val="1,2공구원가계산서"/>
      <sheetName val="2공구산출내역"/>
      <sheetName val="1공구산출내역서"/>
      <sheetName val="부대내역"/>
      <sheetName val="Demand"/>
      <sheetName val="分析"/>
      <sheetName val="Doors"/>
      <sheetName val="CASH-FLOW"/>
      <sheetName val="IGCC査定"/>
      <sheetName val="C-data"/>
      <sheetName val="Mat.-Rates"/>
      <sheetName val="Variables"/>
      <sheetName val="RAJU ASSO"/>
      <sheetName val="Abs-B3"/>
      <sheetName val="__x0008_p-NM1"/>
      <sheetName val="__x0008_p-NMR2"/>
      <sheetName val="__x0008_p-NMR3"/>
      <sheetName val="__x0008_p-NM2"/>
      <sheetName val="__x0008_p-NM3"/>
      <sheetName val="__x0008_p-NMR4"/>
      <sheetName val="__x0008_p-NM4"/>
      <sheetName val="Project_Plan_-_WWW"/>
      <sheetName val="Main_Sheet"/>
      <sheetName val="Project_Plan_-_WWW1"/>
      <sheetName val="Summary_year_Plan1"/>
      <sheetName val="Earthing_Tower-1_Superseded1"/>
      <sheetName val="Appendix_8A1"/>
      <sheetName val="Boq_Block_A1"/>
      <sheetName val="Main_Sheet1"/>
      <sheetName val="SewerCAD Pipe Data-Actual 2040"/>
      <sheetName val="ECONDATA"/>
      <sheetName val="MRATES"/>
      <sheetName val="Ele-Dep(11)"/>
      <sheetName val="Footing"/>
      <sheetName val="Elemental Buildup"/>
      <sheetName val="MSH51C"/>
      <sheetName val="Bill No 8 - A"/>
      <sheetName val="Elemental_Buildup"/>
      <sheetName val="Malaysia incl. RET"/>
      <sheetName val="Selling Price"/>
      <sheetName val="EQUIPMENT-OLD"/>
      <sheetName val="Ticket"/>
      <sheetName val="Staff JV"/>
      <sheetName val="C1 (calcolo)"/>
      <sheetName val="CONCRETE_PLANT"/>
      <sheetName val="TTL"/>
      <sheetName val="rebrand"/>
      <sheetName val="Mp-team 1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Price Groups"/>
      <sheetName val="cables"/>
      <sheetName val="综合单价组价表"/>
      <sheetName val="Bill no.8"/>
      <sheetName val="8"/>
      <sheetName val="6"/>
      <sheetName val="2"/>
      <sheetName val="投标材料清单 "/>
      <sheetName val="面积合计（藏）"/>
      <sheetName val="7"/>
      <sheetName val="装饰汇总"/>
      <sheetName val="4"/>
      <sheetName val="5"/>
      <sheetName val="eqpmad2"/>
      <sheetName val="Basis"/>
      <sheetName val="PE"/>
      <sheetName val="?._x0008_p-NM"/>
      <sheetName val="?._x005f_x005f_x005f_x0008_p-NM"/>
      <sheetName val="?._x005"/>
      <sheetName val="?._x005f_x005f_x005f_x005F_x005"/>
      <sheetName val="RFP002"/>
      <sheetName val="_x005f_x005f_x005F?._x005"/>
      <sheetName val="_x005f_x005f_x005F?__x005"/>
      <sheetName val="?._x005f_x005F_x005"/>
      <sheetName val="_x005f_x005f_x005F?__x001"/>
      <sheetName val="___x005f_x005F_x001"/>
      <sheetName val="_x005f_x005f_x005F?__x002"/>
      <sheetName val="___x005f_x005F_x002"/>
      <sheetName val="_x005f_x005f_x005F?__x003"/>
      <sheetName val="___x005f_x005F_x003"/>
      <sheetName val="?._x005f_x0008_p-NM"/>
      <sheetName val="LOCAL RATES"/>
      <sheetName val="Plant &amp;  Machinery"/>
      <sheetName val="upa"/>
      <sheetName val="LA- lookups"/>
      <sheetName val="Inter unit set off"/>
      <sheetName val="GF Columns"/>
      <sheetName val="Labour_&amp;_Plant3"/>
      <sheetName val="Sectional__Summary3"/>
      <sheetName val="Labour_&amp;_Plant1"/>
      <sheetName val="Sectional__Summary1"/>
      <sheetName val="Labour_&amp;_Plant2"/>
      <sheetName val="Sectional__Summary2"/>
      <sheetName val="Labor_abs-PW8"/>
      <sheetName val="Labor_abs-NMR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-_Plastering8"/>
      <sheetName val="Labor_bill_Water_proofing8"/>
      <sheetName val="Labor_bill_Hard_Finish8"/>
      <sheetName val="Labor_bill_MS_items8"/>
      <sheetName val="Break_up_Sheet8"/>
      <sheetName val="TBAL9697_-group_wise__sdpl8"/>
      <sheetName val="Rate_analysis8"/>
      <sheetName val="BOQ_Distribution7"/>
      <sheetName val="site_fab&amp;ernstr7"/>
      <sheetName val="Labor_bills_19_08_067"/>
      <sheetName val="new_tech_flt_bldg7"/>
      <sheetName val="Approved_MTD_Proj_#'s7"/>
      <sheetName val="Sheet3_(2)6"/>
      <sheetName val="SUPPLY_-Sanitary_Fixtures6"/>
      <sheetName val="ITEMS_FOR_CIVIL_TENDER6"/>
      <sheetName val="Portfolio_Summary5"/>
      <sheetName val="Kristal_Court6"/>
      <sheetName val="3cd_Annexure6"/>
      <sheetName val="August_TB6"/>
      <sheetName val="CFForecast_detail6"/>
      <sheetName val="_x005f_x0000___x005f_x0008_p-NMR5"/>
      <sheetName val="___x005f_x0008_p-NMR5"/>
      <sheetName val="Fin__Assumpt__-_Sensitivities5"/>
      <sheetName val="IO_LIST5"/>
      <sheetName val="Builtup_Area6"/>
      <sheetName val="Other_assumptions6"/>
      <sheetName val="Boq_-_Flats5"/>
      <sheetName val="PROJECT_BRIEF(EX_NEW)5"/>
      <sheetName val="Basic_Rates5"/>
      <sheetName val="BUSDUCT_SUMMARY-SUBSTATION5"/>
      <sheetName val="BASIS_-DEC_085"/>
      <sheetName val="_5"/>
      <sheetName val="HARGA_MATERIAL5"/>
      <sheetName val="_x005f_x0000___x005f_x0008_p-NM5"/>
      <sheetName val="10_Linkway5"/>
      <sheetName val="11_Bus_Shelter-Bay5"/>
      <sheetName val="CANDY_BOQ5"/>
      <sheetName val="BLOCK-A_(MEA_SHEET)5"/>
      <sheetName val="Project_Budget_Worksheet5"/>
      <sheetName val="PROFITABILITY_ANALYSIS_(MONTH)5"/>
      <sheetName val="PROFITABILITY_ANALYSIS_(YTD)5"/>
      <sheetName val="Cash_Flow_Working5"/>
      <sheetName val="Trial_Bal_5"/>
      <sheetName val="Balance_Sheet5"/>
      <sheetName val="Basic-Material_5"/>
      <sheetName val="TULIPS_PHASE-2_BOQ_FINAL5"/>
      <sheetName val="CABLE_DATA5"/>
      <sheetName val="MH(on_site)5"/>
      <sheetName val="CCTV_KAMERE_(2)5"/>
      <sheetName val="_x005f_x005f_x005f_x0000___x005f_x005f_x005f_x0008_p-N5"/>
      <sheetName val="___x005f_x005f_x005f_x0008_p-NMR5"/>
      <sheetName val="?__x005f_x0008_p-NMR5"/>
      <sheetName val="_x005f_x005f_x005f_x005f_x005f_x005f_x005f_x0000___x006"/>
      <sheetName val="___x005f_x005f_x005f_x005f_x005f_x005f_x005f_x0008_p-N5"/>
      <sheetName val="Master_Data_Sheet5"/>
      <sheetName val="Building_15"/>
      <sheetName val="___x005f_x005f_x005f_x005f_x005f_x005f_x005f_x005f_x006"/>
      <sheetName val="INDIGINEOUS_ITEMS_5"/>
      <sheetName val="Debits_as_on_12_04_085"/>
      <sheetName val="Adimi_bldg5"/>
      <sheetName val="Pump_House5"/>
      <sheetName val="Fuel_Regu_Station5"/>
      <sheetName val="1__Acquisition5"/>
      <sheetName val="Field_Values5"/>
      <sheetName val="10__&amp;_11__Rate_Code_&amp;_BQ5"/>
      <sheetName val="_x005f_x005f_x005f_x0000___x0055"/>
      <sheetName val="___x005f_x005f_x005f_x0008_p-NM5"/>
      <sheetName val="?__x005f_x005f_x005f_x0008_p-NMR5"/>
      <sheetName val="Load_Details-220kV5"/>
      <sheetName val="schedule_nos5"/>
      <sheetName val="MH_Compensate-Nov5"/>
      <sheetName val="Design_Sheet5"/>
      <sheetName val="pile_Fabrication5"/>
      <sheetName val="Top_Line_-_WWW5"/>
      <sheetName val="Pile_cap5"/>
      <sheetName val="Labour_&amp;_Plant5"/>
      <sheetName val="A_O_R_5"/>
      <sheetName val="Sectional__Summary5"/>
      <sheetName val="Labor_abs-PW7"/>
      <sheetName val="Labor_abs-NMR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-_Plastering7"/>
      <sheetName val="Labor_bill_Water_proofing7"/>
      <sheetName val="Labor_bill_Hard_Finish7"/>
      <sheetName val="Labor_bill_MS_items7"/>
      <sheetName val="Break_up_Sheet7"/>
      <sheetName val="TBAL9697_-group_wise__sdpl7"/>
      <sheetName val="Rate_analysis7"/>
      <sheetName val="Portfolio_Summary4"/>
      <sheetName val="Fin__Assumpt__-_Sensitivities4"/>
      <sheetName val="IO_LIST4"/>
      <sheetName val="Basic-Material_4"/>
      <sheetName val="TULIPS_PHASE-2_BOQ_FINAL4"/>
      <sheetName val="CABLE_DATA4"/>
      <sheetName val="CCTV_KAMERE_(2)4"/>
      <sheetName val="_x005f_x005f_x005f_x0000___x005f_x005f_x005f_x0008_p-N4"/>
      <sheetName val="___x005f_x005f_x005f_x0008_p-NMR4"/>
      <sheetName val="?__x005f_x0008_p-NMR4"/>
      <sheetName val="_x005f_x005f_x005f_x005f_x005f_x005f_x005f_x0000___x004"/>
      <sheetName val="___x005f_x005f_x005f_x005f_x005f_x005f_x005f_x0008_p-N4"/>
      <sheetName val="Master_Data_Sheet4"/>
      <sheetName val="Building_14"/>
      <sheetName val="___x005f_x005f_x005f_x005f_x005f_x005f_x005f_x005f_x004"/>
      <sheetName val="INDIGINEOUS_ITEMS_4"/>
      <sheetName val="Debits_as_on_12_04_084"/>
      <sheetName val="Field_Values4"/>
      <sheetName val="10__&amp;_11__Rate_Code_&amp;_BQ4"/>
      <sheetName val="_x005f_x005f_x005f_x0000___x0054"/>
      <sheetName val="___x005f_x005f_x005f_x0008_p-NM4"/>
      <sheetName val="?__x005f_x005f_x005f_x0008_p-NMR4"/>
      <sheetName val="Load_Details-220kV4"/>
      <sheetName val="MH_Compensate-Nov4"/>
      <sheetName val="Design_Sheet4"/>
      <sheetName val="pile_Fabrication4"/>
      <sheetName val="Top_Line_-_WWW4"/>
      <sheetName val="Pile_cap4"/>
      <sheetName val="Labour_&amp;_Plant4"/>
      <sheetName val="Sectional__Summary4"/>
      <sheetName val="Labor_abs-PW9"/>
      <sheetName val="Labor_abs-NMR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-_Plastering9"/>
      <sheetName val="Labor_bill_Water_proofing9"/>
      <sheetName val="Labor_bill_Hard_Finish9"/>
      <sheetName val="Labor_bill_MS_items9"/>
      <sheetName val="Break_up_Sheet9"/>
      <sheetName val="TBAL9697_-group_wise__sdpl9"/>
      <sheetName val="Rate_analysis9"/>
      <sheetName val="BOQ_Distribution8"/>
      <sheetName val="Labor_bills_19_08_068"/>
      <sheetName val="site_fab&amp;ernstr8"/>
      <sheetName val="new_tech_flt_bldg8"/>
      <sheetName val="Approved_MTD_Proj_#'s8"/>
      <sheetName val="Sheet3_(2)7"/>
      <sheetName val="SUPPLY_-Sanitary_Fixtures7"/>
      <sheetName val="ITEMS_FOR_CIVIL_TENDER7"/>
      <sheetName val="Portfolio_Summary6"/>
      <sheetName val="Kristal_Court7"/>
      <sheetName val="3cd_Annexure7"/>
      <sheetName val="August_TB7"/>
      <sheetName val="CFForecast_detail7"/>
      <sheetName val="Basement_Budget6"/>
      <sheetName val="Jams_&amp;_Cills6"/>
      <sheetName val="_x005f_x0000___x005f_x0008_p-NMR6"/>
      <sheetName val="___x005f_x0008_p-NMR6"/>
      <sheetName val="Fin__Assumpt__-_Sensitivities6"/>
      <sheetName val="IO_LIST6"/>
      <sheetName val="Builtup_Area7"/>
      <sheetName val="Other_assumptions7"/>
      <sheetName val="Boq_-_Flats6"/>
      <sheetName val="PROJECT_BRIEF(EX_NEW)6"/>
      <sheetName val="Basic_Rates6"/>
      <sheetName val="BUSDUCT_SUMMARY-SUBSTATION6"/>
      <sheetName val="BASIS_-DEC_086"/>
      <sheetName val="_6"/>
      <sheetName val="HARGA_MATERIAL6"/>
      <sheetName val="_x005f_x0000___x005f_x0008_p-NM6"/>
      <sheetName val="10_Linkway6"/>
      <sheetName val="11_Bus_Shelter-Bay6"/>
      <sheetName val="CANDY_BOQ6"/>
      <sheetName val="BLOCK-A_(MEA_SHEET)6"/>
      <sheetName val="Project_Budget_Worksheet6"/>
      <sheetName val="PROFITABILITY_ANALYSIS_(MONTH)6"/>
      <sheetName val="PROFITABILITY_ANALYSIS_(YTD)6"/>
      <sheetName val="Cash_Flow_Working6"/>
      <sheetName val="tender_allowances6"/>
      <sheetName val="Trial_Bal_6"/>
      <sheetName val="Balance_Sheet6"/>
      <sheetName val="Basic-Material_6"/>
      <sheetName val="TULIPS_PHASE-2_BOQ_FINAL6"/>
      <sheetName val="CABLE_DATA6"/>
      <sheetName val="MH(on_site)6"/>
      <sheetName val="CCTV_KAMERE_(2)6"/>
      <sheetName val="_x005f_x005f_x005f_x0000___x005f_x005f_x005f_x0008_p-N6"/>
      <sheetName val="___x005f_x005f_x005f_x0008_p-NMR6"/>
      <sheetName val="?__x005f_x0008_p-NMR6"/>
      <sheetName val="_x005f_x005f_x005f_x005f_x005f_x005f_x005f_x0000___x007"/>
      <sheetName val="___x005f_x005f_x005f_x005f_x005f_x005f_x005f_x0008_p-N6"/>
      <sheetName val="Master_Data_Sheet6"/>
      <sheetName val="Building_16"/>
      <sheetName val="___x005f_x005f_x005f_x005f_x005f_x005f_x005f_x005f_x007"/>
      <sheetName val="INDIGINEOUS_ITEMS_6"/>
      <sheetName val="Debits_as_on_12_04_086"/>
      <sheetName val="Adimi_bldg6"/>
      <sheetName val="Pump_House6"/>
      <sheetName val="Fuel_Regu_Station6"/>
      <sheetName val="1__Acquisition6"/>
      <sheetName val="Field_Values6"/>
      <sheetName val="10__&amp;_11__Rate_Code_&amp;_BQ6"/>
      <sheetName val="_x005f_x005f_x005f_x0000___x0056"/>
      <sheetName val="___x005f_x005f_x005f_x0008_p-NM6"/>
      <sheetName val="?__x005f_x005f_x005f_x0008_p-NMR6"/>
      <sheetName val="Load_Details-220kV6"/>
      <sheetName val="schedule_nos6"/>
      <sheetName val="MH_Compensate-Nov6"/>
      <sheetName val="Design_Sheet6"/>
      <sheetName val="pile_Fabrication6"/>
      <sheetName val="Top_Line_-_WWW6"/>
      <sheetName val="Pile_cap6"/>
      <sheetName val="Labour_&amp;_Plant6"/>
      <sheetName val="A_O_R_6"/>
      <sheetName val="Sectional__Summary6"/>
      <sheetName val="Labor_abs-PW10"/>
      <sheetName val="Labor_abs-NMR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-_Plastering10"/>
      <sheetName val="Labor_bill_Water_proofing10"/>
      <sheetName val="Labor_bill_Hard_Finish10"/>
      <sheetName val="Labor_bill_MS_items10"/>
      <sheetName val="Break_up_Sheet10"/>
      <sheetName val="TBAL9697_-group_wise__sdpl10"/>
      <sheetName val="Rate_analysis10"/>
      <sheetName val="BOQ_Distribution9"/>
      <sheetName val="Labor_bills_19_08_069"/>
      <sheetName val="site_fab&amp;ernstr9"/>
      <sheetName val="new_tech_flt_bldg9"/>
      <sheetName val="Approved_MTD_Proj_#'s9"/>
      <sheetName val="Sheet3_(2)8"/>
      <sheetName val="SUPPLY_-Sanitary_Fixtures8"/>
      <sheetName val="ITEMS_FOR_CIVIL_TENDER8"/>
      <sheetName val="Portfolio_Summary7"/>
      <sheetName val="Kristal_Court8"/>
      <sheetName val="3cd_Annexure8"/>
      <sheetName val="August_TB8"/>
      <sheetName val="CFForecast_detail8"/>
      <sheetName val="Basement_Budget7"/>
      <sheetName val="Jams_&amp;_Cills7"/>
      <sheetName val="_x005f_x0000___x005f_x0008_p-NMR7"/>
      <sheetName val="___x005f_x0008_p-NMR7"/>
      <sheetName val="Fin__Assumpt__-_Sensitivities7"/>
      <sheetName val="IO_LIST7"/>
      <sheetName val="Builtup_Area8"/>
      <sheetName val="Other_assumptions8"/>
      <sheetName val="Boq_-_Flats7"/>
      <sheetName val="PROJECT_BRIEF(EX_NEW)7"/>
      <sheetName val="Basic_Rates7"/>
      <sheetName val="BUSDUCT_SUMMARY-SUBSTATION7"/>
      <sheetName val="BASIS_-DEC_087"/>
      <sheetName val="_7"/>
      <sheetName val="HARGA_MATERIAL7"/>
      <sheetName val="_x005f_x0000___x005f_x0008_p-NM7"/>
      <sheetName val="10_Linkway7"/>
      <sheetName val="11_Bus_Shelter-Bay7"/>
      <sheetName val="CANDY_BOQ7"/>
      <sheetName val="BLOCK-A_(MEA_SHEET)7"/>
      <sheetName val="Project_Budget_Worksheet7"/>
      <sheetName val="PROFITABILITY_ANALYSIS_(MONTH)7"/>
      <sheetName val="PROFITABILITY_ANALYSIS_(YTD)7"/>
      <sheetName val="Cash_Flow_Working7"/>
      <sheetName val="tender_allowances7"/>
      <sheetName val="Trial_Bal_7"/>
      <sheetName val="Balance_Sheet7"/>
      <sheetName val="Basic-Material_7"/>
      <sheetName val="TULIPS_PHASE-2_BOQ_FINAL7"/>
      <sheetName val="CABLE_DATA7"/>
      <sheetName val="MH(on_site)7"/>
      <sheetName val="CCTV_KAMERE_(2)7"/>
      <sheetName val="_x005f_x005f_x005f_x0000___x005f_x005f_x005f_x0008_p-N7"/>
      <sheetName val="___x005f_x005f_x005f_x0008_p-NMR7"/>
      <sheetName val="?__x005f_x0008_p-NMR7"/>
      <sheetName val="_x005f_x005f_x005f_x005f_x005f_x005f_x005f_x0000___x008"/>
      <sheetName val="___x005f_x005f_x005f_x005f_x005f_x005f_x005f_x0008_p-N7"/>
      <sheetName val="Master_Data_Sheet7"/>
      <sheetName val="Building_17"/>
      <sheetName val="___x005f_x005f_x005f_x005f_x005f_x005f_x005f_x005f_x008"/>
      <sheetName val="INDIGINEOUS_ITEMS_7"/>
      <sheetName val="Debits_as_on_12_04_087"/>
      <sheetName val="Adimi_bldg7"/>
      <sheetName val="Pump_House7"/>
      <sheetName val="Fuel_Regu_Station7"/>
      <sheetName val="1__Acquisition7"/>
      <sheetName val="Field_Values7"/>
      <sheetName val="10__&amp;_11__Rate_Code_&amp;_BQ7"/>
      <sheetName val="_x005f_x005f_x005f_x0000___x0057"/>
      <sheetName val="___x005f_x005f_x005f_x0008_p-NM7"/>
      <sheetName val="?__x005f_x005f_x005f_x0008_p-NMR7"/>
      <sheetName val="Load_Details-220kV7"/>
      <sheetName val="schedule_nos7"/>
      <sheetName val="MH_Compensate-Nov7"/>
      <sheetName val="Design_Sheet7"/>
      <sheetName val="pile_Fabrication7"/>
      <sheetName val="Top_Line_-_WWW7"/>
      <sheetName val="Pile_cap7"/>
      <sheetName val="Labour_&amp;_Plant7"/>
      <sheetName val="A_O_R_7"/>
      <sheetName val="Sectional__Summary7"/>
      <sheetName val="Labor_abs-PW11"/>
      <sheetName val="Labor_abs-NMR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-_Plastering11"/>
      <sheetName val="Labor_bill_Water_proofing11"/>
      <sheetName val="Labor_bill_Hard_Finish11"/>
      <sheetName val="Labor_bill_MS_items11"/>
      <sheetName val="Break_up_Sheet11"/>
      <sheetName val="TBAL9697_-group_wise__sdpl11"/>
      <sheetName val="Rate_analysis11"/>
      <sheetName val="BOQ_Distribution10"/>
      <sheetName val="Labor_bills_19_08_0610"/>
      <sheetName val="site_fab&amp;ernstr10"/>
      <sheetName val="new_tech_flt_bldg10"/>
      <sheetName val="Approved_MTD_Proj_#'s10"/>
      <sheetName val="Sheet3_(2)9"/>
      <sheetName val="SUPPLY_-Sanitary_Fixtures9"/>
      <sheetName val="ITEMS_FOR_CIVIL_TENDER9"/>
      <sheetName val="Portfolio_Summary8"/>
      <sheetName val="Kristal_Court9"/>
      <sheetName val="3cd_Annexure9"/>
      <sheetName val="August_TB9"/>
      <sheetName val="CFForecast_detail9"/>
      <sheetName val="Basement_Budget8"/>
      <sheetName val="Jams_&amp;_Cills8"/>
      <sheetName val="_x005f_x0000___x005f_x0008_p-NMR8"/>
      <sheetName val="___x005f_x0008_p-NMR8"/>
      <sheetName val="Fin__Assumpt__-_Sensitivities8"/>
      <sheetName val="IO_LIST8"/>
      <sheetName val="Builtup_Area9"/>
      <sheetName val="Other_assumptions9"/>
      <sheetName val="Boq_-_Flats8"/>
      <sheetName val="PROJECT_BRIEF(EX_NEW)8"/>
      <sheetName val="Basic_Rates8"/>
      <sheetName val="BUSDUCT_SUMMARY-SUBSTATION8"/>
      <sheetName val="BASIS_-DEC_088"/>
      <sheetName val="_8"/>
      <sheetName val="HARGA_MATERIAL8"/>
      <sheetName val="_x005f_x0000___x005f_x0008_p-NM8"/>
      <sheetName val="10_Linkway8"/>
      <sheetName val="11_Bus_Shelter-Bay8"/>
      <sheetName val="CANDY_BOQ8"/>
      <sheetName val="BLOCK-A_(MEA_SHEET)8"/>
      <sheetName val="Project_Budget_Worksheet8"/>
      <sheetName val="PROFITABILITY_ANALYSIS_(MONTH)8"/>
      <sheetName val="PROFITABILITY_ANALYSIS_(YTD)8"/>
      <sheetName val="Cash_Flow_Working8"/>
      <sheetName val="tender_allowances8"/>
      <sheetName val="Trial_Bal_8"/>
      <sheetName val="Balance_Sheet8"/>
      <sheetName val="Basic-Material_8"/>
      <sheetName val="TULIPS_PHASE-2_BOQ_FINAL8"/>
      <sheetName val="CABLE_DATA8"/>
      <sheetName val="MH(on_site)8"/>
      <sheetName val="CCTV_KAMERE_(2)8"/>
      <sheetName val="_x005f_x005f_x005f_x0000___x005f_x005f_x005f_x0008_p-N8"/>
      <sheetName val="___x005f_x005f_x005f_x0008_p-NMR8"/>
      <sheetName val="?__x005f_x0008_p-NMR8"/>
      <sheetName val="_x005f_x005f_x005f_x005f_x005f_x005f_x005f_x0000___x009"/>
      <sheetName val="___x005f_x005f_x005f_x005f_x005f_x005f_x005f_x0008_p-N8"/>
      <sheetName val="Master_Data_Sheet8"/>
      <sheetName val="Building_18"/>
      <sheetName val="___x005f_x005f_x005f_x005f_x005f_x005f_x005f_x005f_x009"/>
      <sheetName val="INDIGINEOUS_ITEMS_8"/>
      <sheetName val="Debits_as_on_12_04_088"/>
      <sheetName val="Adimi_bldg8"/>
      <sheetName val="Pump_House8"/>
      <sheetName val="Fuel_Regu_Station8"/>
      <sheetName val="1__Acquisition8"/>
      <sheetName val="Field_Values8"/>
      <sheetName val="10__&amp;_11__Rate_Code_&amp;_BQ8"/>
      <sheetName val="_x005f_x005f_x005f_x0000___x0058"/>
      <sheetName val="___x005f_x005f_x005f_x0008_p-NM8"/>
      <sheetName val="?__x005f_x005f_x005f_x0008_p-NMR8"/>
      <sheetName val="Load_Details-220kV8"/>
      <sheetName val="schedule_nos8"/>
      <sheetName val="MH_Compensate-Nov8"/>
      <sheetName val="Design_Sheet8"/>
      <sheetName val="pile_Fabrication8"/>
      <sheetName val="Top_Line_-_WWW8"/>
      <sheetName val="Pile_cap8"/>
      <sheetName val="Labour_&amp;_Plant8"/>
      <sheetName val="A_O_R_8"/>
      <sheetName val="Sectional__Summary8"/>
      <sheetName val="Labor_abs-PW12"/>
      <sheetName val="Labor_abs-NMR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-_Plastering12"/>
      <sheetName val="Labor_bill_Water_proofing12"/>
      <sheetName val="Labor_bill_Hard_Finish12"/>
      <sheetName val="Labor_bill_MS_items12"/>
      <sheetName val="Break_up_Sheet12"/>
      <sheetName val="TBAL9697_-group_wise__sdpl12"/>
      <sheetName val="Rate_analysis12"/>
      <sheetName val="BOQ_Distribution11"/>
      <sheetName val="Labor_bills_19_08_0611"/>
      <sheetName val="site_fab&amp;ernstr11"/>
      <sheetName val="new_tech_flt_bldg11"/>
      <sheetName val="Approved_MTD_Proj_#'s11"/>
      <sheetName val="Sheet3_(2)10"/>
      <sheetName val="SUPPLY_-Sanitary_Fixtures10"/>
      <sheetName val="ITEMS_FOR_CIVIL_TENDER10"/>
      <sheetName val="Portfolio_Summary9"/>
      <sheetName val="Kristal_Court10"/>
      <sheetName val="3cd_Annexure10"/>
      <sheetName val="August_TB10"/>
      <sheetName val="CFForecast_detail10"/>
      <sheetName val="Basement_Budget9"/>
      <sheetName val="Jams_&amp;_Cills9"/>
      <sheetName val="_x005f_x0000___x005f_x0008_p-NMR9"/>
      <sheetName val="___x005f_x0008_p-NMR9"/>
      <sheetName val="Fin__Assumpt__-_Sensitivities9"/>
      <sheetName val="IO_LIST9"/>
      <sheetName val="Builtup_Area10"/>
      <sheetName val="Other_assumptions10"/>
      <sheetName val="Boq_-_Flats9"/>
      <sheetName val="PROJECT_BRIEF(EX_NEW)9"/>
      <sheetName val="Basic_Rates9"/>
      <sheetName val="BUSDUCT_SUMMARY-SUBSTATION9"/>
      <sheetName val="BASIS_-DEC_089"/>
      <sheetName val="_9"/>
      <sheetName val="HARGA_MATERIAL9"/>
      <sheetName val="_x005f_x0000___x005f_x0008_p-NM9"/>
      <sheetName val="10_Linkway9"/>
      <sheetName val="11_Bus_Shelter-Bay9"/>
      <sheetName val="CANDY_BOQ9"/>
      <sheetName val="BLOCK-A_(MEA_SHEET)9"/>
      <sheetName val="Project_Budget_Worksheet9"/>
      <sheetName val="PROFITABILITY_ANALYSIS_(MONTH)9"/>
      <sheetName val="PROFITABILITY_ANALYSIS_(YTD)9"/>
      <sheetName val="Cash_Flow_Working9"/>
      <sheetName val="tender_allowances9"/>
      <sheetName val="Trial_Bal_9"/>
      <sheetName val="Balance_Sheet9"/>
      <sheetName val="Basic-Material_9"/>
      <sheetName val="TULIPS_PHASE-2_BOQ_FINAL9"/>
      <sheetName val="CABLE_DATA9"/>
      <sheetName val="MH(on_site)9"/>
      <sheetName val="CCTV_KAMERE_(2)9"/>
      <sheetName val="_x005f_x005f_x005f_x0000___x005f_x005f_x005f_x0008_p-N9"/>
      <sheetName val="___x005f_x005f_x005f_x0008_p-NMR9"/>
      <sheetName val="?__x005f_x0008_p-NMR9"/>
      <sheetName val="_x005f_x005f_x005f_x005f_x005f_x005f_x005f_x0000___x010"/>
      <sheetName val="___x005f_x005f_x005f_x005f_x005f_x005f_x005f_x0008_p-N9"/>
      <sheetName val="Master_Data_Sheet9"/>
      <sheetName val="Building_19"/>
      <sheetName val="___x005f_x005f_x005f_x005f_x005f_x005f_x005f_x005f_x010"/>
      <sheetName val="INDIGINEOUS_ITEMS_9"/>
      <sheetName val="Debits_as_on_12_04_089"/>
      <sheetName val="Adimi_bldg9"/>
      <sheetName val="Pump_House9"/>
      <sheetName val="Fuel_Regu_Station9"/>
      <sheetName val="1__Acquisition9"/>
      <sheetName val="Field_Values9"/>
      <sheetName val="10__&amp;_11__Rate_Code_&amp;_BQ9"/>
      <sheetName val="_x005f_x005f_x005f_x0000___x0059"/>
      <sheetName val="___x005f_x005f_x005f_x0008_p-NM9"/>
      <sheetName val="?__x005f_x005f_x005f_x0008_p-NMR9"/>
      <sheetName val="Load_Details-220kV9"/>
      <sheetName val="schedule_nos9"/>
      <sheetName val="MH_Compensate-Nov9"/>
      <sheetName val="Design_Sheet9"/>
      <sheetName val="pile_Fabrication9"/>
      <sheetName val="Top_Line_-_WWW9"/>
      <sheetName val="Pile_cap9"/>
      <sheetName val="Labour_&amp;_Plant9"/>
      <sheetName val="A_O_R_9"/>
      <sheetName val="Sectional__Summary9"/>
      <sheetName val="Labor_abs-PW13"/>
      <sheetName val="Labor_abs-NMR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-_Plastering13"/>
      <sheetName val="Labor_bill_Water_proofing13"/>
      <sheetName val="Labor_bill_Hard_Finish13"/>
      <sheetName val="Labor_bill_MS_items13"/>
      <sheetName val="Break_up_Sheet13"/>
      <sheetName val="TBAL9697_-group_wise__sdpl13"/>
      <sheetName val="Rate_analysis13"/>
      <sheetName val="BOQ_Distribution12"/>
      <sheetName val="Labor_bills_19_08_0612"/>
      <sheetName val="site_fab&amp;ernstr12"/>
      <sheetName val="new_tech_flt_bldg12"/>
      <sheetName val="Approved_MTD_Proj_#'s12"/>
      <sheetName val="Sheet3_(2)11"/>
      <sheetName val="SUPPLY_-Sanitary_Fixtures11"/>
      <sheetName val="ITEMS_FOR_CIVIL_TENDER11"/>
      <sheetName val="Portfolio_Summary10"/>
      <sheetName val="Kristal_Court11"/>
      <sheetName val="3cd_Annexure11"/>
      <sheetName val="August_TB11"/>
      <sheetName val="CFForecast_detail11"/>
      <sheetName val="Basement_Budget10"/>
      <sheetName val="Jams_&amp;_Cills10"/>
      <sheetName val="_x005f_x0000___x005f_x0008_p-NMR10"/>
      <sheetName val="___x005f_x0008_p-NMR10"/>
      <sheetName val="Fin__Assumpt__-_Sensitivities10"/>
      <sheetName val="IO_LIST10"/>
      <sheetName val="Builtup_Area11"/>
      <sheetName val="Other_assumptions11"/>
      <sheetName val="Boq_-_Flats10"/>
      <sheetName val="PROJECT_BRIEF(EX_NEW)10"/>
      <sheetName val="Basic_Rates10"/>
      <sheetName val="BUSDUCT_SUMMARY-SUBSTATION10"/>
      <sheetName val="BASIS_-DEC_0810"/>
      <sheetName val="_10"/>
      <sheetName val="HARGA_MATERIAL10"/>
      <sheetName val="_x005f_x0000___x005f_x0008_p-NM10"/>
      <sheetName val="10_Linkway10"/>
      <sheetName val="11_Bus_Shelter-Bay10"/>
      <sheetName val="CANDY_BOQ10"/>
      <sheetName val="BLOCK-A_(MEA_SHEET)10"/>
      <sheetName val="Project_Budget_Worksheet10"/>
      <sheetName val="PROFITABILITY_ANALYSIS_(MONTH10"/>
      <sheetName val="PROFITABILITY_ANALYSIS_(YTD)10"/>
      <sheetName val="Cash_Flow_Working10"/>
      <sheetName val="tender_allowances10"/>
      <sheetName val="Trial_Bal_10"/>
      <sheetName val="Balance_Sheet10"/>
      <sheetName val="Basic-Material_10"/>
      <sheetName val="TULIPS_PHASE-2_BOQ_FINAL10"/>
      <sheetName val="CABLE_DATA10"/>
      <sheetName val="MH(on_site)10"/>
      <sheetName val="CCTV_KAMERE_(2)10"/>
      <sheetName val="_x005f_x005f_x005f_x0000___x005f_x005f_x005f_x0008_p-10"/>
      <sheetName val="___x005f_x005f_x005f_x0008_p-NMR10"/>
      <sheetName val="?__x005f_x0008_p-NMR10"/>
      <sheetName val="_x005f_x005f_x005f_x005f_x005f_x005f_x005f_x0000___x011"/>
      <sheetName val="___x005f_x005f_x005f_x005f_x005f_x005f_x005f_x0008_p-10"/>
      <sheetName val="Master_Data_Sheet10"/>
      <sheetName val="Building_110"/>
      <sheetName val="___x005f_x005f_x005f_x005f_x005f_x005f_x005f_x005f_x011"/>
      <sheetName val="INDIGINEOUS_ITEMS_10"/>
      <sheetName val="Debits_as_on_12_04_0810"/>
      <sheetName val="Adimi_bldg10"/>
      <sheetName val="Pump_House10"/>
      <sheetName val="Fuel_Regu_Station10"/>
      <sheetName val="1__Acquisition10"/>
      <sheetName val="Field_Values10"/>
      <sheetName val="10__&amp;_11__Rate_Code_&amp;_BQ10"/>
      <sheetName val="_x005f_x005f_x005f_x0000___x00510"/>
      <sheetName val="___x005f_x005f_x005f_x0008_p-NM10"/>
      <sheetName val="?__x005f_x005f_x005f_x0008_p-NMR10"/>
      <sheetName val="Load_Details-220kV10"/>
      <sheetName val="schedule_nos10"/>
      <sheetName val="MH_Compensate-Nov10"/>
      <sheetName val="Design_Sheet10"/>
      <sheetName val="pile_Fabrication10"/>
      <sheetName val="Top_Line_-_WWW10"/>
      <sheetName val="Pile_cap10"/>
      <sheetName val="Labour_&amp;_Plant10"/>
      <sheetName val="A_O_R_10"/>
      <sheetName val="Sectional__Summary10"/>
      <sheetName val="Labor_abs-PW14"/>
      <sheetName val="Labor_abs-NMR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-_Plastering14"/>
      <sheetName val="Labor_bill_Water_proofing14"/>
      <sheetName val="Labor_bill_Hard_Finish14"/>
      <sheetName val="Labor_bill_MS_items14"/>
      <sheetName val="Break_up_Sheet14"/>
      <sheetName val="TBAL9697_-group_wise__sdpl14"/>
      <sheetName val="Rate_analysis14"/>
      <sheetName val="BOQ_Distribution13"/>
      <sheetName val="Labor_bills_19_08_0613"/>
      <sheetName val="site_fab&amp;ernstr13"/>
      <sheetName val="new_tech_flt_bldg13"/>
      <sheetName val="Approved_MTD_Proj_#'s13"/>
      <sheetName val="Sheet3_(2)12"/>
      <sheetName val="SUPPLY_-Sanitary_Fixtures12"/>
      <sheetName val="ITEMS_FOR_CIVIL_TENDER12"/>
      <sheetName val="Portfolio_Summary11"/>
      <sheetName val="Kristal_Court12"/>
      <sheetName val="3cd_Annexure12"/>
      <sheetName val="August_TB12"/>
      <sheetName val="CFForecast_detail12"/>
      <sheetName val="Basement_Budget11"/>
      <sheetName val="Jams_&amp;_Cills11"/>
      <sheetName val="_x005f_x0000___x005f_x0008_p-NMR11"/>
      <sheetName val="___x005f_x0008_p-NMR11"/>
      <sheetName val="Fin__Assumpt__-_Sensitivities11"/>
      <sheetName val="IO_LIST11"/>
      <sheetName val="Builtup_Area12"/>
      <sheetName val="Other_assumptions12"/>
      <sheetName val="Boq_-_Flats11"/>
      <sheetName val="PROJECT_BRIEF(EX_NEW)11"/>
      <sheetName val="Basic_Rates11"/>
      <sheetName val="BUSDUCT_SUMMARY-SUBSTATION11"/>
      <sheetName val="BASIS_-DEC_0811"/>
      <sheetName val="_11"/>
      <sheetName val="HARGA_MATERIAL11"/>
      <sheetName val="_x005f_x0000___x005f_x0008_p-NM11"/>
      <sheetName val="10_Linkway11"/>
      <sheetName val="11_Bus_Shelter-Bay11"/>
      <sheetName val="CANDY_BOQ11"/>
      <sheetName val="BLOCK-A_(MEA_SHEET)11"/>
      <sheetName val="Project_Budget_Worksheet11"/>
      <sheetName val="PROFITABILITY_ANALYSIS_(MONTH11"/>
      <sheetName val="PROFITABILITY_ANALYSIS_(YTD)11"/>
      <sheetName val="Cash_Flow_Working11"/>
      <sheetName val="tender_allowances11"/>
      <sheetName val="Trial_Bal_11"/>
      <sheetName val="Balance_Sheet11"/>
      <sheetName val="Basic-Material_11"/>
      <sheetName val="TULIPS_PHASE-2_BOQ_FINAL11"/>
      <sheetName val="CABLE_DATA11"/>
      <sheetName val="MH(on_site)11"/>
      <sheetName val="CCTV_KAMERE_(2)11"/>
      <sheetName val="_x005f_x005f_x005f_x0000___x005f_x005f_x005f_x0008_p-11"/>
      <sheetName val="___x005f_x005f_x005f_x0008_p-NMR11"/>
      <sheetName val="?__x005f_x0008_p-NMR11"/>
      <sheetName val="_x005f_x005f_x005f_x005f_x005f_x005f_x005f_x0000___x012"/>
      <sheetName val="___x005f_x005f_x005f_x005f_x005f_x005f_x005f_x0008_p-11"/>
      <sheetName val="Master_Data_Sheet11"/>
      <sheetName val="Building_111"/>
      <sheetName val="___x005f_x005f_x005f_x005f_x005f_x005f_x005f_x005f_x012"/>
      <sheetName val="INDIGINEOUS_ITEMS_11"/>
      <sheetName val="Debits_as_on_12_04_0811"/>
      <sheetName val="Adimi_bldg11"/>
      <sheetName val="Pump_House11"/>
      <sheetName val="Fuel_Regu_Station11"/>
      <sheetName val="1__Acquisition11"/>
      <sheetName val="Field_Values11"/>
      <sheetName val="10__&amp;_11__Rate_Code_&amp;_BQ11"/>
      <sheetName val="_x005f_x005f_x005f_x0000___x00511"/>
      <sheetName val="___x005f_x005f_x005f_x0008_p-NM11"/>
      <sheetName val="?__x005f_x005f_x005f_x0008_p-NMR11"/>
      <sheetName val="Load_Details-220kV11"/>
      <sheetName val="schedule_nos11"/>
      <sheetName val="MH_Compensate-Nov11"/>
      <sheetName val="Design_Sheet11"/>
      <sheetName val="pile_Fabrication11"/>
      <sheetName val="Top_Line_-_WWW11"/>
      <sheetName val="Pile_cap11"/>
      <sheetName val="Labour_&amp;_Plant11"/>
      <sheetName val="A_O_R_11"/>
      <sheetName val="Sectional__Summary11"/>
      <sheetName val="Combined Results "/>
      <sheetName val="Beams "/>
      <sheetName val="Roof  PT beams "/>
      <sheetName val="Core Data"/>
      <sheetName val="Conc-BP"/>
      <sheetName val="BOQ (2)"/>
      <sheetName val="Meas.-Hotel Part"/>
      <sheetName val="공장별판관비배부"/>
      <sheetName val="Insts"/>
      <sheetName val="PriceCalculation"/>
      <sheetName val="C23"/>
      <sheetName val="31st_Oct"/>
      <sheetName val="01st_Nov"/>
      <sheetName val="BQ"/>
      <sheetName val="Opening_Date"/>
      <sheetName val="01하반기노임"/>
      <sheetName val="MT DEW AMP RELAUNCH"/>
      <sheetName val="PriceSummary"/>
      <sheetName val=" Structural"/>
      <sheetName val="OH-Recovery"/>
      <sheetName val="1-G1"/>
      <sheetName val="eqpt &amp; manpower tabulation"/>
      <sheetName val="COA"/>
      <sheetName val="Rate Analysis1"/>
      <sheetName val="Open"/>
      <sheetName val="Sch__Areas1"/>
      <sheetName val="Sch__Areas"/>
      <sheetName val="Sch__Areas2"/>
      <sheetName val="Sch__Areas3"/>
      <sheetName val="Steel_2"/>
      <sheetName val="VC_Summary1"/>
      <sheetName val="?__x005f_x005f_x005f_x005f_x005f_x005f_x005f_x0008_p-NM"/>
      <sheetName val="__x005"/>
      <sheetName val="__p-NM"/>
      <sheetName val="?__x005f_x005f_x005f_x005f_x005f_x005f_x005f_x005f_x005"/>
      <sheetName val="___x005"/>
      <sheetName val="입찰내역_발주처_양식"/>
      <sheetName val="%_prog_figs_-u5_and_total"/>
      <sheetName val="GM_&amp;_TA"/>
      <sheetName val="Sch. Areas"/>
      <sheetName val="Named_ranges5"/>
      <sheetName val="Master_Equipment_List5"/>
      <sheetName val="Notes_for_BOQ5"/>
      <sheetName val="except_wiring5"/>
      <sheetName val="Overall_Summary_5"/>
      <sheetName val="CL_MEP_-VOL_35"/>
      <sheetName val="4__Capex5"/>
      <sheetName val="5__Opex5"/>
      <sheetName val="총괄표_(2)5"/>
      <sheetName val="Steel_3"/>
      <sheetName val="VC_Summary2"/>
      <sheetName val="?__x005f_x005f_x005f_x005f_x005f_x005f_x005f_x0008_p-N1"/>
      <sheetName val="___x005f_x005f_x005f_x005f_x0051"/>
      <sheetName val="___x005f_x005f_x0051"/>
      <sheetName val="?__x005f_x005f_x005f_x005f_x005f_x005f_x005f_x005f_x001"/>
      <sheetName val="___x0051"/>
      <sheetName val="입찰내역_발주처_양식1"/>
      <sheetName val="%_prog_figs_-u5_and_total1"/>
      <sheetName val="GM_&amp;_TA1"/>
      <sheetName val="Main_Sum_(Model_B)1"/>
      <sheetName val="Main_Sum1"/>
      <sheetName val="Rates_Analysis"/>
      <sheetName val="1_Summary"/>
      <sheetName val="Staff_JV"/>
      <sheetName val="Precios"/>
      <sheetName val="Recon Template"/>
      <sheetName val="#3e1_gcr"/>
      <sheetName val="Key Assumptions"/>
      <sheetName val="Faktor"/>
      <sheetName val="DWR"/>
      <sheetName val="INTSHEET"/>
      <sheetName val="INTSHEET3"/>
      <sheetName val="6PILE  (돌출)"/>
      <sheetName val="Labour Rate"/>
      <sheetName val="FITZ MORT 94"/>
      <sheetName val="BOQ ( Only Ground floor ) "/>
      <sheetName val="Mat_Cost"/>
      <sheetName val="Projects"/>
      <sheetName val="INFLUENCES ON GM"/>
      <sheetName val="Basic"/>
      <sheetName val="L&amp;D 2015-16"/>
      <sheetName val="Annexure"/>
      <sheetName val="Excavation"/>
      <sheetName val="Ass"/>
      <sheetName val="Schedules PL"/>
      <sheetName val="Schedules BS"/>
      <sheetName val="Service Function"/>
      <sheetName val="RA_markate"/>
      <sheetName val="DMS_Configurator"/>
      <sheetName val="tie beam"/>
      <sheetName val="footings"/>
      <sheetName val="intaccrual"/>
      <sheetName val="sbu"/>
      <sheetName val="Dred_Mining"/>
      <sheetName val="OpenSched2"/>
      <sheetName val="Sheet8"/>
      <sheetName val="HYDROTEST DIAGRAM"/>
      <sheetName val="ind.prop."/>
      <sheetName val="실행철강하도"/>
      <sheetName val="words"/>
      <sheetName val="Gully"/>
      <sheetName val="office"/>
      <sheetName val="Material&amp;equipment"/>
      <sheetName val="BILL 1"/>
      <sheetName val="ind_prop_"/>
      <sheetName val="eqpt_&amp;_manpower_tabulation"/>
      <sheetName val="ind_prop_1"/>
      <sheetName val="eqpt_&amp;_manpower_tabulation1"/>
      <sheetName val="ind_prop_2"/>
      <sheetName val="eqpt_&amp;_manpower_tabulation2"/>
      <sheetName val="ind_prop_3"/>
      <sheetName val="eqpt_&amp;_manpower_tabulation3"/>
      <sheetName val="ind_prop_4"/>
      <sheetName val="eqpt_&amp;_manpower_tabulation4"/>
      <sheetName val="ind_prop_5"/>
      <sheetName val="eqpt_&amp;_manpower_tabulation5"/>
      <sheetName val="ind_prop_6"/>
      <sheetName val="eqpt_&amp;_manpower_tabulation6"/>
      <sheetName val="ind_prop_7"/>
      <sheetName val="eqpt_&amp;_manpower_tabulation7"/>
      <sheetName val="ind_prop_8"/>
      <sheetName val="eqpt_&amp;_manpower_tabulation8"/>
      <sheetName val="U.P List"/>
      <sheetName val="Price Marking"/>
      <sheetName val="manpower"/>
      <sheetName val="Materials"/>
      <sheetName val="Eqpt"/>
      <sheetName val="BILL_1"/>
      <sheetName val="HYDROTEST_DIAGRAM"/>
      <sheetName val="BILL_11"/>
      <sheetName val="HYDROTEST_DIAGRAM1"/>
      <sheetName val="4. CMA Calculations"/>
      <sheetName val="ind_prop_9"/>
      <sheetName val="eqpt_&amp;_manpower_tabulation9"/>
      <sheetName val="ind_prop_10"/>
      <sheetName val="eqpt_&amp;_manpower_tabulation10"/>
      <sheetName val="Hic_150EOffice"/>
      <sheetName val="GRSummary"/>
      <sheetName val="2 Siteworks"/>
      <sheetName val="LTR-2"/>
      <sheetName val="2018PLAN CTC"/>
      <sheetName val="2-SITE "/>
      <sheetName val="Breakdown"/>
      <sheetName val="CASH FLOW (2018 Plan)"/>
      <sheetName val="Equipt &amp; Veh (2018 Plan)"/>
      <sheetName val="TELECOM TRENCH,DUCT"/>
      <sheetName val="Naming Convention"/>
      <sheetName val="Tables"/>
      <sheetName val="U-RATE"/>
      <sheetName val="AN"/>
      <sheetName val="Phase 1"/>
      <sheetName val="Link from DS"/>
      <sheetName val="Phase_1"/>
      <sheetName val="Link_from_DS"/>
      <sheetName val="Plan"/>
      <sheetName val="12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reenSheet"/>
      <sheetName val="Flat Info _ODD"/>
      <sheetName val="OST_DATA"/>
      <sheetName val="gen"/>
      <sheetName val="Material Rate"/>
      <sheetName val="Publicbuilding"/>
      <sheetName val="TASKRSRC (2)"/>
      <sheetName val="TARGET"/>
      <sheetName val="BASELINE"/>
      <sheetName val="PC Master List"/>
      <sheetName val="Client Vs.PC"/>
      <sheetName val="Direct cost shed A-2 "/>
      <sheetName val="list"/>
      <sheetName val="재1"/>
      <sheetName val="HEAD"/>
      <sheetName val="Boq (Main Building)"/>
      <sheetName val="BOQ-Part1"/>
      <sheetName val="RCC Rates"/>
      <sheetName val="STAFFSCHED "/>
      <sheetName val="final estimate"/>
      <sheetName val="DB"/>
      <sheetName val="Abstract Sheet"/>
      <sheetName val="AutoOpen Stub Data"/>
      <sheetName val="Gen Abs"/>
      <sheetName val="사진"/>
      <sheetName val="Bill No.3"/>
      <sheetName val="BulkCheckLibrary"/>
      <sheetName val="po"/>
      <sheetName val="   T   "/>
      <sheetName val="MU-151 PPA"/>
      <sheetName val="DFC"/>
      <sheetName val="Dues"/>
      <sheetName val="수입"/>
      <sheetName val="BOQ건축"/>
      <sheetName val="ONE TIME"/>
      <sheetName val="WORKCAP1"/>
      <sheetName val="PROFIT"/>
      <sheetName val="MSM Vol"/>
      <sheetName val="Reconciliation"/>
      <sheetName val="G.1-AV SYSTEM"/>
      <sheetName val="Labor_abs-PW17"/>
      <sheetName val="Labor_abs-NMR17"/>
      <sheetName val="Labor_bill_-_Mob17"/>
      <sheetName val="Labor_bill_-_EW17"/>
      <sheetName val="Labor_bill_-_Concrete17"/>
      <sheetName val="Labor_bill_-_Shuttering17"/>
      <sheetName val="Labor_bills_-_reinf17"/>
      <sheetName val="Labor_bills_-_Block_masonry17"/>
      <sheetName val="Labor_bill_-_Plastering17"/>
      <sheetName val="Labor_bill_Water_proofing17"/>
      <sheetName val="Labor_bill_Hard_Finish17"/>
      <sheetName val="Labor_bill_MS_items17"/>
      <sheetName val="Break_up_Sheet17"/>
      <sheetName val="TBAL9697_-group_wise__sdpl17"/>
      <sheetName val="Rate_analysis17"/>
      <sheetName val="_p-NMR5"/>
      <sheetName val="?_p-NMR1"/>
      <sheetName val="__p-NMR5"/>
      <sheetName val="Labor_bills_19_08_0616"/>
      <sheetName val="Other_assumptions15"/>
      <sheetName val="Boq_-_Flats14"/>
      <sheetName val="Builtup_Area15"/>
      <sheetName val="site_fab&amp;ernstr16"/>
      <sheetName val="new_tech_flt_bldg16"/>
      <sheetName val="BOQ_Distribution16"/>
      <sheetName val="Approved_MTD_Proj_#'s16"/>
      <sheetName val="Sheet3_(2)15"/>
      <sheetName val="3cd_Annexure15"/>
      <sheetName val="SUPPLY_-Sanitary_Fixtures15"/>
      <sheetName val="ITEMS_FOR_CIVIL_TENDER15"/>
      <sheetName val="August_TB15"/>
      <sheetName val="Kristal_Court15"/>
      <sheetName val="PROJECT_BRIEF(EX_NEW)14"/>
      <sheetName val="_x005f_x0000___x005f_x0008_p-NMR14"/>
      <sheetName val="___x005f_x0008_p-NMR14"/>
      <sheetName val="Variance_Report6"/>
      <sheetName val="Pile_cap14"/>
      <sheetName val="Top_Line_-_WWW14"/>
      <sheetName val="Adimi_bldg14"/>
      <sheetName val="Pump_House14"/>
      <sheetName val="Fuel_Regu_Station14"/>
      <sheetName val="Basement_Budget14"/>
      <sheetName val="RENT_MASTER_FILE6"/>
      <sheetName val="S1_5"/>
      <sheetName val="S7B_5"/>
      <sheetName val="S6_5"/>
      <sheetName val="S3_5"/>
      <sheetName val="S2_5"/>
      <sheetName val="schedule_nos14"/>
      <sheetName val="CABLE_DATA14"/>
      <sheetName val="CFForecast_detail15"/>
      <sheetName val="BASIS_-DEC_0814"/>
      <sheetName val="Project_Budget_Worksheet14"/>
      <sheetName val="_x005f_x0000___x005f_x0008_p-NM14"/>
      <sheetName val="Field_Values14"/>
      <sheetName val="Jams_&amp;_Cills14"/>
      <sheetName val="10_Linkway14"/>
      <sheetName val="11_Bus_Shelter-Bay14"/>
      <sheetName val="CANDY_BOQ14"/>
      <sheetName val="Basic_Rates14"/>
      <sheetName val="BUSDUCT_SUMMARY-SUBSTATION14"/>
      <sheetName val="10__&amp;_11__Rate_Code_&amp;_BQ14"/>
      <sheetName val="BLOCK-A_(MEA_SHEET)14"/>
      <sheetName val="Cash_Flow_Working14"/>
      <sheetName val="Trial_Bal_14"/>
      <sheetName val="Balance_Sheet14"/>
      <sheetName val="1__Acquisition14"/>
      <sheetName val="INPUT_SHEET6"/>
      <sheetName val="13__Steel_-_Ratio6"/>
      <sheetName val="4K_-_(6a)_Non_Manual_Breakdown6"/>
      <sheetName val="9__Package_split_-_Cost_6"/>
      <sheetName val="beam-reinft-IIInd_floor6"/>
      <sheetName val="Data_sheet6"/>
      <sheetName val="Area_Statement_6"/>
      <sheetName val="_14"/>
      <sheetName val="HARGA_MATERIAL14"/>
      <sheetName val="PROFITABILITY_ANALYSIS_(MONTH14"/>
      <sheetName val="PROFITABILITY_ANALYSIS_(YTD)14"/>
      <sheetName val="Slab-07_3"/>
      <sheetName val="IO_LIST14"/>
      <sheetName val="pile_Fabrication14"/>
      <sheetName val="tender_allowances14"/>
      <sheetName val="MH(on_site)14"/>
      <sheetName val="Load_Details-220kV14"/>
      <sheetName val="2_civil-RA6"/>
      <sheetName val="labour_coeff6"/>
      <sheetName val="Summary_year_Plan4"/>
      <sheetName val="old_boq6"/>
      <sheetName val="_x005f_x005f_x005f_x0000___x005f_x005f_x005f_x0008_p-14"/>
      <sheetName val="___x005f_x005f_x005f_x0008_p-NMR14"/>
      <sheetName val="Boq_Block_A4"/>
      <sheetName val="Earthing_Tower-1_Superseded4"/>
      <sheetName val="Appendix_8A4"/>
      <sheetName val="Structure_Bills_Qty4"/>
      <sheetName val="?__x005f_x0008_p-NMR14"/>
      <sheetName val="3__Elemental_Summary3"/>
      <sheetName val="QS_Name3"/>
      <sheetName val="12a__CFTable3"/>
      <sheetName val="Basic-Material_14"/>
      <sheetName val="TULIPS_PHASE-2_BOQ_FINAL14"/>
      <sheetName val="Debits_as_on_12_04_0814"/>
      <sheetName val="CCTV_KAMERE_(2)14"/>
      <sheetName val="Portfolio_Summary14"/>
      <sheetName val="Fin__Assumpt__-_Sensitivities14"/>
      <sheetName val="Master_Data_Sheet14"/>
      <sheetName val="Building_114"/>
      <sheetName val="_x005f_x005f_x005f_x005f_x005f_x005f_x005f_x0000___x015"/>
      <sheetName val="___x005f_x005f_x005f_x005f_x005f_x005f_x005f_x0008_p-14"/>
      <sheetName val="___x005f_x005f_x005f_x005f_x005f_x005f_x005f_x005f_x015"/>
      <sheetName val="INDIGINEOUS_ITEMS_14"/>
      <sheetName val="_x005f_x005f_x005f_x0000___x00514"/>
      <sheetName val="___x005f_x005f_x005f_x0008_p-NM14"/>
      <sheetName val="?__x005f_x005f_x005f_x0008_p-NMR14"/>
      <sheetName val="MH_Compensate-Nov14"/>
      <sheetName val="Design_Sheet14"/>
      <sheetName val="총괄표_(2)8"/>
      <sheetName val="Notes_for_BOQ8"/>
      <sheetName val="Labour_productivity5"/>
      <sheetName val="A_O_R_14"/>
      <sheetName val="Quote_to_send5"/>
      <sheetName val="Working_back_up5"/>
      <sheetName val="Manpower_cost5"/>
      <sheetName val="Machinery_cost5"/>
      <sheetName val="공사비_내역_(가)4"/>
      <sheetName val="Named_ranges8"/>
      <sheetName val="Master_Equipment_List8"/>
      <sheetName val="except_wiring8"/>
      <sheetName val="Overall_Summary_8"/>
      <sheetName val="CL_MEP_-VOL_38"/>
      <sheetName val="4__Capex8"/>
      <sheetName val="5__Opex8"/>
      <sheetName val="Architect_Area_&amp;_Cost_Inputs4"/>
      <sheetName val="S1_new-Overall-with_C8A4"/>
      <sheetName val="Wood_Works-R1_4"/>
      <sheetName val="Summary_-New_with_C8A)4"/>
      <sheetName val="Boq_C7+A-MEP_4"/>
      <sheetName val="Interim_--&gt;_Top4"/>
      <sheetName val="Steel_6"/>
      <sheetName val="Main_Sum_(Model_B)4"/>
      <sheetName val="Main_Sum4"/>
      <sheetName val="RAW_DATA3"/>
      <sheetName val="Depreciation_Methods3"/>
      <sheetName val="cashflows_&amp;IRR3"/>
      <sheetName val="RCC_Ret__Wall3"/>
      <sheetName val="Charge_Rates3"/>
      <sheetName val="Detail_In_Door_Stad3"/>
      <sheetName val="RCC,Ret__Wall3"/>
      <sheetName val="___x005f_x005f_x005f_x005f_x0054"/>
      <sheetName val="Concrete_measurement3"/>
      <sheetName val="Model_(Not_Merged)2"/>
      <sheetName val="Labour_&amp;_Plant14"/>
      <sheetName val="SCHEDULE_(9)3"/>
      <sheetName val="Materials_Cost2"/>
      <sheetName val="Intro_3"/>
      <sheetName val="_p-NM5"/>
      <sheetName val="S_&amp;_A6"/>
      <sheetName val="Own_summary6"/>
      <sheetName val="Labour_Rate_6"/>
      <sheetName val="Net_TB3"/>
      <sheetName val="Purchases_FWJ3"/>
      <sheetName val="Cost_Sheet3"/>
      <sheetName val="MN_T_B_3"/>
      <sheetName val="Performance_Report3"/>
      <sheetName val="Sectional__Summary14"/>
      <sheetName val="final_abstract2"/>
      <sheetName val="Main_Sheet4"/>
      <sheetName val="Project_Plan_-_WWW4"/>
      <sheetName val="Area_Statement_PMO2"/>
      <sheetName val="Material_2"/>
      <sheetName val="Materials_Cost(PCC)2"/>
      <sheetName val="Summary_Sheets2"/>
      <sheetName val="_x005f_x0000___x0056"/>
      <sheetName val="___x005f_x0008_p-NM6"/>
      <sheetName val="Detail_P&amp;L2"/>
      <sheetName val="Assumption_Sheet2"/>
      <sheetName val="labour_rates2"/>
      <sheetName val="Civil_Boq2"/>
      <sheetName val="Pay__Recom2"/>
      <sheetName val="BOQ_T4B2"/>
      <sheetName val="CTRs_(HOURS)_2"/>
      <sheetName val="Legal_Risk_Analysis2"/>
      <sheetName val="Debtors_analysis2"/>
      <sheetName val="Executive_Summary2"/>
      <sheetName val="?__x005f_x005f_x005f_x005f_x005f_x005f_x005f_x0008_p-N4"/>
      <sheetName val="?__x005f_x005f_x005f_x005f_x005f_x005f_x005f_x005f_x004"/>
      <sheetName val="___x0054"/>
      <sheetName val="입찰내역_발주처_양식4"/>
      <sheetName val="%_prog_figs_-u5_and_total4"/>
      <sheetName val="GM_&amp;_TA4"/>
      <sheetName val="VC_Summary5"/>
      <sheetName val="Rate_analysis_civil2"/>
      <sheetName val="ELEC&amp;_MISC2"/>
      <sheetName val="Basic_Rate2"/>
      <sheetName val="PRICE_BID2"/>
      <sheetName val="Data_(adj_2"/>
      <sheetName val="Internal_Finishes_(Unit_types)2"/>
      <sheetName val="Fin_Sum2"/>
      <sheetName val="Cost_summary2"/>
      <sheetName val="APPENDIX_4_1a2"/>
      <sheetName val="PRECAST_lightconc-II2"/>
      <sheetName val="Project_ODC_NDEU2"/>
      <sheetName val="Rates_Analysis3"/>
      <sheetName val="1_Summary3"/>
      <sheetName val="_p-NMR1"/>
      <sheetName val="__p-NMR1"/>
      <sheetName val="SC_Cost_FEB_032"/>
      <sheetName val="India_F&amp;S_Template2"/>
      <sheetName val="Client_Addressess2"/>
      <sheetName val="Variation_Statement2"/>
      <sheetName val="Detailed_Summary_(3)2"/>
      <sheetName val="Door_&amp;_Window2"/>
      <sheetName val="Pacakges_split2"/>
      <sheetName val="SITE_OVERHEADS2"/>
      <sheetName val="cover_page2"/>
      <sheetName val="8__Cover2"/>
      <sheetName val="NOT_FULL_RESTRAINT2"/>
      <sheetName val="BEARING_&amp;_BUCKLING2"/>
      <sheetName val="Block_A_-_BOQ2"/>
      <sheetName val="Cashflow_projection2"/>
      <sheetName val="Form_62"/>
      <sheetName val="BOQ_-_Electrical2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Fill_this_out_first___2"/>
      <sheetName val="kppl_pl2"/>
      <sheetName val="ESGS_Costing2"/>
      <sheetName val="HR_&amp;_Admin_-_12"/>
      <sheetName val="On_Roll_-_Vacant2"/>
      <sheetName val="HR_&amp;_Admin2"/>
      <sheetName val="Birla_Sruya2"/>
      <sheetName val="Cor_Oh2"/>
      <sheetName val="S-4_Elemental_Sum2"/>
      <sheetName val="Plan_Summary2"/>
      <sheetName val="M_S_2"/>
      <sheetName val="E_&amp;_R2"/>
      <sheetName val="Quote_Sheet2"/>
      <sheetName val="__x0053"/>
      <sheetName val="MASTER_RATE_ANALYSIS2"/>
      <sheetName val="Lead_(Final)2"/>
      <sheetName val="Linked_Lead2"/>
      <sheetName val="OEM_2"/>
      <sheetName val="bs_BP_04_SA2"/>
      <sheetName val="_p-NM1"/>
      <sheetName val="_p-NMR2"/>
      <sheetName val="__p-NMR2"/>
      <sheetName val="_p-NMR3"/>
      <sheetName val="__p-NMR3"/>
      <sheetName val="_p-NM2"/>
      <sheetName val="_p-NM3"/>
      <sheetName val="_p-NMR4"/>
      <sheetName val="__p-NMR4"/>
      <sheetName val="_p-NM4"/>
      <sheetName val="Annexure_A2"/>
      <sheetName val="Opening_Date3"/>
      <sheetName val="CPIPE_12"/>
      <sheetName val="Scheme_Area_Details_Block___C22"/>
      <sheetName val="Mat_-Rates2"/>
      <sheetName val="RAJU_ASSO2"/>
      <sheetName val="SewerCAD_Pipe_Data-Actual_20402"/>
      <sheetName val="Elemental_Buildup3"/>
      <sheetName val="Bill_No_8_-_A2"/>
      <sheetName val="Malaysia_incl__RET2"/>
      <sheetName val="Selling_Price2"/>
      <sheetName val="Staff_JV3"/>
      <sheetName val="C1_(calcolo)2"/>
      <sheetName val="Mp-team_12"/>
      <sheetName val="BILL_-_1_GNRL_RMNT_(2)2"/>
      <sheetName val="BILL_-_2_CIVIL_WORKS2"/>
      <sheetName val="BILL_-_3_1_FIRE_SUP__2"/>
      <sheetName val="BILL_-_3_2_PLUMBING__(2)2"/>
      <sheetName val="BILL_-_3_3_HVAC_2"/>
      <sheetName val="BILL_-_3_4_AUTOMATION2"/>
      <sheetName val="BILL_-_4_ELEC_2"/>
      <sheetName val="BILL_5_-_PSUM2"/>
      <sheetName val="Price_Groups2"/>
      <sheetName val="Bill_no_82"/>
      <sheetName val="投标材料清单_2"/>
      <sheetName val="?_p-NM"/>
      <sheetName val="?__x005f_x005f_x005f_x0008_p-NM2"/>
      <sheetName val="?__x0052"/>
      <sheetName val="?__x005f_x005f_x005f_x005F_x0052"/>
      <sheetName val="_x005f_x005f_x005F?__x0053"/>
      <sheetName val="?__x005f_x005F_x0052"/>
      <sheetName val="?__x005f_x0008_p-NM2"/>
      <sheetName val="LOCAL_RATES2"/>
      <sheetName val="Plant_&amp;__Machinery2"/>
      <sheetName val="LA-_lookups2"/>
      <sheetName val="Inter_unit_set_off2"/>
      <sheetName val="GF_Columns2"/>
      <sheetName val="Combined_Results_2"/>
      <sheetName val="Beams_2"/>
      <sheetName val="Roof__PT_beams_2"/>
      <sheetName val="Core_Data2"/>
      <sheetName val="BOQ_(2)2"/>
      <sheetName val="Meas_-Hotel_Part2"/>
      <sheetName val="MT_DEW_AMP_RELAUNCH2"/>
      <sheetName val="Labor_abs-PW16"/>
      <sheetName val="Labor_abs-NMR16"/>
      <sheetName val="Labor_bill_-_Mob16"/>
      <sheetName val="Labor_bill_-_EW16"/>
      <sheetName val="Labor_bill_-_Concrete16"/>
      <sheetName val="Labor_bill_-_Shuttering16"/>
      <sheetName val="Labor_bills_-_reinf16"/>
      <sheetName val="Labor_bills_-_Block_masonry16"/>
      <sheetName val="Labor_bill_-_Plastering16"/>
      <sheetName val="Labor_bill_Water_proofing16"/>
      <sheetName val="Labor_bill_Hard_Finish16"/>
      <sheetName val="Labor_bill_MS_items16"/>
      <sheetName val="Break_up_Sheet16"/>
      <sheetName val="TBAL9697_-group_wise__sdpl16"/>
      <sheetName val="Rate_analysis16"/>
      <sheetName val="Labor_bills_19_08_0615"/>
      <sheetName val="Other_assumptions14"/>
      <sheetName val="Boq_-_Flats13"/>
      <sheetName val="Builtup_Area14"/>
      <sheetName val="BOQ_Distribution15"/>
      <sheetName val="PROJECT_BRIEF(EX_NEW)13"/>
      <sheetName val="site_fab&amp;ernstr15"/>
      <sheetName val="new_tech_flt_bldg15"/>
      <sheetName val="_x005f_x0000___x005f_x0008_p-NMR13"/>
      <sheetName val="___x005f_x0008_p-NMR13"/>
      <sheetName val="Approved_MTD_Proj_#'s15"/>
      <sheetName val="Sheet3_(2)14"/>
      <sheetName val="3cd_Annexure14"/>
      <sheetName val="SUPPLY_-Sanitary_Fixtures14"/>
      <sheetName val="ITEMS_FOR_CIVIL_TENDER14"/>
      <sheetName val="August_TB14"/>
      <sheetName val="Kristal_Court14"/>
      <sheetName val="Variance_Report5"/>
      <sheetName val="Pile_cap13"/>
      <sheetName val="Top_Line_-_WWW13"/>
      <sheetName val="Adimi_bldg13"/>
      <sheetName val="Pump_House13"/>
      <sheetName val="Fuel_Regu_Station13"/>
      <sheetName val="Basement_Budget13"/>
      <sheetName val="RENT_MASTER_FILE5"/>
      <sheetName val="S1_4"/>
      <sheetName val="S7B_4"/>
      <sheetName val="S6_4"/>
      <sheetName val="S3_4"/>
      <sheetName val="S2_4"/>
      <sheetName val="schedule_nos13"/>
      <sheetName val="CABLE_DATA13"/>
      <sheetName val="CFForecast_detail14"/>
      <sheetName val="BASIS_-DEC_0813"/>
      <sheetName val="Project_Budget_Worksheet13"/>
      <sheetName val="_x005f_x0000___x005f_x0008_p-NM13"/>
      <sheetName val="Field_Values13"/>
      <sheetName val="Jams_&amp;_Cills13"/>
      <sheetName val="10_Linkway13"/>
      <sheetName val="11_Bus_Shelter-Bay13"/>
      <sheetName val="CANDY_BOQ13"/>
      <sheetName val="Basic_Rates13"/>
      <sheetName val="BUSDUCT_SUMMARY-SUBSTATION13"/>
      <sheetName val="10__&amp;_11__Rate_Code_&amp;_BQ13"/>
      <sheetName val="BLOCK-A_(MEA_SHEET)13"/>
      <sheetName val="Cash_Flow_Working13"/>
      <sheetName val="Trial_Bal_13"/>
      <sheetName val="Balance_Sheet13"/>
      <sheetName val="1__Acquisition13"/>
      <sheetName val="INPUT_SHEET5"/>
      <sheetName val="13__Steel_-_Ratio5"/>
      <sheetName val="4K_-_(6a)_Non_Manual_Breakdown5"/>
      <sheetName val="9__Package_split_-_Cost_5"/>
      <sheetName val="beam-reinft-IIInd_floor5"/>
      <sheetName val="Data_sheet5"/>
      <sheetName val="Area_Statement_5"/>
      <sheetName val="_13"/>
      <sheetName val="HARGA_MATERIAL13"/>
      <sheetName val="PROFITABILITY_ANALYSIS_(MONTH13"/>
      <sheetName val="PROFITABILITY_ANALYSIS_(YTD)13"/>
      <sheetName val="Slab-07_2"/>
      <sheetName val="IO_LIST13"/>
      <sheetName val="pile_Fabrication13"/>
      <sheetName val="tender_allowances13"/>
      <sheetName val="MH(on_site)13"/>
      <sheetName val="Load_Details-220kV13"/>
      <sheetName val="2_civil-RA5"/>
      <sheetName val="labour_coeff5"/>
      <sheetName val="Summary_year_Plan3"/>
      <sheetName val="old_boq5"/>
      <sheetName val="_x005f_x005f_x005f_x0000___x005f_x005f_x005f_x0008_p-13"/>
      <sheetName val="___x005f_x005f_x005f_x0008_p-NMR13"/>
      <sheetName val="Boq_Block_A3"/>
      <sheetName val="Earthing_Tower-1_Superseded3"/>
      <sheetName val="Appendix_8A3"/>
      <sheetName val="Structure_Bills_Qty3"/>
      <sheetName val="?__x005f_x0008_p-NMR13"/>
      <sheetName val="3__Elemental_Summary2"/>
      <sheetName val="QS_Name2"/>
      <sheetName val="12a__CFTable2"/>
      <sheetName val="Basic-Material_13"/>
      <sheetName val="TULIPS_PHASE-2_BOQ_FINAL13"/>
      <sheetName val="Debits_as_on_12_04_0813"/>
      <sheetName val="CCTV_KAMERE_(2)13"/>
      <sheetName val="Portfolio_Summary13"/>
      <sheetName val="Fin__Assumpt__-_Sensitivities13"/>
      <sheetName val="Master_Data_Sheet13"/>
      <sheetName val="Building_113"/>
      <sheetName val="_x005f_x005f_x005f_x005f_x005f_x005f_x005f_x0000___x014"/>
      <sheetName val="___x005f_x005f_x005f_x005f_x005f_x005f_x005f_x0008_p-13"/>
      <sheetName val="___x005f_x005f_x005f_x005f_x005f_x005f_x005f_x005f_x014"/>
      <sheetName val="INDIGINEOUS_ITEMS_13"/>
      <sheetName val="_x005f_x005f_x005f_x0000___x00513"/>
      <sheetName val="___x005f_x005f_x005f_x0008_p-NM13"/>
      <sheetName val="?__x005f_x005f_x005f_x0008_p-NMR13"/>
      <sheetName val="MH_Compensate-Nov13"/>
      <sheetName val="Design_Sheet13"/>
      <sheetName val="총괄표_(2)7"/>
      <sheetName val="Notes_for_BOQ7"/>
      <sheetName val="Labour_productivity4"/>
      <sheetName val="A_O_R_13"/>
      <sheetName val="Quote_to_send4"/>
      <sheetName val="Working_back_up4"/>
      <sheetName val="Manpower_cost4"/>
      <sheetName val="Machinery_cost4"/>
      <sheetName val="공사비_내역_(가)3"/>
      <sheetName val="Named_ranges7"/>
      <sheetName val="Master_Equipment_List7"/>
      <sheetName val="except_wiring7"/>
      <sheetName val="Overall_Summary_7"/>
      <sheetName val="CL_MEP_-VOL_37"/>
      <sheetName val="4__Capex7"/>
      <sheetName val="5__Opex7"/>
      <sheetName val="Architect_Area_&amp;_Cost_Inputs3"/>
      <sheetName val="S1_new-Overall-with_C8A3"/>
      <sheetName val="Wood_Works-R1_3"/>
      <sheetName val="Summary_-New_with_C8A)3"/>
      <sheetName val="Boq_C7+A-MEP_3"/>
      <sheetName val="Interim_--&gt;_Top3"/>
      <sheetName val="Steel_5"/>
      <sheetName val="Main_Sum_(Model_B)3"/>
      <sheetName val="Main_Sum3"/>
      <sheetName val="RAW_DATA2"/>
      <sheetName val="Depreciation_Methods2"/>
      <sheetName val="cashflows_&amp;IRR2"/>
      <sheetName val="RCC_Ret__Wall2"/>
      <sheetName val="Charge_Rates2"/>
      <sheetName val="Detail_In_Door_Stad2"/>
      <sheetName val="RCC,Ret__Wall2"/>
      <sheetName val="___x005f_x005f_x005f_x005f_x0053"/>
      <sheetName val="Concrete_measurement2"/>
      <sheetName val="Model_(Not_Merged)1"/>
      <sheetName val="Labour_&amp;_Plant13"/>
      <sheetName val="SCHEDULE_(9)2"/>
      <sheetName val="Materials_Cost1"/>
      <sheetName val="Intro_2"/>
      <sheetName val="S_&amp;_A5"/>
      <sheetName val="Own_summary5"/>
      <sheetName val="Labour_Rate_5"/>
      <sheetName val="Net_TB2"/>
      <sheetName val="Purchases_FWJ2"/>
      <sheetName val="Cost_Sheet2"/>
      <sheetName val="MN_T_B_2"/>
      <sheetName val="Performance_Report2"/>
      <sheetName val="Sectional__Summary13"/>
      <sheetName val="final_abstract1"/>
      <sheetName val="Main_Sheet3"/>
      <sheetName val="Project_Plan_-_WWW3"/>
      <sheetName val="Area_Statement_PMO1"/>
      <sheetName val="Material_1"/>
      <sheetName val="Materials_Cost(PCC)1"/>
      <sheetName val="Summary_Sheets1"/>
      <sheetName val="_x005f_x0000___x0055"/>
      <sheetName val="___x005f_x0008_p-NM5"/>
      <sheetName val="Detail_P&amp;L1"/>
      <sheetName val="Assumption_Sheet1"/>
      <sheetName val="labour_rates1"/>
      <sheetName val="Civil_Boq1"/>
      <sheetName val="Pay__Recom1"/>
      <sheetName val="BOQ_T4B1"/>
      <sheetName val="CTRs_(HOURS)_1"/>
      <sheetName val="Legal_Risk_Analysis1"/>
      <sheetName val="Debtors_analysis1"/>
      <sheetName val="Executive_Summary1"/>
      <sheetName val="?__x005f_x005f_x005f_x005f_x005f_x005f_x005f_x0008_p-N3"/>
      <sheetName val="?__x005f_x005f_x005f_x005f_x005f_x005f_x005f_x005f_x003"/>
      <sheetName val="___x0053"/>
      <sheetName val="입찰내역_발주처_양식3"/>
      <sheetName val="%_prog_figs_-u5_and_total3"/>
      <sheetName val="GM_&amp;_TA3"/>
      <sheetName val="VC_Summary4"/>
      <sheetName val="Rate_analysis_civil1"/>
      <sheetName val="ELEC&amp;_MISC1"/>
      <sheetName val="Basic_Rate1"/>
      <sheetName val="PRICE_BID1"/>
      <sheetName val="Data_(adj_1"/>
      <sheetName val="Internal_Finishes_(Unit_types)1"/>
      <sheetName val="Fin_Sum1"/>
      <sheetName val="Cost_summary1"/>
      <sheetName val="APPENDIX_4_1a1"/>
      <sheetName val="PRECAST_lightconc-II1"/>
      <sheetName val="Project_ODC_NDEU1"/>
      <sheetName val="Rates_Analysis2"/>
      <sheetName val="1_Summary2"/>
      <sheetName val="SC_Cost_FEB_031"/>
      <sheetName val="India_F&amp;S_Template1"/>
      <sheetName val="Client_Addressess1"/>
      <sheetName val="Variation_Statement1"/>
      <sheetName val="Detailed_Summary_(3)1"/>
      <sheetName val="Door_&amp;_Window1"/>
      <sheetName val="Pacakges_split1"/>
      <sheetName val="SITE_OVERHEADS1"/>
      <sheetName val="cover_page1"/>
      <sheetName val="8__Cover1"/>
      <sheetName val="NOT_FULL_RESTRAINT1"/>
      <sheetName val="BEARING_&amp;_BUCKLING1"/>
      <sheetName val="Block_A_-_BOQ1"/>
      <sheetName val="Cashflow_projection1"/>
      <sheetName val="Form_61"/>
      <sheetName val="BOQ_-_Electrical1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Fill_this_out_first___1"/>
      <sheetName val="kppl_pl1"/>
      <sheetName val="ESGS_Costing1"/>
      <sheetName val="HR_&amp;_Admin_-_11"/>
      <sheetName val="On_Roll_-_Vacant1"/>
      <sheetName val="HR_&amp;_Admin1"/>
      <sheetName val="Birla_Sruya1"/>
      <sheetName val="Cor_Oh1"/>
      <sheetName val="S-4_Elemental_Sum1"/>
      <sheetName val="Plan_Summary1"/>
      <sheetName val="M_S_1"/>
      <sheetName val="E_&amp;_R1"/>
      <sheetName val="Quote_Sheet1"/>
      <sheetName val="__x0052"/>
      <sheetName val="MASTER_RATE_ANALYSIS1"/>
      <sheetName val="Lead_(Final)1"/>
      <sheetName val="Linked_Lead1"/>
      <sheetName val="OEM_1"/>
      <sheetName val="bs_BP_04_SA1"/>
      <sheetName val="Annexure_A1"/>
      <sheetName val="Opening_Date2"/>
      <sheetName val="CPIPE_11"/>
      <sheetName val="Scheme_Area_Details_Block___C21"/>
      <sheetName val="Mat_-Rates1"/>
      <sheetName val="RAJU_ASSO1"/>
      <sheetName val="SewerCAD_Pipe_Data-Actual_20401"/>
      <sheetName val="Elemental_Buildup2"/>
      <sheetName val="Bill_No_8_-_A1"/>
      <sheetName val="Malaysia_incl__RET1"/>
      <sheetName val="Selling_Price1"/>
      <sheetName val="Staff_JV2"/>
      <sheetName val="C1_(calcolo)1"/>
      <sheetName val="Mp-team_11"/>
      <sheetName val="BILL_-_1_GNRL_RMNT_(2)1"/>
      <sheetName val="BILL_-_2_CIVIL_WORKS1"/>
      <sheetName val="BILL_-_3_1_FIRE_SUP__1"/>
      <sheetName val="BILL_-_3_2_PLUMBING__(2)1"/>
      <sheetName val="BILL_-_3_3_HVAC_1"/>
      <sheetName val="BILL_-_3_4_AUTOMATION1"/>
      <sheetName val="BILL_-_4_ELEC_1"/>
      <sheetName val="BILL_5_-_PSUM1"/>
      <sheetName val="Price_Groups1"/>
      <sheetName val="Bill_no_81"/>
      <sheetName val="投标材料清单_1"/>
      <sheetName val="?__x005f_x005f_x005f_x0008_p-NM1"/>
      <sheetName val="?__x0051"/>
      <sheetName val="?__x005f_x005f_x005f_x005F_x0051"/>
      <sheetName val="_x005f_x005f_x005F?__x0052"/>
      <sheetName val="?__x005f_x005F_x0051"/>
      <sheetName val="?__x005f_x0008_p-NM1"/>
      <sheetName val="LOCAL_RATES1"/>
      <sheetName val="Plant_&amp;__Machinery1"/>
      <sheetName val="LA-_lookups1"/>
      <sheetName val="Inter_unit_set_off1"/>
      <sheetName val="GF_Columns1"/>
      <sheetName val="Combined_Results_1"/>
      <sheetName val="Beams_1"/>
      <sheetName val="Roof__PT_beams_1"/>
      <sheetName val="Core_Data1"/>
      <sheetName val="BOQ_(2)1"/>
      <sheetName val="Meas_-Hotel_Part1"/>
      <sheetName val="MT_DEW_AMP_RELAUNCH1"/>
      <sheetName val="6PILE__(돌출)1"/>
      <sheetName val="Labour_Rate1"/>
      <sheetName val="FITZ_MORT_941"/>
      <sheetName val="BOQ_(_Only_Ground_floor_)_1"/>
      <sheetName val="INFLUENCES_ON_GM1"/>
      <sheetName val="L&amp;D_2015-161"/>
      <sheetName val="Schedules_PL1"/>
      <sheetName val="Schedules_BS1"/>
      <sheetName val="Service_Function1"/>
      <sheetName val="tie_beam1"/>
      <sheetName val="_Structural1"/>
      <sheetName val="Sch__Areas5"/>
      <sheetName val="Recon_Template1"/>
      <sheetName val="Key_Assumptions1"/>
      <sheetName val="Labor_abs-PW15"/>
      <sheetName val="Labor_abs-NMR15"/>
      <sheetName val="Labor_bill_-_Mob15"/>
      <sheetName val="Labor_bill_-_EW15"/>
      <sheetName val="Labor_bill_-_Concrete15"/>
      <sheetName val="Labor_bill_-_Shuttering15"/>
      <sheetName val="Labor_bills_-_reinf15"/>
      <sheetName val="Labor_bills_-_Block_masonry15"/>
      <sheetName val="Labor_bill_-_Plastering15"/>
      <sheetName val="Labor_bill_Water_proofing15"/>
      <sheetName val="Labor_bill_Hard_Finish15"/>
      <sheetName val="Labor_bill_MS_items15"/>
      <sheetName val="Break_up_Sheet15"/>
      <sheetName val="TBAL9697_-group_wise__sdpl15"/>
      <sheetName val="Rate_analysis15"/>
      <sheetName val="Labor_bills_19_08_0614"/>
      <sheetName val="Other_assumptions13"/>
      <sheetName val="Boq_-_Flats12"/>
      <sheetName val="Builtup_Area13"/>
      <sheetName val="BOQ_Distribution14"/>
      <sheetName val="PROJECT_BRIEF(EX_NEW)12"/>
      <sheetName val="site_fab&amp;ernstr14"/>
      <sheetName val="new_tech_flt_bldg14"/>
      <sheetName val="_x005f_x0000___x005f_x0008_p-NMR12"/>
      <sheetName val="___x005f_x0008_p-NMR12"/>
      <sheetName val="Approved_MTD_Proj_#'s14"/>
      <sheetName val="Sheet3_(2)13"/>
      <sheetName val="3cd_Annexure13"/>
      <sheetName val="SUPPLY_-Sanitary_Fixtures13"/>
      <sheetName val="ITEMS_FOR_CIVIL_TENDER13"/>
      <sheetName val="August_TB13"/>
      <sheetName val="Kristal_Court13"/>
      <sheetName val="Variance_Report4"/>
      <sheetName val="Pile_cap12"/>
      <sheetName val="Top_Line_-_WWW12"/>
      <sheetName val="Adimi_bldg12"/>
      <sheetName val="Pump_House12"/>
      <sheetName val="Fuel_Regu_Station12"/>
      <sheetName val="Basement_Budget12"/>
      <sheetName val="RENT_MASTER_FILE4"/>
      <sheetName val="S1_3"/>
      <sheetName val="S7B_3"/>
      <sheetName val="S6_3"/>
      <sheetName val="S3_3"/>
      <sheetName val="S2_3"/>
      <sheetName val="schedule_nos12"/>
      <sheetName val="CABLE_DATA12"/>
      <sheetName val="CFForecast_detail13"/>
      <sheetName val="BASIS_-DEC_0812"/>
      <sheetName val="Project_Budget_Worksheet12"/>
      <sheetName val="_x005f_x0000___x005f_x0008_p-NM12"/>
      <sheetName val="Field_Values12"/>
      <sheetName val="Jams_&amp;_Cills12"/>
      <sheetName val="10_Linkway12"/>
      <sheetName val="11_Bus_Shelter-Bay12"/>
      <sheetName val="CANDY_BOQ12"/>
      <sheetName val="Basic_Rates12"/>
      <sheetName val="BUSDUCT_SUMMARY-SUBSTATION12"/>
      <sheetName val="10__&amp;_11__Rate_Code_&amp;_BQ12"/>
      <sheetName val="BLOCK-A_(MEA_SHEET)12"/>
      <sheetName val="Cash_Flow_Working12"/>
      <sheetName val="Trial_Bal_12"/>
      <sheetName val="Balance_Sheet12"/>
      <sheetName val="1__Acquisition12"/>
      <sheetName val="INPUT_SHEET4"/>
      <sheetName val="13__Steel_-_Ratio4"/>
      <sheetName val="4K_-_(6a)_Non_Manual_Breakdown4"/>
      <sheetName val="9__Package_split_-_Cost_4"/>
      <sheetName val="beam-reinft-IIInd_floor4"/>
      <sheetName val="Data_sheet4"/>
      <sheetName val="Area_Statement_4"/>
      <sheetName val="_12"/>
      <sheetName val="HARGA_MATERIAL12"/>
      <sheetName val="PROFITABILITY_ANALYSIS_(MONTH12"/>
      <sheetName val="PROFITABILITY_ANALYSIS_(YTD)12"/>
      <sheetName val="Slab-07_1"/>
      <sheetName val="IO_LIST12"/>
      <sheetName val="pile_Fabrication12"/>
      <sheetName val="tender_allowances12"/>
      <sheetName val="MH(on_site)12"/>
      <sheetName val="Load_Details-220kV12"/>
      <sheetName val="2_civil-RA4"/>
      <sheetName val="labour_coeff4"/>
      <sheetName val="Summary_year_Plan2"/>
      <sheetName val="old_boq4"/>
      <sheetName val="_x005f_x005f_x005f_x0000___x005f_x005f_x005f_x0008_p-12"/>
      <sheetName val="___x005f_x005f_x005f_x0008_p-NMR12"/>
      <sheetName val="Boq_Block_A2"/>
      <sheetName val="Earthing_Tower-1_Superseded2"/>
      <sheetName val="Appendix_8A2"/>
      <sheetName val="Structure_Bills_Qty2"/>
      <sheetName val="?__x005f_x0008_p-NMR12"/>
      <sheetName val="3__Elemental_Summary1"/>
      <sheetName val="QS_Name1"/>
      <sheetName val="12a__CFTable1"/>
      <sheetName val="Basic-Material_12"/>
      <sheetName val="TULIPS_PHASE-2_BOQ_FINAL12"/>
      <sheetName val="Debits_as_on_12_04_0812"/>
      <sheetName val="CCTV_KAMERE_(2)12"/>
      <sheetName val="Portfolio_Summary12"/>
      <sheetName val="Fin__Assumpt__-_Sensitivities12"/>
      <sheetName val="Master_Data_Sheet12"/>
      <sheetName val="Building_112"/>
      <sheetName val="_x005f_x005f_x005f_x005f_x005f_x005f_x005f_x0000___x013"/>
      <sheetName val="___x005f_x005f_x005f_x005f_x005f_x005f_x005f_x0008_p-12"/>
      <sheetName val="___x005f_x005f_x005f_x005f_x005f_x005f_x005f_x005f_x013"/>
      <sheetName val="INDIGINEOUS_ITEMS_12"/>
      <sheetName val="_x005f_x005f_x005f_x0000___x00512"/>
      <sheetName val="___x005f_x005f_x005f_x0008_p-NM12"/>
      <sheetName val="?__x005f_x005f_x005f_x0008_p-NMR12"/>
      <sheetName val="MH_Compensate-Nov12"/>
      <sheetName val="Design_Sheet12"/>
      <sheetName val="총괄표_(2)6"/>
      <sheetName val="Notes_for_BOQ6"/>
      <sheetName val="Labour_productivity3"/>
      <sheetName val="A_O_R_12"/>
      <sheetName val="Quote_to_send3"/>
      <sheetName val="Working_back_up3"/>
      <sheetName val="Manpower_cost3"/>
      <sheetName val="Machinery_cost3"/>
      <sheetName val="공사비_내역_(가)2"/>
      <sheetName val="Named_ranges6"/>
      <sheetName val="Master_Equipment_List6"/>
      <sheetName val="except_wiring6"/>
      <sheetName val="Overall_Summary_6"/>
      <sheetName val="CL_MEP_-VOL_36"/>
      <sheetName val="4__Capex6"/>
      <sheetName val="5__Opex6"/>
      <sheetName val="Architect_Area_&amp;_Cost_Inputs2"/>
      <sheetName val="S1_new-Overall-with_C8A2"/>
      <sheetName val="Wood_Works-R1_2"/>
      <sheetName val="Summary_-New_with_C8A)2"/>
      <sheetName val="Boq_C7+A-MEP_2"/>
      <sheetName val="Interim_--&gt;_Top2"/>
      <sheetName val="Steel_4"/>
      <sheetName val="Main_Sum_(Model_B)2"/>
      <sheetName val="Main_Sum2"/>
      <sheetName val="RAW_DATA1"/>
      <sheetName val="Depreciation_Methods1"/>
      <sheetName val="cashflows_&amp;IRR1"/>
      <sheetName val="RCC_Ret__Wall1"/>
      <sheetName val="Charge_Rates1"/>
      <sheetName val="Detail_In_Door_Stad1"/>
      <sheetName val="RCC,Ret__Wall1"/>
      <sheetName val="___x005f_x005f_x005f_x005f_x0052"/>
      <sheetName val="Concrete_measurement1"/>
      <sheetName val="Model_(Not_Merged)"/>
      <sheetName val="Labour_&amp;_Plant12"/>
      <sheetName val="SCHEDULE_(9)1"/>
      <sheetName val="Materials_Cost"/>
      <sheetName val="Intro_1"/>
      <sheetName val="S_&amp;_A4"/>
      <sheetName val="Own_summary4"/>
      <sheetName val="Labour_Rate_4"/>
      <sheetName val="Net_TB1"/>
      <sheetName val="Purchases_FWJ1"/>
      <sheetName val="Cost_Sheet1"/>
      <sheetName val="MN_T_B_1"/>
      <sheetName val="Performance_Report1"/>
      <sheetName val="Sectional__Summary12"/>
      <sheetName val="final_abstract"/>
      <sheetName val="Main_Sheet2"/>
      <sheetName val="Project_Plan_-_WWW2"/>
      <sheetName val="Area_Statement_PMO"/>
      <sheetName val="Material_"/>
      <sheetName val="Materials_Cost(PCC)"/>
      <sheetName val="Summary_Sheets"/>
      <sheetName val="_x005f_x0000___x0054"/>
      <sheetName val="___x005f_x0008_p-NM4"/>
      <sheetName val="Detail_P&amp;L"/>
      <sheetName val="Assumption_Sheet"/>
      <sheetName val="labour_rates"/>
      <sheetName val="Civil_Boq"/>
      <sheetName val="Pay__Recom"/>
      <sheetName val="BOQ_T4B"/>
      <sheetName val="CTRs_(HOURS)_"/>
      <sheetName val="Legal_Risk_Analysis"/>
      <sheetName val="Debtors_analysis"/>
      <sheetName val="Executive_Summary"/>
      <sheetName val="?__x005f_x005f_x005f_x005f_x005f_x005f_x005f_x0008_p-N2"/>
      <sheetName val="?__x005f_x005f_x005f_x005f_x005f_x005f_x005f_x005f_x002"/>
      <sheetName val="___x0052"/>
      <sheetName val="입찰내역_발주처_양식2"/>
      <sheetName val="%_prog_figs_-u5_and_total2"/>
      <sheetName val="GM_&amp;_TA2"/>
      <sheetName val="VC_Summary3"/>
      <sheetName val="Rate_analysis_civil"/>
      <sheetName val="ELEC&amp;_MISC"/>
      <sheetName val="Basic_Rate"/>
      <sheetName val="PRICE_BID"/>
      <sheetName val="Data_(adj_"/>
      <sheetName val="Internal_Finishes_(Unit_types)"/>
      <sheetName val="Fin_Sum"/>
      <sheetName val="Cost_summary"/>
      <sheetName val="APPENDIX_4_1a"/>
      <sheetName val="PRECAST_lightconc-II"/>
      <sheetName val="Project_ODC_NDEU"/>
      <sheetName val="Rates_Analysis1"/>
      <sheetName val="1_Summary1"/>
      <sheetName val="SC_Cost_FEB_03"/>
      <sheetName val="India_F&amp;S_Template"/>
      <sheetName val="Client_Addressess"/>
      <sheetName val="Variation_Statement"/>
      <sheetName val="Detailed_Summary_(3)"/>
      <sheetName val="Door_&amp;_Window"/>
      <sheetName val="Pacakges_split"/>
      <sheetName val="SITE_OVERHEADS"/>
      <sheetName val="cover_page"/>
      <sheetName val="8__Cover"/>
      <sheetName val="NOT_FULL_RESTRAINT"/>
      <sheetName val="BEARING_&amp;_BUCKLING"/>
      <sheetName val="Block_A_-_BOQ"/>
      <sheetName val="Cashflow_projection"/>
      <sheetName val="Form_6"/>
      <sheetName val="BOQ_-_Electrical"/>
      <sheetName val="Column_L1_to_L2"/>
      <sheetName val="Column_L2_to_L3"/>
      <sheetName val="RAMP_3"/>
      <sheetName val="RAMP_1"/>
      <sheetName val="Column_B1_to_L1"/>
      <sheetName val="Slab_L1"/>
      <sheetName val="Slab_L2"/>
      <sheetName val="Fill_this_out_first___"/>
      <sheetName val="kppl_pl"/>
      <sheetName val="ESGS_Costing"/>
      <sheetName val="HR_&amp;_Admin_-_1"/>
      <sheetName val="On_Roll_-_Vacant"/>
      <sheetName val="HR_&amp;_Admin"/>
      <sheetName val="Birla_Sruya"/>
      <sheetName val="Cor_Oh"/>
      <sheetName val="S-4_Elemental_Sum"/>
      <sheetName val="Plan_Summary"/>
      <sheetName val="M_S_"/>
      <sheetName val="E_&amp;_R"/>
      <sheetName val="Quote_Sheet"/>
      <sheetName val="__x0051"/>
      <sheetName val="MASTER_RATE_ANALYSIS"/>
      <sheetName val="Lead_(Final)"/>
      <sheetName val="Linked_Lead"/>
      <sheetName val="OEM_"/>
      <sheetName val="bs_BP_04_SA"/>
      <sheetName val="Annexure_A"/>
      <sheetName val="Opening_Date1"/>
      <sheetName val="CPIPE_1"/>
      <sheetName val="Scheme_Area_Details_Block___C2"/>
      <sheetName val="Mat_-Rates"/>
      <sheetName val="RAJU_ASSO"/>
      <sheetName val="SewerCAD_Pipe_Data-Actual_2040"/>
      <sheetName val="Elemental_Buildup1"/>
      <sheetName val="Bill_No_8_-_A"/>
      <sheetName val="Malaysia_incl__RET"/>
      <sheetName val="Selling_Price"/>
      <sheetName val="Staff_JV1"/>
      <sheetName val="C1_(calcolo)"/>
      <sheetName val="Mp-team_1"/>
      <sheetName val="BILL_-_1_GNRL_RMNT_(2)"/>
      <sheetName val="BILL_-_2_CIVIL_WORKS"/>
      <sheetName val="BILL_-_3_1_FIRE_SUP__"/>
      <sheetName val="BILL_-_3_2_PLUMBING__(2)"/>
      <sheetName val="BILL_-_3_3_HVAC_"/>
      <sheetName val="BILL_-_3_4_AUTOMATION"/>
      <sheetName val="BILL_-_4_ELEC_"/>
      <sheetName val="BILL_5_-_PSUM"/>
      <sheetName val="Price_Groups"/>
      <sheetName val="Bill_no_8"/>
      <sheetName val="投标材料清单_"/>
      <sheetName val="?__x005f_x005f_x005f_x0008_p-NM"/>
      <sheetName val="?__x005"/>
      <sheetName val="?__x005f_x005f_x005f_x005F_x005"/>
      <sheetName val="_x005f_x005f_x005F?__x0051"/>
      <sheetName val="?__x005f_x005F_x005"/>
      <sheetName val="?__x005f_x0008_p-NM"/>
      <sheetName val="LOCAL_RATES"/>
      <sheetName val="Plant_&amp;__Machinery"/>
      <sheetName val="LA-_lookups"/>
      <sheetName val="Inter_unit_set_off"/>
      <sheetName val="GF_Columns"/>
      <sheetName val="Combined_Results_"/>
      <sheetName val="Beams_"/>
      <sheetName val="Roof__PT_beams_"/>
      <sheetName val="Core_Data"/>
      <sheetName val="BOQ_(2)"/>
      <sheetName val="Meas_-Hotel_Part"/>
      <sheetName val="MT_DEW_AMP_RELAUNCH"/>
      <sheetName val="6PILE__(돌출)"/>
      <sheetName val="Labour_Rate"/>
      <sheetName val="FITZ_MORT_94"/>
      <sheetName val="BOQ_(_Only_Ground_floor_)_"/>
      <sheetName val="INFLUENCES_ON_GM"/>
      <sheetName val="L&amp;D_2015-16"/>
      <sheetName val="Schedules_PL"/>
      <sheetName val="Schedules_BS"/>
      <sheetName val="Service_Function"/>
      <sheetName val="tie_beam"/>
      <sheetName val="_Structural"/>
      <sheetName val="Sch__Areas4"/>
      <sheetName val="Recon_Template"/>
      <sheetName val="Key_Assumptions"/>
      <sheetName val="Staff Acco."/>
      <sheetName val="Inc.St.-Link"/>
      <sheetName val="BOQ "/>
      <sheetName val="Factor_Sheet"/>
      <sheetName val="sum-all"/>
      <sheetName val="water prop."/>
      <sheetName val="oresreqsum"/>
      <sheetName val="Per Unit"/>
      <sheetName val="Page 1A - Proposal Strategy "/>
      <sheetName val="STEEL STRUCTURE"/>
      <sheetName val="1.Civil"/>
      <sheetName val="factor"/>
      <sheetName val="SMB Type D Conduit"/>
      <sheetName val="DLC lookups"/>
      <sheetName val="L.L Rates"/>
      <sheetName val="cul-invSUBMITTED"/>
      <sheetName val="S1BOQ"/>
      <sheetName val="Detail excavation"/>
      <sheetName val="MOTOR"/>
      <sheetName val="Office Twrs"/>
      <sheetName val="Base_Data"/>
      <sheetName val="panel_list"/>
      <sheetName val="Equipment"/>
      <sheetName val="Drop Down List"/>
      <sheetName val="CABLE SIZE (2)"/>
      <sheetName val="Spread_sht"/>
      <sheetName val="Derived Rates"/>
      <sheetName val="AJMBlkWorks"/>
      <sheetName val="Details and Earnings Charts"/>
      <sheetName val="Takeoff"/>
      <sheetName val="U"/>
      <sheetName val="Sheet7"/>
      <sheetName val="RELAYS"/>
      <sheetName val="Boiler Curves"/>
      <sheetName val="Electr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 refreshError="1"/>
      <sheetData sheetId="1293" refreshError="1"/>
      <sheetData sheetId="1294" refreshError="1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 refreshError="1"/>
      <sheetData sheetId="2072"/>
      <sheetData sheetId="2073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/>
      <sheetData sheetId="2108"/>
      <sheetData sheetId="2109" refreshError="1"/>
      <sheetData sheetId="2110" refreshError="1"/>
      <sheetData sheetId="2111" refreshError="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/>
      <sheetData sheetId="2176"/>
      <sheetData sheetId="2177"/>
      <sheetData sheetId="2178" refreshError="1"/>
      <sheetData sheetId="2179" refreshError="1"/>
      <sheetData sheetId="2180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reak up Sheet"/>
      <sheetName val="Rate analysis"/>
      <sheetName val="Labor abs-NMR"/>
      <sheetName val="concrete"/>
      <sheetName val="Abstract Labour bills"/>
      <sheetName val="Boq"/>
      <sheetName val="Break_up_Sheet"/>
      <sheetName val="Rate_analysis"/>
      <sheetName val="Labor_abs-NMR"/>
      <sheetName val="Abstract_Labour_bills"/>
      <sheetName val="HF Blk 1"/>
      <sheetName val="RCC,Ret. Wall"/>
      <sheetName val="Dels"/>
      <sheetName val="Variance Report"/>
      <sheetName val="Break_up_Sheet6"/>
      <sheetName val="Rate_analysis6"/>
      <sheetName val="Labor_abs-NMR6"/>
      <sheetName val="Abstract_Labour_bills6"/>
      <sheetName val="HF_Blk_15"/>
      <sheetName val="Break_up_Sheet4"/>
      <sheetName val="Rate_analysis4"/>
      <sheetName val="Labor_abs-NMR4"/>
      <sheetName val="Abstract_Labour_bills4"/>
      <sheetName val="HF_Blk_13"/>
      <sheetName val="Break_up_Sheet3"/>
      <sheetName val="Rate_analysis3"/>
      <sheetName val="Labor_abs-NMR3"/>
      <sheetName val="Abstract_Labour_bills3"/>
      <sheetName val="HF_Blk_12"/>
      <sheetName val="Variance_Report2"/>
      <sheetName val="Break_up_Sheet1"/>
      <sheetName val="Rate_analysis1"/>
      <sheetName val="Labor_abs-NMR1"/>
      <sheetName val="Abstract_Labour_bills1"/>
      <sheetName val="HF_Blk_1"/>
      <sheetName val="Variance_Report"/>
      <sheetName val="Break_up_Sheet2"/>
      <sheetName val="Rate_analysis2"/>
      <sheetName val="Labor_abs-NMR2"/>
      <sheetName val="Abstract_Labour_bills2"/>
      <sheetName val="HF_Blk_11"/>
      <sheetName val="Variance_Report1"/>
      <sheetName val="Variance_Report3"/>
      <sheetName val="Break_up_Sheet5"/>
      <sheetName val="Rate_analysis5"/>
      <sheetName val="Labor_abs-NMR5"/>
      <sheetName val="Abstract_Labour_bills5"/>
      <sheetName val="HF_Blk_14"/>
      <sheetName val="Variance_Report4"/>
      <sheetName val="Variance_Report5"/>
      <sheetName val="SWITCH"/>
      <sheetName val="Notes"/>
      <sheetName val="Break_up_Sheet7"/>
      <sheetName val="Rate_analysis7"/>
      <sheetName val="Labor_abs-NMR7"/>
      <sheetName val="Abstract_Labour_bills7"/>
      <sheetName val="HF_Blk_16"/>
      <sheetName val="Variance_Report6"/>
      <sheetName val="RCC,Ret__Wall"/>
      <sheetName val="lookup"/>
      <sheetName val="Field Values"/>
      <sheetName val="Variation Statement"/>
      <sheetName val="final abstract"/>
      <sheetName val="Civil "/>
      <sheetName val="strand"/>
      <sheetName val="Data"/>
      <sheetName val="Approved MTD Proj #'s"/>
      <sheetName val="Material "/>
      <sheetName val="MM"/>
      <sheetName val="PROJECT BRIEF"/>
      <sheetName val="Plant Cost"/>
      <sheetName val="PROJECT_BRIEF"/>
      <sheetName val="Plant_Cost"/>
      <sheetName val="PROJECT_BRIEF1"/>
      <sheetName val="Plant_Cost1"/>
      <sheetName val="Design Devmt"/>
      <sheetName val="PROJECT_BRIEF2"/>
      <sheetName val="Plant_Cost2"/>
      <sheetName val="Design_Devmt"/>
      <sheetName val="Break_up_Sheet8"/>
      <sheetName val="Rate_analysis8"/>
      <sheetName val="Labor_abs-NMR8"/>
      <sheetName val="Abstract_Labour_bills8"/>
      <sheetName val="HF_Blk_17"/>
      <sheetName val="RCC,Ret__Wall1"/>
      <sheetName val="Variance_Report7"/>
      <sheetName val="Field_Values"/>
      <sheetName val="Variation_Statement"/>
      <sheetName val="final_abstract"/>
      <sheetName val="Civil_"/>
      <sheetName val="Approved_MTD_Proj_#'s"/>
      <sheetName val="Material_"/>
      <sheetName val="PROJECT_BRIEF3"/>
      <sheetName val="Plant_Cost3"/>
      <sheetName val="Design_Devmt1"/>
      <sheetName val="Design"/>
      <sheetName val="Break_up_Sheet11"/>
      <sheetName val="Rate_analysis11"/>
      <sheetName val="Labor_abs-NMR11"/>
      <sheetName val="Abstract_Labour_bills11"/>
      <sheetName val="HF_Blk_110"/>
      <sheetName val="RCC,Ret__Wall4"/>
      <sheetName val="Variance_Report10"/>
      <sheetName val="Field_Values3"/>
      <sheetName val="Variation_Statement3"/>
      <sheetName val="final_abstract3"/>
      <sheetName val="Civil_3"/>
      <sheetName val="Approved_MTD_Proj_#'s3"/>
      <sheetName val="Material_3"/>
      <sheetName val="PROJECT_BRIEF6"/>
      <sheetName val="Plant_Cost6"/>
      <sheetName val="Design_Devmt4"/>
      <sheetName val="Break_up_Sheet10"/>
      <sheetName val="Rate_analysis10"/>
      <sheetName val="Labor_abs-NMR10"/>
      <sheetName val="Abstract_Labour_bills10"/>
      <sheetName val="HF_Blk_19"/>
      <sheetName val="RCC,Ret__Wall3"/>
      <sheetName val="Variance_Report9"/>
      <sheetName val="Field_Values2"/>
      <sheetName val="Variation_Statement2"/>
      <sheetName val="final_abstract2"/>
      <sheetName val="Civil_2"/>
      <sheetName val="Approved_MTD_Proj_#'s2"/>
      <sheetName val="Material_2"/>
      <sheetName val="PROJECT_BRIEF5"/>
      <sheetName val="Plant_Cost5"/>
      <sheetName val="Design_Devmt3"/>
      <sheetName val="Break_up_Sheet9"/>
      <sheetName val="Rate_analysis9"/>
      <sheetName val="Labor_abs-NMR9"/>
      <sheetName val="Abstract_Labour_bills9"/>
      <sheetName val="HF_Blk_18"/>
      <sheetName val="RCC,Ret__Wall2"/>
      <sheetName val="Variance_Report8"/>
      <sheetName val="Field_Values1"/>
      <sheetName val="Variation_Statement1"/>
      <sheetName val="final_abstract1"/>
      <sheetName val="Civil_1"/>
      <sheetName val="Approved_MTD_Proj_#'s1"/>
      <sheetName val="Material_1"/>
      <sheetName val="PROJECT_BRIEF4"/>
      <sheetName val="Plant_Cost4"/>
      <sheetName val="Design_Devm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Labor abs-NMR"/>
      <sheetName val="Dels"/>
      <sheetName val="Rate analysi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Labor_abs-NMR"/>
      <sheetName val="concrete"/>
      <sheetName val="RA-markate"/>
      <sheetName val="HF Blk 1"/>
      <sheetName val="Builtup Area"/>
      <sheetName val="RENT MASTER FILE"/>
      <sheetName val="Batching plant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Labor_abs-NMR1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Labor_abs-NMR2"/>
      <sheetName val="lookup"/>
      <sheetName val="Rate_analysis"/>
      <sheetName val="Civil "/>
      <sheetName val="RCC,Ret. Wall"/>
      <sheetName val="RA_markate"/>
      <sheetName val="Inc.St.-Link"/>
      <sheetName val="MASTER WORK SHEET - ESTIMATE HI"/>
      <sheetName val="Data"/>
      <sheetName val="POWER"/>
      <sheetName val="PROJECT BRIEF"/>
      <sheetName val="Batching_plant"/>
      <sheetName val="PROJECT_BRIEF"/>
      <sheetName val="Batching_plant1"/>
      <sheetName val="Rate_analysis1"/>
      <sheetName val="PROJECT_BRIEF1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Labor_abs-NMR3"/>
      <sheetName val="Batching_plant2"/>
      <sheetName val="Rate_analysis2"/>
      <sheetName val="PROJECT_BRIEF2"/>
      <sheetName val="Approved MTD Proj #'s"/>
      <sheetName val="Field Values"/>
      <sheetName val="Meas.-Hotel Part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Labor_abs-NMR6"/>
      <sheetName val="Rate_analysis5"/>
      <sheetName val="HF_Blk_12"/>
      <sheetName val="Builtup_Area2"/>
      <sheetName val="RENT_MASTER_FILE2"/>
      <sheetName val="Batching_plant5"/>
      <sheetName val="Civil_2"/>
      <sheetName val="RCC,Ret__Wall2"/>
      <sheetName val="Inc_St_-Link2"/>
      <sheetName val="MASTER_WORK_SHEET_-_ESTIMATE_H2"/>
      <sheetName val="PROJECT_BRIEF5"/>
      <sheetName val="Approved_MTD_Proj_#'s2"/>
      <sheetName val="Field_Values2"/>
      <sheetName val="Meas_-Hotel_Part2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Labor_abs-NMR5"/>
      <sheetName val="Rate_analysis4"/>
      <sheetName val="HF_Blk_11"/>
      <sheetName val="Builtup_Area1"/>
      <sheetName val="RENT_MASTER_FILE1"/>
      <sheetName val="Batching_plant4"/>
      <sheetName val="Civil_1"/>
      <sheetName val="RCC,Ret__Wall1"/>
      <sheetName val="Inc_St_-Link1"/>
      <sheetName val="MASTER_WORK_SHEET_-_ESTIMATE_H1"/>
      <sheetName val="PROJECT_BRIEF4"/>
      <sheetName val="Approved_MTD_Proj_#'s1"/>
      <sheetName val="Field_Values1"/>
      <sheetName val="Meas_-Hotel_Part1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Labor_abs-NMR4"/>
      <sheetName val="Rate_analysis3"/>
      <sheetName val="HF_Blk_1"/>
      <sheetName val="Builtup_Area"/>
      <sheetName val="RENT_MASTER_FILE"/>
      <sheetName val="Batching_plant3"/>
      <sheetName val="Civil_"/>
      <sheetName val="RCC,Ret__Wall"/>
      <sheetName val="Inc_St_-Link"/>
      <sheetName val="MASTER_WORK_SHEET_-_ESTIMATE_HI"/>
      <sheetName val="PROJECT_BRIEF3"/>
      <sheetName val="Approved_MTD_Proj_#'s"/>
      <sheetName val="Field_Values"/>
      <sheetName val="Meas_-Hotel_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(detailed)"/>
      <sheetName val="Detailed 04-06 (2)"/>
      <sheetName val="RMC"/>
      <sheetName val="Scaffolding "/>
      <sheetName val="RECONCI lATION"/>
      <sheetName val="05-06"/>
      <sheetName val="04-05"/>
      <sheetName val="AS PER TALLY"/>
      <sheetName val="05-06 (Detailed)"/>
      <sheetName val="steel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Break up Sheet"/>
      <sheetName val="boq"/>
      <sheetName val="Sheet1"/>
      <sheetName val="Basement Budget"/>
      <sheetName val="Labor abs-NMR"/>
      <sheetName val="safet_x000e__x0000__x0000__x0000_ems  "/>
      <sheetName val="Sheet2"/>
      <sheetName val="Rates"/>
      <sheetName val="safet_x000e_"/>
      <sheetName val="CABLE DATA"/>
      <sheetName val="10. &amp; 11. Rate Code &amp; BQ"/>
      <sheetName val="horizontal"/>
      <sheetName val="RA_markate"/>
      <sheetName val="safet_x000e_???ems  "/>
      <sheetName val="Cd"/>
      <sheetName val="Cs"/>
      <sheetName val="CPIPE"/>
      <sheetName val="THK"/>
      <sheetName val="CPIPE 1"/>
      <sheetName val="Cover"/>
      <sheetName val="safet_x000e____ems  "/>
      <sheetName val="Abstract Sheet"/>
      <sheetName val="Assumptions"/>
      <sheetName val="Reconcilation june"/>
      <sheetName val="RCC,Ret. Wall"/>
      <sheetName val="strand"/>
      <sheetName val="RA-markate"/>
      <sheetName val="RMZ Summary"/>
      <sheetName val="Footings"/>
      <sheetName val="sept-plan"/>
      <sheetName val="Cable-data"/>
      <sheetName val="grid"/>
      <sheetName val="Field Values"/>
      <sheetName val="Formulas"/>
      <sheetName val="Detailed_04-06_(2)"/>
      <sheetName val="Scaffolding_"/>
      <sheetName val="RECONCI_lATION"/>
      <sheetName val="AS_PER_TALLY"/>
      <sheetName val="05-06_(Detailed)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Basement_Budget"/>
      <sheetName val="Labor_abs-NMR"/>
      <sheetName val="safetems__"/>
      <sheetName val="safet"/>
      <sheetName val="CABLE_DATA"/>
      <sheetName val="10__&amp;_11__Rate_Code_&amp;_BQ"/>
      <sheetName val="safet???ems__"/>
      <sheetName val="CPIPE_1"/>
      <sheetName val="safet___ems__"/>
      <sheetName val="Abstract_Sheet"/>
      <sheetName val="Reconcilation_june"/>
      <sheetName val="RCC,Ret__Wall"/>
      <sheetName val="RMZ_Summary"/>
      <sheetName val="Field_Values"/>
      <sheetName val="fidelity"/>
      <sheetName val="#REF"/>
      <sheetName val="PC Master List"/>
      <sheetName val="Input"/>
      <sheetName val="conc-foot-gradeslab"/>
      <sheetName val="Inc.St.-Link"/>
      <sheetName val="Tender Summary"/>
      <sheetName val="&quot;S&quot; Curve"/>
      <sheetName val="NEWtrn"/>
      <sheetName val="Trend"/>
      <sheetName val="safet_x005f_x000e__x005f_x0000__x005f_x0000__x000"/>
      <sheetName val="safet_x005f_x000e_"/>
      <sheetName val="safet_x005f_x000e____ems  "/>
      <sheetName val="PackagingType"/>
      <sheetName val="concrete"/>
      <sheetName val="Detailed_04-06_(2)6"/>
      <sheetName val="Scaffolding_6"/>
      <sheetName val="RECONCI_lATION6"/>
      <sheetName val="AS_PER_TALLY6"/>
      <sheetName val="05-06_(Detailed)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Basement_Budget6"/>
      <sheetName val="Labor_abs-NMR6"/>
      <sheetName val="CABLE_DATA6"/>
      <sheetName val="10__&amp;_11__Rate_Code_&amp;_BQ6"/>
      <sheetName val="CPIPE_16"/>
      <sheetName val="Abstract_Sheet6"/>
      <sheetName val="Reconcilation_june6"/>
      <sheetName val="RCC,Ret__Wall6"/>
      <sheetName val="RMZ_Summary6"/>
      <sheetName val="Field_Values6"/>
      <sheetName val="PC_Master_List5"/>
      <sheetName val="Inc_St_-Link5"/>
      <sheetName val="Tender_Summary5"/>
      <sheetName val="&quot;S&quot;_Curve5"/>
      <sheetName val="safet_x005f_x000e____ems__5"/>
      <sheetName val="Detailed_04-06_(2)4"/>
      <sheetName val="Scaffolding_4"/>
      <sheetName val="RECONCI_lATION4"/>
      <sheetName val="AS_PER_TALLY4"/>
      <sheetName val="05-06_(Detailed)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Basement_Budget4"/>
      <sheetName val="Labor_abs-NMR4"/>
      <sheetName val="CABLE_DATA4"/>
      <sheetName val="10__&amp;_11__Rate_Code_&amp;_BQ4"/>
      <sheetName val="CPIPE_14"/>
      <sheetName val="Abstract_Sheet4"/>
      <sheetName val="Reconcilation_june4"/>
      <sheetName val="RCC,Ret__Wall4"/>
      <sheetName val="RMZ_Summary4"/>
      <sheetName val="Field_Values4"/>
      <sheetName val="PC_Master_List3"/>
      <sheetName val="Inc_St_-Link3"/>
      <sheetName val="Tender_Summary3"/>
      <sheetName val="&quot;S&quot;_Curve3"/>
      <sheetName val="safet_x005f_x000e____ems__3"/>
      <sheetName val="Detailed_04-06_(2)3"/>
      <sheetName val="Scaffolding_3"/>
      <sheetName val="RECONCI_lATION3"/>
      <sheetName val="AS_PER_TALLY3"/>
      <sheetName val="05-06_(Detailed)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Basement_Budget3"/>
      <sheetName val="Labor_abs-NMR3"/>
      <sheetName val="CABLE_DATA3"/>
      <sheetName val="10__&amp;_11__Rate_Code_&amp;_BQ3"/>
      <sheetName val="CPIPE_13"/>
      <sheetName val="Abstract_Sheet3"/>
      <sheetName val="Reconcilation_june3"/>
      <sheetName val="RCC,Ret__Wall3"/>
      <sheetName val="RMZ_Summary3"/>
      <sheetName val="Field_Values3"/>
      <sheetName val="PC_Master_List2"/>
      <sheetName val="Inc_St_-Link2"/>
      <sheetName val="Tender_Summary2"/>
      <sheetName val="&quot;S&quot;_Curve2"/>
      <sheetName val="safet_x005f_x000e____ems__2"/>
      <sheetName val="Detailed_04-06_(2)1"/>
      <sheetName val="Scaffolding_1"/>
      <sheetName val="RECONCI_lATION1"/>
      <sheetName val="AS_PER_TALLY1"/>
      <sheetName val="05-06_(Detailed)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Basement_Budget1"/>
      <sheetName val="Labor_abs-NMR1"/>
      <sheetName val="CABLE_DATA1"/>
      <sheetName val="10__&amp;_11__Rate_Code_&amp;_BQ1"/>
      <sheetName val="CPIPE_11"/>
      <sheetName val="Abstract_Sheet1"/>
      <sheetName val="Reconcilation_june1"/>
      <sheetName val="RCC,Ret__Wall1"/>
      <sheetName val="RMZ_Summary1"/>
      <sheetName val="Field_Values1"/>
      <sheetName val="PC_Master_List"/>
      <sheetName val="Inc_St_-Link"/>
      <sheetName val="Tender_Summary"/>
      <sheetName val="&quot;S&quot;_Curve"/>
      <sheetName val="safet_x005f_x000e____ems__"/>
      <sheetName val="Detailed_04-06_(2)2"/>
      <sheetName val="Scaffolding_2"/>
      <sheetName val="RECONCI_lATION2"/>
      <sheetName val="AS_PER_TALLY2"/>
      <sheetName val="05-06_(Detailed)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Basement_Budget2"/>
      <sheetName val="Labor_abs-NMR2"/>
      <sheetName val="CABLE_DATA2"/>
      <sheetName val="10__&amp;_11__Rate_Code_&amp;_BQ2"/>
      <sheetName val="CPIPE_12"/>
      <sheetName val="Abstract_Sheet2"/>
      <sheetName val="Reconcilation_june2"/>
      <sheetName val="RCC,Ret__Wall2"/>
      <sheetName val="RMZ_Summary2"/>
      <sheetName val="Field_Values2"/>
      <sheetName val="PC_Master_List1"/>
      <sheetName val="Inc_St_-Link1"/>
      <sheetName val="Tender_Summary1"/>
      <sheetName val="&quot;S&quot;_Curve1"/>
      <sheetName val="safet_x005f_x000e____ems__1"/>
      <sheetName val="Detailed_04-06_(2)5"/>
      <sheetName val="Scaffolding_5"/>
      <sheetName val="RECONCI_lATION5"/>
      <sheetName val="AS_PER_TALLY5"/>
      <sheetName val="05-06_(Detailed)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Basement_Budget5"/>
      <sheetName val="Labor_abs-NMR5"/>
      <sheetName val="CABLE_DATA5"/>
      <sheetName val="10__&amp;_11__Rate_Code_&amp;_BQ5"/>
      <sheetName val="CPIPE_15"/>
      <sheetName val="Abstract_Sheet5"/>
      <sheetName val="Reconcilation_june5"/>
      <sheetName val="RCC,Ret__Wall5"/>
      <sheetName val="RMZ_Summary5"/>
      <sheetName val="Field_Values5"/>
      <sheetName val="PC_Master_List4"/>
      <sheetName val="Inc_St_-Link4"/>
      <sheetName val="Tender_Summary4"/>
      <sheetName val="&quot;S&quot;_Curve4"/>
      <sheetName val="safet_x005f_x000e____ems__4"/>
      <sheetName val="Detailed_04-06_(2)7"/>
      <sheetName val="Scaffolding_7"/>
      <sheetName val="RECONCI_lATION7"/>
      <sheetName val="AS_PER_TALLY7"/>
      <sheetName val="05-06_(Detailed)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Basement_Budget7"/>
      <sheetName val="Labor_abs-NMR7"/>
      <sheetName val="CABLE_DATA7"/>
      <sheetName val="10__&amp;_11__Rate_Code_&amp;_BQ7"/>
      <sheetName val="CPIPE_17"/>
      <sheetName val="Abstract_Sheet7"/>
      <sheetName val="Reconcilation_june7"/>
      <sheetName val="RCC,Ret__Wall7"/>
      <sheetName val="RMZ_Summary7"/>
      <sheetName val="Field_Values7"/>
      <sheetName val="PC_Master_List6"/>
      <sheetName val="Inc_St_-Link6"/>
      <sheetName val="Tender_Summary6"/>
      <sheetName val="&quot;S&quot;_Curve6"/>
      <sheetName val="safet_x005f_x000e____ems__6"/>
      <sheetName val="Boq - Flats"/>
      <sheetName val="Quotation"/>
      <sheetName val="PCC"/>
      <sheetName val="Notes"/>
      <sheetName val="COLUMN"/>
      <sheetName val="BOQ-STRU CIVIL-TOTAL"/>
      <sheetName val="Results"/>
      <sheetName val="PLGroupings"/>
      <sheetName val="Main-Material"/>
      <sheetName val="DETAIL"/>
      <sheetName val="Variation Statement"/>
      <sheetName val="Measurment"/>
      <sheetName val="sheeet7"/>
      <sheetName val="RAJU ASSO"/>
      <sheetName val="TBAL9697 -group wise  sdpl"/>
      <sheetName val="gen"/>
      <sheetName val="CTC"/>
      <sheetName val="Summary Rates From Contract"/>
      <sheetName val="Summary_Rates_From_Contract"/>
      <sheetName val="S1 "/>
      <sheetName val="S7B "/>
      <sheetName val="S7A"/>
      <sheetName val="S6 "/>
      <sheetName val="S3 "/>
      <sheetName val="S2 "/>
      <sheetName val="Detailed_04-06_(2)8"/>
      <sheetName val="Scaffolding_8"/>
      <sheetName val="RECONCI_lATION8"/>
      <sheetName val="AS_PER_TALLY8"/>
      <sheetName val="05-06_(Detailed)8"/>
      <sheetName val="steel_8"/>
      <sheetName val="MS_Items8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Basement_Budget8"/>
      <sheetName val="Labor_abs-NMR8"/>
      <sheetName val="10__&amp;_11__Rate_Code_&amp;_BQ8"/>
      <sheetName val="CABLE_DATA8"/>
      <sheetName val="CPIPE_18"/>
      <sheetName val="Abstract_Sheet8"/>
      <sheetName val="Reconcilation_june8"/>
      <sheetName val="RCC,Ret__Wall8"/>
      <sheetName val="RMZ_Summary8"/>
      <sheetName val="Field_Values8"/>
      <sheetName val="PC_Master_List7"/>
      <sheetName val="Inc_St_-Link7"/>
      <sheetName val="Tender_Summary7"/>
      <sheetName val="&quot;S&quot;_Curve7"/>
      <sheetName val="safet_x005f_x000e____ems__7"/>
      <sheetName val="Boq_-_Flats"/>
      <sheetName val="BOQ-STRU_CIVIL-TOTAL"/>
      <sheetName val="Variation_Statement"/>
      <sheetName val="RAJU_ASSO"/>
      <sheetName val="TBAL9697_-group_wise__sdpl"/>
      <sheetName val="Summary_Rates_From_Contract1"/>
      <sheetName val="S1_"/>
      <sheetName val="S7B_"/>
      <sheetName val="S6_"/>
      <sheetName val="S3_"/>
      <sheetName val="S2_"/>
      <sheetName val="safet_x000e__x0000__x0000__x000"/>
      <sheetName val="safet_x000e____ems__5"/>
      <sheetName val="safet_x000e____ems__3"/>
      <sheetName val="safet_x000e____ems__2"/>
      <sheetName val="safet_x000e____ems__"/>
      <sheetName val="safet_x000e____ems__1"/>
      <sheetName val="safet_x000e____ems__4"/>
      <sheetName val="safet_x000e____ems__6"/>
      <sheetName val="safet_x000e_ems  "/>
      <sheetName val="safet_x000e__x000"/>
      <sheetName val="0+655"/>
      <sheetName val="wordsdata"/>
      <sheetName val="Calc_ISC"/>
      <sheetName val="Direct cost shed A-2 "/>
      <sheetName val="Client Vs.PC"/>
      <sheetName val="VCH-SLC"/>
      <sheetName val="Supplier"/>
      <sheetName val="BOQ-Part1"/>
      <sheetName val="sw summary"/>
      <sheetName val="Design"/>
      <sheetName val="Pile cap"/>
      <sheetName val="Fin Sum"/>
      <sheetName val="Labour"/>
      <sheetName val="Material"/>
      <sheetName val="Plant &amp;  Machinery"/>
      <sheetName val="BASIS -DEC 08"/>
      <sheetName val="Variables_x"/>
      <sheetName val="Legend"/>
      <sheetName val="Variables"/>
      <sheetName val="Project Budget Worksheet"/>
      <sheetName val="AOR"/>
      <sheetName val="Rate Analysis "/>
      <sheetName val="Extra Items - Old"/>
      <sheetName val="Query Results ALL"/>
      <sheetName val="LOCAL RATES"/>
      <sheetName val="Data"/>
      <sheetName val="Anlysis"/>
      <sheetName val="99 조정금액"/>
      <sheetName val="MPR_PA_1"/>
      <sheetName val="Pay_Sep06"/>
      <sheetName val="INPUT SHEET"/>
      <sheetName val="Macro"/>
      <sheetName val="GENERAL Beam  (B)"/>
      <sheetName val="Final MEASUREMENT RA - 04"/>
      <sheetName val="재1"/>
      <sheetName val="Approved MTD Proj #'s"/>
      <sheetName val="Detailed Summary (5)"/>
      <sheetName val="FORM7"/>
      <sheetName val="GL SLAB"/>
      <sheetName val="RW (B1 to GL)"/>
      <sheetName val="cubes_M20"/>
      <sheetName val="RA"/>
      <sheetName val="AoR Finishing"/>
      <sheetName val="Elect."/>
      <sheetName val="HF Blk 1"/>
      <sheetName val="Detailed_04-06_(2)11"/>
      <sheetName val="Scaffolding_11"/>
      <sheetName val="RECONCI_lATION11"/>
      <sheetName val="AS_PER_TALLY11"/>
      <sheetName val="05-06_(Detailed)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Basement_Budget11"/>
      <sheetName val="Labor_abs-NMR11"/>
      <sheetName val="CABLE_DATA11"/>
      <sheetName val="10__&amp;_11__Rate_Code_&amp;_BQ11"/>
      <sheetName val="CPIPE_111"/>
      <sheetName val="safet___ems__7"/>
      <sheetName val="Abstract_Sheet11"/>
      <sheetName val="Reconcilation_june11"/>
      <sheetName val="RCC,Ret__Wall11"/>
      <sheetName val="RMZ_Summary11"/>
      <sheetName val="Field_Values11"/>
      <sheetName val="PC_Master_List10"/>
      <sheetName val="Inc_St_-Link10"/>
      <sheetName val="Tender_Summary10"/>
      <sheetName val="&quot;S&quot;_Curve10"/>
      <sheetName val="safet_x005f_x000e____ems__10"/>
      <sheetName val="Boq_-_Flats3"/>
      <sheetName val="BOQ-STRU_CIVIL-TOTAL3"/>
      <sheetName val="Variation_Statement3"/>
      <sheetName val="RAJU_ASSO3"/>
      <sheetName val="TBAL9697_-group_wise__sdpl3"/>
      <sheetName val="safet_x000"/>
      <sheetName val="safet___ems__5"/>
      <sheetName val="safet___ems__3"/>
      <sheetName val="safet___ems__2"/>
      <sheetName val="safet___ems__1"/>
      <sheetName val="safet___ems__4"/>
      <sheetName val="safet___ems__6"/>
      <sheetName val="Summary_Rates_From_Contract4"/>
      <sheetName val="S1_3"/>
      <sheetName val="S7B_3"/>
      <sheetName val="S6_3"/>
      <sheetName val="S3_3"/>
      <sheetName val="S2_3"/>
      <sheetName val="Direct_cost_shed_A-2_2"/>
      <sheetName val="Client_Vs_PC2"/>
      <sheetName val="sw_summary2"/>
      <sheetName val="Pile_cap2"/>
      <sheetName val="Fin_Sum2"/>
      <sheetName val="Detailed_04-06_(2)10"/>
      <sheetName val="Scaffolding_10"/>
      <sheetName val="RECONCI_lATION10"/>
      <sheetName val="AS_PER_TALLY10"/>
      <sheetName val="05-06_(Detailed)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Basement_Budget10"/>
      <sheetName val="Labor_abs-NMR10"/>
      <sheetName val="10__&amp;_11__Rate_Code_&amp;_BQ10"/>
      <sheetName val="CABLE_DATA10"/>
      <sheetName val="CPIPE_110"/>
      <sheetName val="Abstract_Sheet10"/>
      <sheetName val="Reconcilation_june10"/>
      <sheetName val="RCC,Ret__Wall10"/>
      <sheetName val="RMZ_Summary10"/>
      <sheetName val="Field_Values10"/>
      <sheetName val="PC_Master_List9"/>
      <sheetName val="Inc_St_-Link9"/>
      <sheetName val="Tender_Summary9"/>
      <sheetName val="&quot;S&quot;_Curve9"/>
      <sheetName val="safet_x005f_x000e____ems__9"/>
      <sheetName val="Boq_-_Flats2"/>
      <sheetName val="BOQ-STRU_CIVIL-TOTAL2"/>
      <sheetName val="Variation_Statement2"/>
      <sheetName val="RAJU_ASSO2"/>
      <sheetName val="TBAL9697_-group_wise__sdpl2"/>
      <sheetName val="Summary_Rates_From_Contract3"/>
      <sheetName val="S1_2"/>
      <sheetName val="S7B_2"/>
      <sheetName val="S6_2"/>
      <sheetName val="S3_2"/>
      <sheetName val="S2_2"/>
      <sheetName val="Direct_cost_shed_A-2_1"/>
      <sheetName val="Client_Vs_PC1"/>
      <sheetName val="sw_summary1"/>
      <sheetName val="Pile_cap1"/>
      <sheetName val="Fin_Sum1"/>
      <sheetName val="Plant_&amp;__Machinery1"/>
      <sheetName val="BASIS_-DEC_081"/>
      <sheetName val="Project_Budget_Worksheet1"/>
      <sheetName val="Rate_Analysis_1"/>
      <sheetName val="Extra_Items_-_Old1"/>
      <sheetName val="Query_Results_ALL1"/>
      <sheetName val="LOCAL_RATES1"/>
      <sheetName val="99_조정금액1"/>
      <sheetName val="INPUT_SHEET1"/>
      <sheetName val="GENERAL_Beam__(B)1"/>
      <sheetName val="Final_MEASUREMENT_RA_-_041"/>
      <sheetName val="Approved_MTD_Proj_#'s1"/>
      <sheetName val="Detailed_Summary_(5)1"/>
      <sheetName val="GL_SLAB1"/>
      <sheetName val="RW_(B1_to_GL)1"/>
      <sheetName val="AoR_Finishing1"/>
      <sheetName val="Elect_1"/>
      <sheetName val="Detailed_04-06_(2)9"/>
      <sheetName val="Scaffolding_9"/>
      <sheetName val="RECONCI_lATION9"/>
      <sheetName val="AS_PER_TALLY9"/>
      <sheetName val="05-06_(Detailed)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Basement_Budget9"/>
      <sheetName val="Labor_abs-NMR9"/>
      <sheetName val="10__&amp;_11__Rate_Code_&amp;_BQ9"/>
      <sheetName val="CABLE_DATA9"/>
      <sheetName val="CPIPE_19"/>
      <sheetName val="Abstract_Sheet9"/>
      <sheetName val="Reconcilation_june9"/>
      <sheetName val="RCC,Ret__Wall9"/>
      <sheetName val="RMZ_Summary9"/>
      <sheetName val="Field_Values9"/>
      <sheetName val="PC_Master_List8"/>
      <sheetName val="Inc_St_-Link8"/>
      <sheetName val="Tender_Summary8"/>
      <sheetName val="&quot;S&quot;_Curve8"/>
      <sheetName val="safet_x005f_x000e____ems__8"/>
      <sheetName val="Boq_-_Flats1"/>
      <sheetName val="BOQ-STRU_CIVIL-TOTAL1"/>
      <sheetName val="Variation_Statement1"/>
      <sheetName val="RAJU_ASSO1"/>
      <sheetName val="TBAL9697_-group_wise__sdpl1"/>
      <sheetName val="Summary_Rates_From_Contract2"/>
      <sheetName val="S1_1"/>
      <sheetName val="S7B_1"/>
      <sheetName val="S6_1"/>
      <sheetName val="S3_1"/>
      <sheetName val="S2_1"/>
      <sheetName val="Direct_cost_shed_A-2_"/>
      <sheetName val="Client_Vs_PC"/>
      <sheetName val="sw_summary"/>
      <sheetName val="Pile_cap"/>
      <sheetName val="Fin_Sum"/>
      <sheetName val="Plant_&amp;__Machinery"/>
      <sheetName val="BASIS_-DEC_08"/>
      <sheetName val="Project_Budget_Worksheet"/>
      <sheetName val="Rate_Analysis_"/>
      <sheetName val="Extra_Items_-_Old"/>
      <sheetName val="Query_Results_ALL"/>
      <sheetName val="LOCAL_RATES"/>
      <sheetName val="99_조정금액"/>
      <sheetName val="INPUT_SHEET"/>
      <sheetName val="GENERAL_Beam__(B)"/>
      <sheetName val="Final_MEASUREMENT_RA_-_04"/>
      <sheetName val="Approved_MTD_Proj_#'s"/>
      <sheetName val="Detailed_Summary_(5)"/>
      <sheetName val="GL_SLAB"/>
      <sheetName val="RW_(B1_to_GL)"/>
      <sheetName val="AoR_Finishing"/>
      <sheetName val="Elect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"/>
      <sheetName val="04-05(detailed)"/>
      <sheetName val="05-06"/>
      <sheetName val="05-06 (Detailed)"/>
      <sheetName val="Scaffolding "/>
      <sheetName val="RECONCI lATION"/>
      <sheetName val="AS PER TALL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COLUMN"/>
      <sheetName val="Sheet1"/>
      <sheetName val="Break up Sheet"/>
      <sheetName val="Rate anaR_x0000_tÛs"/>
      <sheetName val="0_x0000_-&gt;6 (Detailed)"/>
      <sheetName val="Main-Material"/>
      <sheetName val="Rate anaR?tÛs"/>
      <sheetName val="Rate anaR"/>
      <sheetName val="0"/>
      <sheetName val="Rate anaR_tÛs"/>
      <sheetName val="PC Master List"/>
      <sheetName val="0?-&gt;6 (Detailed)"/>
      <sheetName val="0_-&gt;6 (Detailed)"/>
      <sheetName val="Notes"/>
      <sheetName val="NRC Rationalisation"/>
      <sheetName val="05-06_(Detailed)"/>
      <sheetName val="Scaffolding_"/>
      <sheetName val="RECONCI_lATION"/>
      <sheetName val="AS_PER_TALLY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Rate_anaR?tÛs"/>
      <sheetName val="0?-&gt;6_(Detailed)"/>
      <sheetName val="Rate_anaR"/>
      <sheetName val="Rate_anaR_tÛs"/>
      <sheetName val="PC_Master_List"/>
      <sheetName val="Rate_anaRtÛs"/>
      <sheetName val="0-&gt;6_(Detailed)"/>
      <sheetName val="0_-&gt;6_(Detailed)"/>
      <sheetName val="NRC_Rationalisation"/>
      <sheetName val="CABLE DATA"/>
      <sheetName val="RMZ Summary"/>
      <sheetName val="Footings"/>
      <sheetName val="horizontal"/>
      <sheetName val="BOQ_Direct_selling cost"/>
      <sheetName val="sept-plan"/>
      <sheetName val="LOCAL RATES"/>
      <sheetName val="Aseet1998"/>
      <sheetName val="RA-markate"/>
      <sheetName val="10. &amp; 11. Rate Code &amp; BQ"/>
      <sheetName val="Field Values"/>
      <sheetName val="RCC,Ret. Wall"/>
      <sheetName val="05-06_(Detailed)1"/>
      <sheetName val="Scaffolding_1"/>
      <sheetName val="RECONCI_lATION1"/>
      <sheetName val="AS_PER_TALLY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Rate_anaR?tÛs1"/>
      <sheetName val="Rate_anaR1"/>
      <sheetName val="Rate_anaR_tÛs1"/>
      <sheetName val="PC_Master_List1"/>
      <sheetName val="0?-&gt;6_(Detailed)1"/>
      <sheetName val="0_-&gt;6_(Detailed)1"/>
      <sheetName val="NRC_Rationalisation1"/>
      <sheetName val="CABLE_DATA"/>
      <sheetName val="RMZ_Summary"/>
      <sheetName val="BOQ_Direct_selling_cost"/>
      <sheetName val="LOCAL_RATES"/>
      <sheetName val="10__&amp;_11__Rate_Code_&amp;_BQ"/>
      <sheetName val="Field_Values"/>
      <sheetName val="RCC,Ret__Wall"/>
      <sheetName val="RA_markate"/>
      <sheetName val="BOQ-Tower"/>
      <sheetName val="ANALYSIS"/>
      <sheetName val="RECAPITULATION"/>
      <sheetName val="std.wt."/>
      <sheetName val="Assumptions"/>
      <sheetName val="boq"/>
      <sheetName val="Exp"/>
      <sheetName val="Sheet2"/>
      <sheetName val="Rate anaR_x005f_x0000_tÛs"/>
      <sheetName val="0_x005f_x0000_-&gt;6 (Detailed)"/>
      <sheetName val="Plant Cost"/>
      <sheetName val="Rates"/>
      <sheetName val="Rate anaRtÛs"/>
      <sheetName val="0-&gt;6 (Detailed)"/>
      <sheetName val="Tulip Recon"/>
      <sheetName val="Cable-data"/>
      <sheetName val="Boq - Flats"/>
      <sheetName val="p&amp;m"/>
      <sheetName val="concrete"/>
      <sheetName val="05-06_(Detailed)7"/>
      <sheetName val="Scaffolding_7"/>
      <sheetName val="RECONCI_lATION7"/>
      <sheetName val="AS_PER_TALLY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Rate_anaR?tÛs7"/>
      <sheetName val="Rate_anaR7"/>
      <sheetName val="Rate_anaR_tÛs7"/>
      <sheetName val="PC_Master_List7"/>
      <sheetName val="0?-&gt;6_(Detailed)7"/>
      <sheetName val="0_-&gt;6_(Detailed)7"/>
      <sheetName val="NRC_Rationalisation7"/>
      <sheetName val="CABLE_DATA6"/>
      <sheetName val="RMZ_Summary6"/>
      <sheetName val="BOQ_Direct_selling_cost6"/>
      <sheetName val="LOCAL_RATES6"/>
      <sheetName val="10__&amp;_11__Rate_Code_&amp;_BQ6"/>
      <sheetName val="Field_Values6"/>
      <sheetName val="RCC,Ret__Wall6"/>
      <sheetName val="std_wt_5"/>
      <sheetName val="Rate_anaR_x005f_x0000_tÛs5"/>
      <sheetName val="0_x005f_x0000_-&gt;6_(Detailed)5"/>
      <sheetName val="Plant_Cost5"/>
      <sheetName val="Tulip_Recon5"/>
      <sheetName val="Boq_-_Flats5"/>
      <sheetName val="05-06_(Detailed)5"/>
      <sheetName val="Scaffolding_5"/>
      <sheetName val="RECONCI_lATION5"/>
      <sheetName val="AS_PER_TALLY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Rate_anaR?tÛs5"/>
      <sheetName val="Rate_anaR5"/>
      <sheetName val="Rate_anaR_tÛs5"/>
      <sheetName val="PC_Master_List5"/>
      <sheetName val="0?-&gt;6_(Detailed)5"/>
      <sheetName val="0_-&gt;6_(Detailed)5"/>
      <sheetName val="NRC_Rationalisation5"/>
      <sheetName val="CABLE_DATA4"/>
      <sheetName val="RMZ_Summary4"/>
      <sheetName val="BOQ_Direct_selling_cost4"/>
      <sheetName val="LOCAL_RATES4"/>
      <sheetName val="10__&amp;_11__Rate_Code_&amp;_BQ4"/>
      <sheetName val="Field_Values4"/>
      <sheetName val="RCC,Ret__Wall4"/>
      <sheetName val="std_wt_3"/>
      <sheetName val="Rate_anaR_x005f_x0000_tÛs3"/>
      <sheetName val="0_x005f_x0000_-&gt;6_(Detailed)3"/>
      <sheetName val="Plant_Cost3"/>
      <sheetName val="05-06_(Detailed)4"/>
      <sheetName val="Scaffolding_4"/>
      <sheetName val="RECONCI_lATION4"/>
      <sheetName val="AS_PER_TALLY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Rate_anaR?tÛs4"/>
      <sheetName val="Rate_anaR4"/>
      <sheetName val="Rate_anaR_tÛs4"/>
      <sheetName val="PC_Master_List4"/>
      <sheetName val="0?-&gt;6_(Detailed)4"/>
      <sheetName val="0_-&gt;6_(Detailed)4"/>
      <sheetName val="NRC_Rationalisation4"/>
      <sheetName val="CABLE_DATA3"/>
      <sheetName val="RMZ_Summary3"/>
      <sheetName val="BOQ_Direct_selling_cost3"/>
      <sheetName val="LOCAL_RATES3"/>
      <sheetName val="10__&amp;_11__Rate_Code_&amp;_BQ3"/>
      <sheetName val="Field_Values3"/>
      <sheetName val="RCC,Ret__Wall3"/>
      <sheetName val="std_wt_2"/>
      <sheetName val="Rate_anaR_x005f_x0000_tÛs2"/>
      <sheetName val="0_x005f_x0000_-&gt;6_(Detailed)2"/>
      <sheetName val="Plant_Cost2"/>
      <sheetName val="Tulip_Recon2"/>
      <sheetName val="Boq_-_Flats2"/>
      <sheetName val="05-06_(Detailed)2"/>
      <sheetName val="Scaffolding_2"/>
      <sheetName val="RECONCI_lATION2"/>
      <sheetName val="AS_PER_TALLY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Rate_anaR?tÛs2"/>
      <sheetName val="Rate_anaR2"/>
      <sheetName val="Rate_anaR_tÛs2"/>
      <sheetName val="PC_Master_List2"/>
      <sheetName val="0?-&gt;6_(Detailed)2"/>
      <sheetName val="0_-&gt;6_(Detailed)2"/>
      <sheetName val="NRC_Rationalisation2"/>
      <sheetName val="CABLE_DATA1"/>
      <sheetName val="RMZ_Summary1"/>
      <sheetName val="BOQ_Direct_selling_cost1"/>
      <sheetName val="LOCAL_RATES1"/>
      <sheetName val="10__&amp;_11__Rate_Code_&amp;_BQ1"/>
      <sheetName val="Field_Values1"/>
      <sheetName val="RCC,Ret__Wall1"/>
      <sheetName val="std_wt_"/>
      <sheetName val="Rate_anaR_x005f_x0000_tÛs"/>
      <sheetName val="0_x005f_x0000_-&gt;6_(Detailed)"/>
      <sheetName val="Plant_Cost"/>
      <sheetName val="Tulip_Recon"/>
      <sheetName val="Boq_-_Flats"/>
      <sheetName val="05-06_(Detailed)3"/>
      <sheetName val="Scaffolding_3"/>
      <sheetName val="RECONCI_lATION3"/>
      <sheetName val="AS_PER_TALLY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Rate_anaR?tÛs3"/>
      <sheetName val="Rate_anaR3"/>
      <sheetName val="Rate_anaR_tÛs3"/>
      <sheetName val="PC_Master_List3"/>
      <sheetName val="0?-&gt;6_(Detailed)3"/>
      <sheetName val="0_-&gt;6_(Detailed)3"/>
      <sheetName val="NRC_Rationalisation3"/>
      <sheetName val="CABLE_DATA2"/>
      <sheetName val="RMZ_Summary2"/>
      <sheetName val="BOQ_Direct_selling_cost2"/>
      <sheetName val="LOCAL_RATES2"/>
      <sheetName val="10__&amp;_11__Rate_Code_&amp;_BQ2"/>
      <sheetName val="Field_Values2"/>
      <sheetName val="RCC,Ret__Wall2"/>
      <sheetName val="std_wt_1"/>
      <sheetName val="Rate_anaR_x005f_x0000_tÛs1"/>
      <sheetName val="0_x005f_x0000_-&gt;6_(Detailed)1"/>
      <sheetName val="Plant_Cost1"/>
      <sheetName val="Tulip_Recon1"/>
      <sheetName val="Boq_-_Flats1"/>
      <sheetName val="Tulip_Recon3"/>
      <sheetName val="Boq_-_Flats3"/>
      <sheetName val="05-06_(Detailed)6"/>
      <sheetName val="Scaffolding_6"/>
      <sheetName val="RECONCI_lATION6"/>
      <sheetName val="AS_PER_TALLY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Rate_anaR?tÛs6"/>
      <sheetName val="Rate_anaR6"/>
      <sheetName val="Rate_anaR_tÛs6"/>
      <sheetName val="PC_Master_List6"/>
      <sheetName val="0?-&gt;6_(Detailed)6"/>
      <sheetName val="0_-&gt;6_(Detailed)6"/>
      <sheetName val="NRC_Rationalisation6"/>
      <sheetName val="CABLE_DATA5"/>
      <sheetName val="RMZ_Summary5"/>
      <sheetName val="BOQ_Direct_selling_cost5"/>
      <sheetName val="LOCAL_RATES5"/>
      <sheetName val="10__&amp;_11__Rate_Code_&amp;_BQ5"/>
      <sheetName val="Field_Values5"/>
      <sheetName val="RCC,Ret__Wall5"/>
      <sheetName val="std_wt_4"/>
      <sheetName val="Rate_anaR_x005f_x0000_tÛs4"/>
      <sheetName val="0_x005f_x0000_-&gt;6_(Detailed)4"/>
      <sheetName val="Plant_Cost4"/>
      <sheetName val="Tulip_Recon4"/>
      <sheetName val="Boq_-_Flats4"/>
      <sheetName val="M.S."/>
      <sheetName val="lookup"/>
      <sheetName val="E1"/>
      <sheetName val="05-06_(Detailed)8"/>
      <sheetName val="Scaffolding_8"/>
      <sheetName val="RECONCI_lATION8"/>
      <sheetName val="AS_PER_TALLY8"/>
      <sheetName val="steel_8"/>
      <sheetName val="MS_Items8"/>
      <sheetName val="Cover"/>
      <sheetName val="Project Budget Worksheet"/>
      <sheetName val="HF Blk 1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Rate_anaR?tÛs8"/>
      <sheetName val="Rate_anaR8"/>
      <sheetName val="Rate_anaR_tÛs8"/>
      <sheetName val="PC_Master_List8"/>
      <sheetName val="0?-&gt;6_(Detailed)8"/>
      <sheetName val="0_-&gt;6_(Detailed)8"/>
      <sheetName val="NRC_Rationalisation8"/>
      <sheetName val="CABLE_DATA7"/>
      <sheetName val="RMZ_Summary7"/>
      <sheetName val="BOQ_Direct_selling_cost7"/>
      <sheetName val="LOCAL_RATES7"/>
      <sheetName val="10__&amp;_11__Rate_Code_&amp;_BQ7"/>
      <sheetName val="Field_Values7"/>
      <sheetName val="RCC,Ret__Wall7"/>
      <sheetName val="std_wt_6"/>
      <sheetName val="Rate_anaR_x005f_x0000_tÛs6"/>
      <sheetName val="0_x005f_x0000_-&gt;6_(Detailed)6"/>
      <sheetName val="Plant_Cost6"/>
      <sheetName val="Tulip_Recon6"/>
      <sheetName val="Boq_-_Flats6"/>
      <sheetName val="M_S_"/>
      <sheetName val="P&amp;L-BDMC"/>
      <sheetName val="conc-foot-gradeslab"/>
      <sheetName val="Abstract Sheet"/>
      <sheetName val="Cd"/>
      <sheetName val="Cs"/>
      <sheetName val="CPIPE"/>
      <sheetName val="THK"/>
      <sheetName val="CPIPE 1"/>
      <sheetName val="PCC"/>
      <sheetName val="final abstract"/>
      <sheetName val="mem-property"/>
      <sheetName val="Project Details.."/>
      <sheetName val="Top Line - WWW"/>
      <sheetName val="Validation"/>
      <sheetName val="Comparative"/>
      <sheetName val="Labor abs-NMR"/>
      <sheetName val="Base data Security Procedures"/>
      <sheetName val="data"/>
      <sheetName val="Lookup data"/>
      <sheetName val="Lookup Tables"/>
      <sheetName val="Rate anaR_x005f_x005f_x005f_x0000_tÛs"/>
      <sheetName val="0_x005f_x005f_x005f_x0000_-&gt;6 (Detailed)"/>
      <sheetName val="trial flow sheet"/>
      <sheetName val="d-safe DELUXE"/>
      <sheetName val="2.대외공문"/>
      <sheetName val="Input"/>
      <sheetName val="Rate anaR_x005f_x005f_x005f_x005f_x005f_x005f_x00"/>
      <sheetName val="0_x005f_x005f_x005f_x005f_x005f_x005f_x005f_x0000_-&gt;6 ("/>
      <sheetName val="WWR"/>
      <sheetName val="cubes_M20"/>
      <sheetName val="Project_Budget_Worksheet"/>
      <sheetName val="Abstract_Sheet"/>
      <sheetName val="CPIPE_1"/>
      <sheetName val="Rate_anaRtÛs5"/>
      <sheetName val="0-&gt;6_(Detailed)5"/>
      <sheetName val="Rate_anaRtÛs3"/>
      <sheetName val="0-&gt;6_(Detailed)3"/>
      <sheetName val="Rate_anaRtÛs2"/>
      <sheetName val="0-&gt;6_(Detailed)2"/>
      <sheetName val="Rate_anaRtÛs1"/>
      <sheetName val="0-&gt;6_(Detailed)1"/>
      <sheetName val="Rate_anaRtÛs4"/>
      <sheetName val="0-&gt;6_(Detailed)4"/>
      <sheetName val="Rate_anaRtÛs6"/>
      <sheetName val="0-&gt;6_(Detailed)6"/>
      <sheetName val="Rate anaR_x005f_x005f_x00"/>
      <sheetName val="0_x005f_x005f_x005f_x0000_-&gt;6 ("/>
      <sheetName val="Tender Summary"/>
      <sheetName val="Rate_anaR_x0000_tÛs5"/>
      <sheetName val="0_x0000_-&gt;6_(Detailed)5"/>
      <sheetName val="Rate_anaR_x0000_tÛs3"/>
      <sheetName val="0_x0000_-&gt;6_(Detailed)3"/>
      <sheetName val="Rate_anaR_x0000_tÛs2"/>
      <sheetName val="0_x0000_-&gt;6_(Detailed)2"/>
      <sheetName val="Rate_anaR_x0000_tÛs"/>
      <sheetName val="0_x0000_-&gt;6_(Detailed)"/>
      <sheetName val="Rate_anaR_x0000_tÛs1"/>
      <sheetName val="0_x0000_-&gt;6_(Detailed)1"/>
      <sheetName val="Rate_anaR_x0000_tÛs4"/>
      <sheetName val="0_x0000_-&gt;6_(Detailed)4"/>
      <sheetName val="Rate_anaR_x0000_tÛs6"/>
      <sheetName val="0_x0000_-&gt;6_(Detailed)6"/>
      <sheetName val="Query Results ALL"/>
      <sheetName val="Dels"/>
      <sheetName val="PO"/>
      <sheetName val="Codes"/>
      <sheetName val="RAJU ASSO"/>
      <sheetName val="Summary"/>
      <sheetName val="Batching plant"/>
      <sheetName val="Builtup Area"/>
      <sheetName val="Portfolio Summary"/>
      <sheetName val="Factor Sheet"/>
      <sheetName val="P1-1(1)"/>
      <sheetName val="細目"/>
      <sheetName val="CFForecast detail"/>
      <sheetName val="Fin Sum"/>
      <sheetName val="AD ST"/>
      <sheetName val="Dep"/>
      <sheetName val="Sheet3 (2)"/>
      <sheetName val="Formulas"/>
      <sheetName val="Approved MTD Proj #'s"/>
      <sheetName val="estimate"/>
      <sheetName val="Rollup Summary"/>
      <sheetName val="3cd Annexure"/>
      <sheetName val="Measurment"/>
      <sheetName val="2000 MOR"/>
      <sheetName val="BRD"/>
      <sheetName val="Summary_BRD"/>
      <sheetName val="Sheet3"/>
      <sheetName val="Lookup_Tables"/>
      <sheetName val="trial_flow_sheet"/>
      <sheetName val="d-safe_DELUXE"/>
      <sheetName val="Abstract_Sheet1"/>
      <sheetName val="CPIPE_11"/>
      <sheetName val="Lookup_Tables1"/>
      <sheetName val="trial_flow_sheet1"/>
      <sheetName val="d-safe_DELUXE1"/>
      <sheetName val="final_abstract"/>
      <sheetName val="2_대외공문"/>
      <sheetName val="final_abstract1"/>
      <sheetName val="2_대외공문1"/>
      <sheetName val="Rate_anaR_x005f_x005f_x005f_x0000_tÛs"/>
      <sheetName val="0_x005f_x005f_x005f_x0000_-&gt;6_(Detailed)"/>
      <sheetName val="Rate_anaR_x005f_x005f_x005f_x0000_tÛs1"/>
      <sheetName val="0_x005f_x005f_x005f_x0000_-&gt;6_(Detailed)1"/>
      <sheetName val="GENERAL Beam  (B)"/>
      <sheetName val="INPUT SHEET"/>
      <sheetName val="MPR_PA_1"/>
      <sheetName val="Attributes"/>
      <sheetName val="99 조정금액"/>
      <sheetName val="AREA"/>
      <sheetName val="HEAD"/>
      <sheetName val="Labour"/>
      <sheetName val="factors"/>
      <sheetName val="Design sheet"/>
      <sheetName val="Rate Analysis "/>
      <sheetName val="std_wt_7"/>
      <sheetName val="05-06_(Detailed)15"/>
      <sheetName val="Scaffolding_15"/>
      <sheetName val="RECONCI_lATION15"/>
      <sheetName val="AS_PER_TALLY15"/>
      <sheetName val="steel_15"/>
      <sheetName val="MS_Items15"/>
      <sheetName val="Tower_Crane_Operation15"/>
      <sheetName val="_NET_ADDITONAL_C_(10years))15"/>
      <sheetName val="TOWER_CRANE_COST_15"/>
      <sheetName val="Mobi_(estimation)15"/>
      <sheetName val="Preliminaries_(estimation)15"/>
      <sheetName val="Abs_pile_15"/>
      <sheetName val="costing_pile_15"/>
      <sheetName val="cutting_final15"/>
      <sheetName val="Block_B15"/>
      <sheetName val="Block_A_15"/>
      <sheetName val="GERMAN_TOOL15"/>
      <sheetName val="C_class_cumulative15"/>
      <sheetName val="Tower_cra-det15"/>
      <sheetName val="Tower_cra_Found15"/>
      <sheetName val="Tower_Crane_Final15"/>
      <sheetName val="Staff_Salary15"/>
      <sheetName val="safety_items__15"/>
      <sheetName val="Tools_15"/>
      <sheetName val="Rate_analysis15"/>
      <sheetName val="RMC10_15"/>
      <sheetName val="RMC_7_5_15"/>
      <sheetName val="RMC40_15"/>
      <sheetName val="RMC25_15"/>
      <sheetName val="Abs_sheet15"/>
      <sheetName val="Break_up_Sheet15"/>
      <sheetName val="Rate_anaR?tÛs15"/>
      <sheetName val="Rate_anaR15"/>
      <sheetName val="Rate_anaR_tÛs15"/>
      <sheetName val="PC_Master_List15"/>
      <sheetName val="CABLE_DATA15"/>
      <sheetName val="RMZ_Summary15"/>
      <sheetName val="GL SLAB"/>
      <sheetName val="RW (B1 to GL)"/>
      <sheetName val="AoR Finishing"/>
      <sheetName val="strain"/>
      <sheetName val="05-06_(Detailed)11"/>
      <sheetName val="Scaffolding_11"/>
      <sheetName val="RECONCI_lATION11"/>
      <sheetName val="AS_PER_TALLY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Rate_anaRtÛs7"/>
      <sheetName val="0-&gt;6_(Detailed)7"/>
      <sheetName val="Rate_anaR?tÛs11"/>
      <sheetName val="Rate_anaR11"/>
      <sheetName val="Rate_anaR_tÛs11"/>
      <sheetName val="PC_Master_List11"/>
      <sheetName val="0?-&gt;6_(Detailed)11"/>
      <sheetName val="0_-&gt;6_(Detailed)11"/>
      <sheetName val="NRC_Rationalisation11"/>
      <sheetName val="CABLE_DATA10"/>
      <sheetName val="RMZ_Summary10"/>
      <sheetName val="BOQ_Direct_selling_cost10"/>
      <sheetName val="LOCAL_RATES10"/>
      <sheetName val="10__&amp;_11__Rate_Code_&amp;_BQ10"/>
      <sheetName val="Field_Values10"/>
      <sheetName val="RCC,Ret__Wall10"/>
      <sheetName val="std_wt_10"/>
      <sheetName val="Rate_anaR_x005f_x0000_tÛs9"/>
      <sheetName val="0_x005f_x0000_-&gt;6_(Detailed)9"/>
      <sheetName val="Plant_Cost9"/>
      <sheetName val="Tulip_Recon9"/>
      <sheetName val="Boq_-_Flats9"/>
      <sheetName val="M_S_3"/>
      <sheetName val="Project_Budget_Worksheet3"/>
      <sheetName val="Abstract_Sheet4"/>
      <sheetName val="CPIPE_14"/>
      <sheetName val="final_abstract4"/>
      <sheetName val="HF_Blk_12"/>
      <sheetName val="Project_Details__2"/>
      <sheetName val="Top_Line_-_WWW2"/>
      <sheetName val="Labor_abs-NMR2"/>
      <sheetName val="Base_data_Security_Procedures2"/>
      <sheetName val="Lookup_data2"/>
      <sheetName val="Lookup_Tables4"/>
      <sheetName val="Rate_anaR_x005f_x005f_x005f_x0000_tÛs4"/>
      <sheetName val="0_x005f_x005f_x005f_x0000_-&gt;6_(Detailed)4"/>
      <sheetName val="trial_flow_sheet4"/>
      <sheetName val="d-safe_DELUXE4"/>
      <sheetName val="2_대외공문4"/>
      <sheetName val="Rate_anaR_x005f_x005f_x005f_x005f_x005f_x005f_x02"/>
      <sheetName val="0_x005f_x005f_x005f_x005f_x005f_x005f_x005f_x0000_-&gt;6_2"/>
      <sheetName val="Rate_anaR_x005f_x005f_x002"/>
      <sheetName val="0_x005f_x005f_x005f_x0000_-&gt;6_(2"/>
      <sheetName val="Tender_Summary2"/>
      <sheetName val="Rate_anaRtÛs9"/>
      <sheetName val="0-&gt;6_(Detailed)9"/>
      <sheetName val="05-06_(Detailed)10"/>
      <sheetName val="Scaffolding_10"/>
      <sheetName val="RECONCI_lATION10"/>
      <sheetName val="AS_PER_TALLY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Rate_anaR?tÛs10"/>
      <sheetName val="Rate_anaR10"/>
      <sheetName val="Rate_anaR_tÛs10"/>
      <sheetName val="PC_Master_List10"/>
      <sheetName val="0?-&gt;6_(Detailed)10"/>
      <sheetName val="0_-&gt;6_(Detailed)10"/>
      <sheetName val="NRC_Rationalisation10"/>
      <sheetName val="CABLE_DATA9"/>
      <sheetName val="RMZ_Summary9"/>
      <sheetName val="BOQ_Direct_selling_cost9"/>
      <sheetName val="LOCAL_RATES9"/>
      <sheetName val="10__&amp;_11__Rate_Code_&amp;_BQ9"/>
      <sheetName val="Field_Values9"/>
      <sheetName val="RCC,Ret__Wall9"/>
      <sheetName val="std_wt_9"/>
      <sheetName val="Rate_anaR_x005f_x0000_tÛs8"/>
      <sheetName val="0_x005f_x0000_-&gt;6_(Detailed)8"/>
      <sheetName val="Plant_Cost8"/>
      <sheetName val="Tulip_Recon8"/>
      <sheetName val="Boq_-_Flats8"/>
      <sheetName val="M_S_2"/>
      <sheetName val="Project_Budget_Worksheet2"/>
      <sheetName val="Abstract_Sheet3"/>
      <sheetName val="CPIPE_13"/>
      <sheetName val="final_abstract3"/>
      <sheetName val="HF_Blk_11"/>
      <sheetName val="Project_Details__1"/>
      <sheetName val="Top_Line_-_WWW1"/>
      <sheetName val="Labor_abs-NMR1"/>
      <sheetName val="Base_data_Security_Procedures1"/>
      <sheetName val="Lookup_data1"/>
      <sheetName val="Lookup_Tables3"/>
      <sheetName val="Rate_anaR_x005f_x005f_x005f_x0000_tÛs3"/>
      <sheetName val="0_x005f_x005f_x005f_x0000_-&gt;6_(Detailed)3"/>
      <sheetName val="trial_flow_sheet3"/>
      <sheetName val="d-safe_DELUXE3"/>
      <sheetName val="2_대외공문3"/>
      <sheetName val="Rate_anaR_x005f_x005f_x005f_x005f_x005f_x005f_x01"/>
      <sheetName val="0_x005f_x005f_x005f_x005f_x005f_x005f_x005f_x0000_-&gt;6_1"/>
      <sheetName val="Rate_anaR_x005f_x005f_x001"/>
      <sheetName val="0_x005f_x005f_x005f_x0000_-&gt;6_(1"/>
      <sheetName val="Tender_Summary1"/>
      <sheetName val="Rate_anaRtÛs8"/>
      <sheetName val="0-&gt;6_(Detailed)8"/>
      <sheetName val="Query_Results_ALL1"/>
      <sheetName val="RAJU_ASSO1"/>
      <sheetName val="Batching_plant1"/>
      <sheetName val="Builtup_Area1"/>
      <sheetName val="Portfolio_Summary1"/>
      <sheetName val="Factor_Sheet1"/>
      <sheetName val="CFForecast_detail1"/>
      <sheetName val="Fin_Sum1"/>
      <sheetName val="AD_ST1"/>
      <sheetName val="Sheet3_(2)1"/>
      <sheetName val="Approved_MTD_Proj_#'s1"/>
      <sheetName val="Rollup_Summary1"/>
      <sheetName val="3cd_Annexure1"/>
      <sheetName val="2000_MOR1"/>
      <sheetName val="GENERAL_Beam__(B)1"/>
      <sheetName val="INPUT_SHEET1"/>
      <sheetName val="99_조정금액1"/>
      <sheetName val="Design_sheet1"/>
      <sheetName val="Rate_Analysis_1"/>
      <sheetName val="GL_SLAB1"/>
      <sheetName val="RW_(B1_to_GL)1"/>
      <sheetName val="AoR_Finishing1"/>
      <sheetName val="05-06_(Detailed)9"/>
      <sheetName val="Scaffolding_9"/>
      <sheetName val="RECONCI_lATION9"/>
      <sheetName val="AS_PER_TALLY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Rate_anaR?tÛs9"/>
      <sheetName val="Rate_anaR9"/>
      <sheetName val="Rate_anaR_tÛs9"/>
      <sheetName val="PC_Master_List9"/>
      <sheetName val="0?-&gt;6_(Detailed)9"/>
      <sheetName val="0_-&gt;6_(Detailed)9"/>
      <sheetName val="NRC_Rationalisation9"/>
      <sheetName val="CABLE_DATA8"/>
      <sheetName val="RMZ_Summary8"/>
      <sheetName val="BOQ_Direct_selling_cost8"/>
      <sheetName val="LOCAL_RATES8"/>
      <sheetName val="10__&amp;_11__Rate_Code_&amp;_BQ8"/>
      <sheetName val="Field_Values8"/>
      <sheetName val="RCC,Ret__Wall8"/>
      <sheetName val="std_wt_8"/>
      <sheetName val="Rate_anaR_x005f_x0000_tÛs7"/>
      <sheetName val="0_x005f_x0000_-&gt;6_(Detailed)7"/>
      <sheetName val="Plant_Cost7"/>
      <sheetName val="Tulip_Recon7"/>
      <sheetName val="Boq_-_Flats7"/>
      <sheetName val="M_S_1"/>
      <sheetName val="Project_Budget_Worksheet1"/>
      <sheetName val="Abstract_Sheet2"/>
      <sheetName val="CPIPE_12"/>
      <sheetName val="final_abstract2"/>
      <sheetName val="HF_Blk_1"/>
      <sheetName val="Project_Details__"/>
      <sheetName val="Top_Line_-_WWW"/>
      <sheetName val="Labor_abs-NMR"/>
      <sheetName val="Base_data_Security_Procedures"/>
      <sheetName val="Lookup_data"/>
      <sheetName val="Lookup_Tables2"/>
      <sheetName val="Rate_anaR_x005f_x005f_x005f_x0000_tÛs2"/>
      <sheetName val="0_x005f_x005f_x005f_x0000_-&gt;6_(Detailed)2"/>
      <sheetName val="trial_flow_sheet2"/>
      <sheetName val="d-safe_DELUXE2"/>
      <sheetName val="2_대외공문2"/>
      <sheetName val="Rate_anaR_x005f_x005f_x005f_x005f_x005f_x005f_x00"/>
      <sheetName val="0_x005f_x005f_x005f_x005f_x005f_x005f_x005f_x0000_-&gt;6_("/>
      <sheetName val="Rate_anaR_x005f_x005f_x00"/>
      <sheetName val="0_x005f_x005f_x005f_x0000_-&gt;6_("/>
      <sheetName val="Tender_Summary"/>
      <sheetName val="Query_Results_ALL"/>
      <sheetName val="RAJU_ASSO"/>
      <sheetName val="Batching_plant"/>
      <sheetName val="Builtup_Area"/>
      <sheetName val="Portfolio_Summary"/>
      <sheetName val="Factor_Sheet"/>
      <sheetName val="CFForecast_detail"/>
      <sheetName val="Fin_Sum"/>
      <sheetName val="AD_ST"/>
      <sheetName val="Sheet3_(2)"/>
      <sheetName val="Approved_MTD_Proj_#'s"/>
      <sheetName val="Rollup_Summary"/>
      <sheetName val="3cd_Annexure"/>
      <sheetName val="2000_MOR"/>
      <sheetName val="GENERAL_Beam__(B)"/>
      <sheetName val="INPUT_SHEET"/>
      <sheetName val="99_조정금액"/>
      <sheetName val="Design_sheet"/>
      <sheetName val="Rate_Analysis_"/>
      <sheetName val="GL_SLAB"/>
      <sheetName val="RW_(B1_to_GL)"/>
      <sheetName val="AoR_Finishing"/>
      <sheetName val="shuttering"/>
      <sheetName val="Pile cap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HF Blk 1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HF_Blk_1"/>
      <sheetName val="MASTER WORK SHEET - ESTIMATE HI"/>
      <sheetName val="Basement Budget"/>
      <sheetName val="Headings"/>
      <sheetName val="ESTIMATE for approval"/>
      <sheetName val="Base Data"/>
      <sheetName val="Terrace"/>
      <sheetName val="Staircase"/>
      <sheetName val="Shear Wall "/>
      <sheetName val="Chejja ,Lintel &amp; Sill"/>
      <sheetName val="Abstract-finishes"/>
      <sheetName val="Data"/>
      <sheetName val="final estimate"/>
      <sheetName val="Proj.Info"/>
      <sheetName val="Estimate"/>
      <sheetName val="Material"/>
      <sheetName val="Tiles Budget"/>
      <sheetName val="Other - Quantity"/>
      <sheetName val="Other RA"/>
      <sheetName val="Terrace Floor Additional materi"/>
      <sheetName val="Scaffolding"/>
      <sheetName val="Piling - GFC"/>
      <sheetName val="Gym"/>
      <sheetName val="SGML"/>
      <sheetName val="R1 BOQ"/>
      <sheetName val="steel abs"/>
      <sheetName val="SIL"/>
      <sheetName val="Piling"/>
      <sheetName val="SLR-R1"/>
      <sheetName val="SLR"/>
      <sheetName val="Sheet3"/>
      <sheetName val="Latest PO report"/>
      <sheetName val="Backfilling using quary dust"/>
      <sheetName val="QTY"/>
      <sheetName val="Labor charges"/>
      <sheetName val="Technician wage"/>
      <sheetName val="Tiling &amp; Granite labor"/>
      <sheetName val="Core cutting"/>
      <sheetName val="Labour cess"/>
      <sheetName val="Budgetary BOQ"/>
      <sheetName val="EST-CIVIL"/>
      <sheetName val="External works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HF_Blk_16"/>
      <sheetName val="MASTER_WORK_SHEET_-_ESTIMATE_H5"/>
      <sheetName val="Basement_Budget5"/>
      <sheetName val="ESTIMATE_for_approval5"/>
      <sheetName val="Base_Data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HF_Blk_14"/>
      <sheetName val="MASTER_WORK_SHEET_-_ESTIMATE_H3"/>
      <sheetName val="Basement_Budget3"/>
      <sheetName val="ESTIMATE_for_approva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HF_Blk_13"/>
      <sheetName val="MASTER_WORK_SHEET_-_ESTIMATE_H2"/>
      <sheetName val="Basement_Budget2"/>
      <sheetName val="ESTIMATE_for_approval2"/>
      <sheetName val="Base_Data2"/>
      <sheetName val="Shear_Wall_2"/>
      <sheetName val="Chejja_,Lintel_&amp;_Sill2"/>
      <sheetName val="final_estimate2"/>
      <sheetName val="Proj_Info2"/>
      <sheetName val="Tiles_Budget2"/>
      <sheetName val="Other_-_Quantity2"/>
      <sheetName val="Other_RA2"/>
      <sheetName val="Terrace_Floor_Additional_mater2"/>
      <sheetName val="Piling_-_GFC2"/>
      <sheetName val="R1_BOQ2"/>
      <sheetName val="steel_abs2"/>
      <sheetName val="Latest_PO_report2"/>
      <sheetName val="Backfilling_using_quary_dust2"/>
      <sheetName val="Labor_charges2"/>
      <sheetName val="Technician_wage2"/>
      <sheetName val="Tiling_&amp;_Granite_labor2"/>
      <sheetName val="Core_cutting2"/>
      <sheetName val="Labour_cess2"/>
      <sheetName val="Budgetary_BOQ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HF_Blk_11"/>
      <sheetName val="MASTER_WORK_SHEET_-_ESTIMATE_HI"/>
      <sheetName val="Basement_Budget"/>
      <sheetName val="ESTIMATE_for_approval"/>
      <sheetName val="Base_Data"/>
      <sheetName val="Shear_Wall_"/>
      <sheetName val="Chejja_,Lintel_&amp;_Sill"/>
      <sheetName val="final_estimate"/>
      <sheetName val="Proj_Info"/>
      <sheetName val="Tiles_Budget"/>
      <sheetName val="Other_-_Quantity"/>
      <sheetName val="Other_RA"/>
      <sheetName val="Terrace_Floor_Additional_materi"/>
      <sheetName val="Piling_-_GFC"/>
      <sheetName val="R1_BOQ"/>
      <sheetName val="steel_abs"/>
      <sheetName val="Latest_PO_report"/>
      <sheetName val="Backfilling_using_quary_dust"/>
      <sheetName val="Labor_charges"/>
      <sheetName val="Technician_wage"/>
      <sheetName val="Tiling_&amp;_Granite_labor"/>
      <sheetName val="Core_cutting"/>
      <sheetName val="Labour_cess"/>
      <sheetName val="Budgetary_BOQ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HF_Blk_12"/>
      <sheetName val="MASTER_WORK_SHEET_-_ESTIMATE_H1"/>
      <sheetName val="Basement_Budget1"/>
      <sheetName val="ESTIMATE_for_approval1"/>
      <sheetName val="Base_Data1"/>
      <sheetName val="Shear_Wall_1"/>
      <sheetName val="Chejja_,Lintel_&amp;_Sill1"/>
      <sheetName val="final_estimate1"/>
      <sheetName val="Proj_Info1"/>
      <sheetName val="Tiles_Budget1"/>
      <sheetName val="Other_-_Quantity1"/>
      <sheetName val="Other_RA1"/>
      <sheetName val="Terrace_Floor_Additional_mater1"/>
      <sheetName val="Piling_-_GFC1"/>
      <sheetName val="R1_BOQ1"/>
      <sheetName val="steel_abs1"/>
      <sheetName val="Latest_PO_report1"/>
      <sheetName val="Backfilling_using_quary_dust1"/>
      <sheetName val="Labor_charges1"/>
      <sheetName val="Technician_wage1"/>
      <sheetName val="Tiling_&amp;_Granite_labor1"/>
      <sheetName val="Core_cutting1"/>
      <sheetName val="Labour_cess1"/>
      <sheetName val="Budgetary_BOQ1"/>
      <sheetName val="Base_Data3"/>
      <sheetName val="Shear_Wall_3"/>
      <sheetName val="Chejja_,Lintel_&amp;_Sill3"/>
      <sheetName val="final_estimate3"/>
      <sheetName val="Proj_Info3"/>
      <sheetName val="Tiles_Budget3"/>
      <sheetName val="Other_-_Quantity3"/>
      <sheetName val="Other_RA3"/>
      <sheetName val="Terrace_Floor_Additional_mater3"/>
      <sheetName val="Piling_-_GFC3"/>
      <sheetName val="R1_BOQ3"/>
      <sheetName val="steel_abs3"/>
      <sheetName val="Latest_PO_report3"/>
      <sheetName val="Backfilling_using_quary_dust3"/>
      <sheetName val="Labor_charges3"/>
      <sheetName val="Technician_wage3"/>
      <sheetName val="Tiling_&amp;_Granite_labor3"/>
      <sheetName val="Core_cutting3"/>
      <sheetName val="Labour_cess3"/>
      <sheetName val="Budgetary_BOQ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HF_Blk_15"/>
      <sheetName val="MASTER_WORK_SHEET_-_ESTIMATE_H4"/>
      <sheetName val="Basement_Budget4"/>
      <sheetName val="ESTIMATE_for_approval4"/>
      <sheetName val="Base_Data4"/>
      <sheetName val="Shear_Wall_4"/>
      <sheetName val="Chejja_,Lintel_&amp;_Sill4"/>
      <sheetName val="final_estimate4"/>
      <sheetName val="Proj_Info4"/>
      <sheetName val="Tiles_Budget4"/>
      <sheetName val="Other_-_Quantity4"/>
      <sheetName val="Other_RA4"/>
      <sheetName val="Terrace_Floor_Additional_mater4"/>
      <sheetName val="Piling_-_GFC4"/>
      <sheetName val="R1_BOQ4"/>
      <sheetName val="steel_abs4"/>
      <sheetName val="Latest_PO_report4"/>
      <sheetName val="Backfilling_using_quary_dust4"/>
      <sheetName val="Labor_charges4"/>
      <sheetName val="Technician_wage4"/>
      <sheetName val="Tiling_&amp;_Granite_labor4"/>
      <sheetName val="Core_cutting4"/>
      <sheetName val="Labour_cess4"/>
      <sheetName val="Budgetary_BOQ4"/>
      <sheetName val="Shear_Wall_5"/>
      <sheetName val="Chejja_,Lintel_&amp;_Sill5"/>
      <sheetName val="final_estimate5"/>
      <sheetName val="Proj_Info5"/>
      <sheetName val="Tiles_Budget5"/>
      <sheetName val="Other_-_Quantity5"/>
      <sheetName val="Other_RA5"/>
      <sheetName val="Terrace_Floor_Additional_mater5"/>
      <sheetName val="Piling_-_GFC5"/>
      <sheetName val="R1_BOQ5"/>
      <sheetName val="steel_abs5"/>
      <sheetName val="Latest_PO_report5"/>
      <sheetName val="Backfilling_using_quary_dust5"/>
      <sheetName val="Labor_charges5"/>
      <sheetName val="Technician_wage5"/>
      <sheetName val="Tiling_&amp;_Granite_labor5"/>
      <sheetName val="Core_cutting5"/>
      <sheetName val="Labour_cess5"/>
      <sheetName val="Budgetary_BOQ5"/>
      <sheetName val="lintels Costing "/>
      <sheetName val="Shear Wall"/>
      <sheetName val="OS-Tower-1A &amp; 1B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HF_Blk_17"/>
      <sheetName val="MASTER_WORK_SHEET_-_ESTIMATE_H6"/>
      <sheetName val="Basement_Budget6"/>
      <sheetName val="ESTIMATE_for_approval6"/>
      <sheetName val="Base_Data6"/>
      <sheetName val="Shear_Wall_6"/>
      <sheetName val="Chejja_,Lintel_&amp;_Sill6"/>
      <sheetName val="final_estimate6"/>
      <sheetName val="Proj_Info6"/>
      <sheetName val="Tiles_Budget6"/>
      <sheetName val="Other_-_Quantity6"/>
      <sheetName val="Other_RA6"/>
      <sheetName val="Terrace_Floor_Additional_mater6"/>
      <sheetName val="Piling_-_GFC6"/>
      <sheetName val="R1_BOQ6"/>
      <sheetName val="steel_abs6"/>
      <sheetName val="Latest_PO_report6"/>
      <sheetName val="Backfilling_using_quary_dust6"/>
      <sheetName val="Labor_charges6"/>
      <sheetName val="Technician_wage6"/>
      <sheetName val="Tiling_&amp;_Granite_labor6"/>
      <sheetName val="Core_cutting6"/>
      <sheetName val="Labour_cess6"/>
      <sheetName val="Budgetary_BOQ6"/>
      <sheetName val="External_works"/>
      <sheetName val="lintels_Costing_"/>
      <sheetName val="Shear_Wall"/>
      <sheetName val="OS-Tower-1A_&amp;_1B"/>
      <sheetName val="Lists"/>
      <sheetName val="Vasanth"/>
      <sheetName val="MECH-1"/>
      <sheetName val="COLUMN"/>
      <sheetName val="RECAPITULATION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HF_Blk_18"/>
      <sheetName val="MASTER_WORK_SHEET_-_ESTIMATE_H7"/>
      <sheetName val="Basement_Budget7"/>
      <sheetName val="ESTIMATE_for_approval7"/>
      <sheetName val="Base_Data7"/>
      <sheetName val="Shear_Wall_7"/>
      <sheetName val="Chejja_,Lintel_&amp;_Sill7"/>
      <sheetName val="final_estimate7"/>
      <sheetName val="Proj_Info7"/>
      <sheetName val="Tiles_Budget7"/>
      <sheetName val="Other_-_Quantity7"/>
      <sheetName val="Other_RA7"/>
      <sheetName val="Terrace_Floor_Additional_mater7"/>
      <sheetName val="Piling_-_GFC7"/>
      <sheetName val="R1_BOQ7"/>
      <sheetName val="steel_abs7"/>
      <sheetName val="Latest_PO_report7"/>
      <sheetName val="Backfilling_using_quary_dust7"/>
      <sheetName val="Labor_charges7"/>
      <sheetName val="Technician_wage7"/>
      <sheetName val="Tiling_&amp;_Granite_labor7"/>
      <sheetName val="Core_cutting7"/>
      <sheetName val="Labour_cess7"/>
      <sheetName val="Budgetary_BOQ7"/>
      <sheetName val="External_works1"/>
      <sheetName val="lintels_Costing_1"/>
      <sheetName val="Shear_Wall1"/>
      <sheetName val="OS-Tower-1A_&amp;_1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in Drawing1"/>
      <sheetName val="Abstract"/>
      <sheetName val="Footing"/>
      <sheetName val="Pedestal &amp; Column"/>
      <sheetName val="Floor Slab - B2"/>
      <sheetName val="Slab-B2(B1 Floor)"/>
      <sheetName val="Retaining Wall"/>
      <sheetName val="UGR"/>
      <sheetName val="STP"/>
      <sheetName val="Staircase-1-4"/>
    </sheetNames>
    <definedNames>
      <definedName name="Loan_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708a"/>
      <sheetName val="Detailed"/>
      <sheetName val="Notes"/>
      <sheetName val="06-07"/>
      <sheetName val="05-06"/>
      <sheetName val="04-05"/>
      <sheetName val="0708"/>
      <sheetName val="Sheet8"/>
      <sheetName val="Sheet10"/>
      <sheetName val="Break up Sheet"/>
      <sheetName val="final abstract"/>
      <sheetName val="Sheet1"/>
      <sheetName val="Delhi"/>
      <sheetName val="Rate analysis"/>
      <sheetName val="Break_up_Sheet"/>
      <sheetName val="final_abstract"/>
      <sheetName val="Rate_analysis"/>
      <sheetName val="30.06.07-SOBHA DAFFODIL-ACCTS"/>
      <sheetName val="1.01 (a)"/>
      <sheetName val="Break_up_Sheet6"/>
      <sheetName val="final_abstract6"/>
      <sheetName val="Rate_analysis6"/>
      <sheetName val="30_06_07-SOBHA_DAFFODIL-ACCTS5"/>
      <sheetName val="Break_up_Sheet4"/>
      <sheetName val="final_abstract4"/>
      <sheetName val="Rate_analysis4"/>
      <sheetName val="30_06_07-SOBHA_DAFFODIL-ACCTS3"/>
      <sheetName val="Break_up_Sheet3"/>
      <sheetName val="final_abstract3"/>
      <sheetName val="Rate_analysis3"/>
      <sheetName val="30_06_07-SOBHA_DAFFODIL-ACCTS2"/>
      <sheetName val="Break_up_Sheet1"/>
      <sheetName val="final_abstract1"/>
      <sheetName val="Rate_analysis1"/>
      <sheetName val="30_06_07-SOBHA_DAFFODIL-ACCTS"/>
      <sheetName val="Break_up_Sheet2"/>
      <sheetName val="final_abstract2"/>
      <sheetName val="Rate_analysis2"/>
      <sheetName val="30_06_07-SOBHA_DAFFODIL-ACCTS1"/>
      <sheetName val="Break_up_Sheet5"/>
      <sheetName val="final_abstract5"/>
      <sheetName val="Rate_analysis5"/>
      <sheetName val="30_06_07-SOBHA_DAFFODIL-ACCTS4"/>
      <sheetName val="Base Data"/>
      <sheetName val="Plastering"/>
      <sheetName val="Break_up_Sheet7"/>
      <sheetName val="final_abstract7"/>
      <sheetName val="Rate_analysis7"/>
      <sheetName val="30_06_07-SOBHA_DAFFODIL-ACCTS6"/>
      <sheetName val="1_01_(a)"/>
      <sheetName val="Estimate"/>
      <sheetName val="Site Expenses"/>
      <sheetName val="Site_Expenses"/>
      <sheetName val="Site_Expenses1"/>
      <sheetName val="Worksheet"/>
      <sheetName val="Site_Expenses2"/>
      <sheetName val="HF Blk 1"/>
      <sheetName val="Break_up_Sheet8"/>
      <sheetName val="final_abstract8"/>
      <sheetName val="Rate_analysis8"/>
      <sheetName val="30_06_07-SOBHA_DAFFODIL-ACCTS7"/>
      <sheetName val="1_01_(a)1"/>
      <sheetName val="Base_Data"/>
      <sheetName val="Site_Expenses3"/>
      <sheetName val="HF_Blk_1"/>
      <sheetName val="lintels Costing "/>
      <sheetName val="COLUMN"/>
      <sheetName val="149"/>
      <sheetName val="Fin Sum"/>
      <sheetName val="Break_up_Sheet11"/>
      <sheetName val="final_abstract11"/>
      <sheetName val="Rate_analysis11"/>
      <sheetName val="30_06_07-SOBHA_DAFFODIL-ACCTS10"/>
      <sheetName val="1_01_(a)4"/>
      <sheetName val="Base_Data3"/>
      <sheetName val="Site_Expenses6"/>
      <sheetName val="HF_Blk_13"/>
      <sheetName val="lintels_Costing_2"/>
      <sheetName val="Break_up_Sheet10"/>
      <sheetName val="final_abstract10"/>
      <sheetName val="Rate_analysis10"/>
      <sheetName val="30_06_07-SOBHA_DAFFODIL-ACCTS9"/>
      <sheetName val="1_01_(a)3"/>
      <sheetName val="Base_Data2"/>
      <sheetName val="Site_Expenses5"/>
      <sheetName val="HF_Blk_12"/>
      <sheetName val="lintels_Costing_1"/>
      <sheetName val="Fin_Sum1"/>
      <sheetName val="Break_up_Sheet9"/>
      <sheetName val="final_abstract9"/>
      <sheetName val="Rate_analysis9"/>
      <sheetName val="30_06_07-SOBHA_DAFFODIL-ACCTS8"/>
      <sheetName val="1_01_(a)2"/>
      <sheetName val="Base_Data1"/>
      <sheetName val="Site_Expenses4"/>
      <sheetName val="HF_Blk_11"/>
      <sheetName val="lintels_Costing_"/>
      <sheetName val="Fin_Su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05-06"/>
      <sheetName val="06-07"/>
      <sheetName val="0708"/>
      <sheetName val="Sheet1"/>
      <sheetName val="Sheet11"/>
      <sheetName val="Break up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19.08.11"/>
      <sheetName val="Sheet1"/>
      <sheetName val="Abstract"/>
      <sheetName val="Ch. List (2)"/>
      <sheetName val="Ch. List"/>
      <sheetName val="ASSUMPTIONS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ESTIMATE"/>
      <sheetName val="Preliminaries -Cleaning Labour"/>
      <sheetName val="bASIC rATES OTHERS"/>
      <sheetName val="Rate analysis"/>
      <sheetName val="Establishment ch  "/>
      <sheetName val="Petty cash-Abstract_x0000_뗨_x0004_xls]ASSUM"/>
      <sheetName val=""/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meas-Masonry"/>
      <sheetName val="meas-plaster"/>
      <sheetName val="meas-wp"/>
      <sheetName val="GENABST"/>
      <sheetName val="PEA "/>
      <sheetName val="Indirect Cost"/>
      <sheetName val="RATE LIST CUM BOM"/>
      <sheetName val="Direct Cost A1 "/>
      <sheetName val="Direct cost shed A-2 "/>
      <sheetName val="Direct cost shed A-3 Reservoirs"/>
      <sheetName val="shed A-4 Ancillary civil works"/>
      <sheetName val="she A-5 tools"/>
      <sheetName val="she A-6 sPARES"/>
      <sheetName val="price B(O&amp;M)"/>
      <sheetName val="Bill of Resources"/>
      <sheetName val="Assets "/>
      <sheetName val="Electrical items-FROM SERVI.."/>
      <sheetName val="Sluice valve chambers"/>
      <sheetName val=" pump houses"/>
      <sheetName val="OHSR-cost analysis"/>
      <sheetName val="OHSR-analysis"/>
      <sheetName val="Air valve chambers"/>
      <sheetName val="Scour valve chambers"/>
      <sheetName val="Drainage-workings"/>
      <sheetName val="Transfer chamber-type B "/>
      <sheetName val="Transfer chamber-type A"/>
      <sheetName val="Electrical items"/>
      <sheetName val="Staff quarters"/>
      <sheetName val="internal roads"/>
      <sheetName val="Cost analysis for roads"/>
      <sheetName val=" Esti. of compound"/>
      <sheetName val="Cost analysis of compound"/>
      <sheetName val="Pipe Rates"/>
      <sheetName val="Rate list"/>
      <sheetName val="Index"/>
      <sheetName val="Consolidated"/>
      <sheetName val="Top Line - WWW"/>
      <sheetName val="Top Line - BUILDINGS"/>
      <sheetName val="Top Line - ROADS"/>
      <sheetName val="Top Line - POWER"/>
      <sheetName val="Top Line - INDUSTRIAL"/>
      <sheetName val="Top Line - IRRIGATION"/>
      <sheetName val="Cash Flow - WWW"/>
      <sheetName val="Cash Flow - BUILDINGS"/>
      <sheetName val="Cash Flow - ROADS"/>
      <sheetName val="Cash Flow - POWER"/>
      <sheetName val="Cash Flow - INDUSTRIAL"/>
      <sheetName val="Cash Flow - IRRIGATION"/>
      <sheetName val="Fund Requirement"/>
      <sheetName val="Business Development &amp; Orders"/>
      <sheetName val="Capital Expenses"/>
      <sheetName val="Overheads"/>
      <sheetName val="Organisation Chart"/>
      <sheetName val="Manpower Requirement"/>
      <sheetName val="Conversions"/>
      <sheetName val="C.L"/>
      <sheetName val="Report"/>
      <sheetName val="Part II Complnce.Reass Tech"/>
      <sheetName val="Part I Assessmnt rept Tech"/>
      <sheetName val="Systemic (Annex 2.01)"/>
      <sheetName val="Steel reconci (Annex 2.02)"/>
      <sheetName val="material rec Annex 2.03"/>
      <sheetName val="RMC rec Annex 2.04"/>
      <sheetName val="material rate comp annex 2.05"/>
      <sheetName val="WO Annex 2.06"/>
      <sheetName val="C L"/>
      <sheetName val="AMC Tech"/>
      <sheetName val="Finance Annex"/>
      <sheetName val="Reassess Techn"/>
      <sheetName val="Tech "/>
      <sheetName val="VO"/>
      <sheetName val="CASH CONTRACTS"/>
      <sheetName val="B2B &amp; OWN"/>
      <sheetName val="ZONE WISE"/>
      <sheetName val="S - Cash"/>
      <sheetName val="Gr Co Works"/>
      <sheetName val="Subsidiary Works"/>
      <sheetName val="Top Line"/>
      <sheetName val="Business Development"/>
      <sheetName val="Status of Works Quoted"/>
      <sheetName val="New Order Booking"/>
      <sheetName val="Order Book Status"/>
      <sheetName val="POWERPOINT BACKUP"/>
      <sheetName val="Cash Flows"/>
      <sheetName val="Fund"/>
      <sheetName val="Fund Support"/>
      <sheetName val="Lookahead"/>
      <sheetName val="Bottom Lines"/>
      <sheetName val="EVM"/>
      <sheetName val="Charts"/>
      <sheetName val="Chart"/>
      <sheetName val="Monthly MIS - B2B Contracts"/>
      <sheetName val="Job Exp Qtd Next month"/>
      <sheetName val="Job exp qtd rest of yr."/>
      <sheetName val="Fund Supports"/>
      <sheetName val="EVM x"/>
      <sheetName val="CS"/>
      <sheetName val="CS (3)"/>
      <sheetName val="CS (2)"/>
      <sheetName val="Sheet2"/>
      <sheetName val="Sheet3"/>
      <sheetName val="Annex 4.01"/>
      <sheetName val="DAR"/>
      <sheetName val="Expenditure plan"/>
      <sheetName val="PRECAST lightconc-II"/>
      <sheetName val="Project Details.."/>
      <sheetName val="Status of work quoted"/>
      <sheetName val="ORDER BOOKING"/>
      <sheetName val="ASSESS TECH Q1"/>
      <sheetName val="Systemic (2.01)"/>
      <sheetName val="Measurement sampling (2.02)"/>
      <sheetName val="REPAIRABLE P&amp;M(2.03)"/>
      <sheetName val="IDLE P&amp;M(2.04)"/>
      <sheetName val="Assessment Report SCM"/>
      <sheetName val="Report "/>
      <sheetName val="IAFR Tech REASSESS Q1 "/>
      <sheetName val="IAFR Tech ASSESS REG Q2"/>
      <sheetName val="RMC rec Annex 2.02"/>
      <sheetName val="Labour  rate comp annex 2.03"/>
      <sheetName val="material rate comp annex 2.04"/>
      <sheetName val="Steel recon Annex2.05"/>
      <sheetName val="List of Non repair(2.06)"/>
      <sheetName val="List of Repair(Annex 2.07) "/>
      <sheetName val="P &amp; M Utilize(2.08)"/>
      <sheetName val="client corres(Annex2.09)"/>
      <sheetName val="WO1(Annex2.10a)"/>
      <sheetName val="WO2(Annex2.10 b)"/>
      <sheetName val="DAR  Vs ERP (Annex 2.11)"/>
      <sheetName val="Mat Reco (2.12)"/>
      <sheetName val="qty recon(Annex2.13a)"/>
      <sheetName val="qty recon(Annex2.13b) STEEL"/>
      <sheetName val="qty reco(Annex2.13c) BLOCK WORK"/>
      <sheetName val="St"/>
      <sheetName val="total"/>
      <sheetName val="Abs JR"/>
      <sheetName val="PCC "/>
      <sheetName val="Earthwork Excavation"/>
      <sheetName val="Abs  Pravin"/>
      <sheetName val="Abs JR cum"/>
      <sheetName val="Abs Subbaiah"/>
      <sheetName val="Abs gupta"/>
      <sheetName val="Abs Madhu"/>
      <sheetName val="Abs par"/>
      <sheetName val="Abs bhas"/>
      <sheetName val="Abs Elumalai"/>
      <sheetName val="Abs  Bed"/>
      <sheetName val="Abs Hari"/>
      <sheetName val="Abs ram"/>
      <sheetName val="Break up-labour bill"/>
      <sheetName val="Abs Han "/>
      <sheetName val="Abs Balu"/>
      <sheetName val="Abs peri"/>
      <sheetName val="Abs ck"/>
      <sheetName val="Abs Murugan"/>
      <sheetName val="Abs Rainbow"/>
      <sheetName val="Abs Tammana"/>
      <sheetName val="Abs Vavi"/>
      <sheetName val="Blank"/>
      <sheetName val="Abs Srinivasu"/>
      <sheetName val="Abs SP"/>
      <sheetName val="Abs RR"/>
      <sheetName val="Ab Ga"/>
      <sheetName val="Final"/>
      <sheetName val="bill period wise"/>
      <sheetName val="EW"/>
      <sheetName val="Rectified Report HR"/>
      <sheetName val="Dummy"/>
      <sheetName val="Dummy (2)"/>
      <sheetName val="C. L"/>
      <sheetName val="Part I  Assessment FINANCE"/>
      <sheetName val="Annexure 1.01"/>
      <sheetName val="Part-II Reassessment Technical"/>
      <sheetName val="Part-I Assessment Technical "/>
      <sheetName val="Systemic Annex 2.01"/>
      <sheetName val="Drws Details.lAnnexure 2.02"/>
      <sheetName val="Steel reconci (Annex 2.03)"/>
      <sheetName val="RMC10(Annex2.04)"/>
      <sheetName val="RMC20(Annex2.05)"/>
      <sheetName val="RMC35(Annex2.06)"/>
      <sheetName val="MATERIAL RATE COM(Annex 2.07"/>
      <sheetName val="WO1(Annex2.08a) (2)"/>
      <sheetName val="WO2(Annex2.08b) (2)"/>
      <sheetName val="client corres(Annex2.08)1"/>
      <sheetName val="WO1(Annex2.08a)"/>
      <sheetName val="WO2(Annex2.08b)"/>
      <sheetName val="client corres(Annex2.08)"/>
      <sheetName val="Part I - Assessment Material"/>
      <sheetName val="Annex. 3.01"/>
      <sheetName val="Part-I Assessment Rept  HR"/>
      <sheetName val="Annexure 4.02"/>
      <sheetName val="Annex. 4.03"/>
      <sheetName val="WO1(Annex2.08a)POR"/>
      <sheetName val="WO2(Annex2.08b) POR"/>
      <sheetName val="WIP"/>
      <sheetName val="Indirect Expenses"/>
      <sheetName val="Budget"/>
      <sheetName val="SP"/>
      <sheetName val="RP"/>
      <sheetName val="DCP"/>
      <sheetName val="ICP"/>
      <sheetName val="CF"/>
      <sheetName val="FP"/>
      <sheetName val="RESP"/>
      <sheetName val="EP"/>
      <sheetName val="ORG"/>
      <sheetName val="STFP"/>
      <sheetName val="EQPP"/>
      <sheetName val="MP"/>
      <sheetName val="BCWP"/>
      <sheetName val="Subcontracting"/>
      <sheetName val="Client Bill "/>
      <sheetName val="Scope Variations"/>
      <sheetName val="WORK ORDERS"/>
      <sheetName val="Quantity Reconciliation (2)"/>
      <sheetName val="Material reconcilliation"/>
      <sheetName val="Material Consumption"/>
      <sheetName val="Reg Q2 Tech"/>
      <sheetName val="LAND AQUI (Annex-2.02)"/>
      <sheetName val="client corres(Annex2.03)"/>
      <sheetName val="WO1(Annex2.04a)"/>
      <sheetName val="WO2(Annex2.04b)"/>
      <sheetName val="Annex 4.01(site)"/>
      <sheetName val="R.O &amp; BD"/>
      <sheetName val="CL"/>
      <sheetName val="ASSESSMENT FINANCEPORBANDAR"/>
      <sheetName val="PRIORITY"/>
      <sheetName val="BOQ"/>
      <sheetName val="Project cost"/>
      <sheetName val="comparision statement"/>
      <sheetName val="Rate analysis 1"/>
      <sheetName val=" Rates 1"/>
      <sheetName val="Rate Analysis 2"/>
      <sheetName val="Rate 2"/>
      <sheetName val="Comparison"/>
      <sheetName val="Quantity"/>
      <sheetName val="BOQ1"/>
      <sheetName val="Consolidate"/>
      <sheetName val="Indirect Expenditure"/>
      <sheetName val="P&amp;L CUM"/>
      <sheetName val="Consolidate1"/>
      <sheetName val="Direct Expenses (2)"/>
      <sheetName val="Sheet4"/>
      <sheetName val="Bill- 1"/>
      <sheetName val="Bill- 2"/>
      <sheetName val="Bill- 3"/>
      <sheetName val="Bill- 4"/>
      <sheetName val="Bill- 5"/>
      <sheetName val="Bill- 6"/>
      <sheetName val="Bill- 7"/>
      <sheetName val="Bill-8"/>
      <sheetName val="Bill- 9"/>
      <sheetName val="Bill- 10"/>
      <sheetName val="Bill-11"/>
      <sheetName val="Bill-12"/>
      <sheetName val="Bill- 14"/>
      <sheetName val="Bill-14"/>
      <sheetName val="Estimate Toll Plaza"/>
      <sheetName val="LOT 8"/>
      <sheetName val="1A"/>
      <sheetName val="2A"/>
      <sheetName val="3A"/>
      <sheetName val="4A"/>
      <sheetName val="5A"/>
      <sheetName val="6A"/>
      <sheetName val="7A"/>
      <sheetName val="8A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20A"/>
      <sheetName val="21A"/>
      <sheetName val="22A"/>
      <sheetName val="23A"/>
      <sheetName val="24A"/>
      <sheetName val="TQS-4_plants"/>
      <sheetName val="discount_small_plants"/>
      <sheetName val="0.42 MLD"/>
      <sheetName val="0.71 MLD"/>
      <sheetName val="1.00 MLD"/>
      <sheetName val="5 MLD"/>
      <sheetName val="O&amp;M_5 MLD"/>
      <sheetName val="O&amp;M_1MLD"/>
      <sheetName val="O&amp;M_0.71 MLD"/>
      <sheetName val="O&amp;M_0.42 MLD"/>
      <sheetName val="BillofQty"/>
      <sheetName val="GENABST "/>
      <sheetName val="PEA"/>
      <sheetName val="Ten vs Budget"/>
      <sheetName val="Budget Summary-new"/>
      <sheetName val="TQS"/>
      <sheetName val="Budget-Summary -old"/>
      <sheetName val="BOR"/>
      <sheetName val="A1 OW"/>
      <sheetName val="A2 IG"/>
      <sheetName val="A2 annex"/>
      <sheetName val="A3 conn"/>
      <sheetName val="A4 sump"/>
      <sheetName val="A5 feeder"/>
      <sheetName val="A6 pumproom"/>
      <sheetName val="A7 PSET"/>
      <sheetName val="A8 TPSET"/>
      <sheetName val="A9 sr"/>
      <sheetName val="A9 annex"/>
      <sheetName val="A10dsy"/>
      <sheetName val="A11 comp"/>
      <sheetName val="A12 weir"/>
      <sheetName val="A 13 maint"/>
      <sheetName val="valvesannex"/>
      <sheetName val="Cover letter"/>
      <sheetName val="REASSESS TECH Q1"/>
      <sheetName val="REGULAR TECH Q2"/>
      <sheetName val="Planning 2.01 A"/>
      <sheetName val="Planning 2.01 B"/>
      <sheetName val="Planning 2.01 C"/>
      <sheetName val="BD &amp; OB  WWW (Annex 2.02)"/>
      <sheetName val="MUMBAI RO - EMDs Annex 2.03 "/>
      <sheetName val="WIP (Annex 2.04)"/>
      <sheetName val="Annexure-2.05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Non CPA Rates"/>
      <sheetName val="Line formulas"/>
      <sheetName val="Data base (2)"/>
      <sheetName val="Comparision of CD Nov 07 Feb 08"/>
      <sheetName val="Rate Comparision Dec 07 July 08"/>
      <sheetName val="Rate Comparision Feb 06 Jul 08"/>
      <sheetName val="#REF"/>
      <sheetName val="ORDER BOOKING1"/>
      <sheetName val="Status of works Quoted."/>
      <sheetName val="BUSINESS  DEVELOPMENT"/>
      <sheetName val="PPT SLIDES"/>
      <sheetName val="WC ASSESSMENT"/>
      <sheetName val="3.01(b)"/>
      <sheetName val="Civil Work-building"/>
      <sheetName val="Analysis."/>
      <sheetName val="Elect."/>
      <sheetName val="DC"/>
      <sheetName val="T Vs B Shuttering in DC"/>
      <sheetName val="T Vs B Shuttering in IDC"/>
      <sheetName val="Tender Vs Budget Comp"/>
      <sheetName val="major variation"/>
      <sheetName val="Complete BOQ"/>
      <sheetName val="Tender rates"/>
      <sheetName val="Tender Analysis"/>
      <sheetName val="Capex"/>
      <sheetName val="Shuttering materials"/>
      <sheetName val="RMC analysis"/>
      <sheetName val="Overview"/>
      <sheetName val="COST SUMMARY"/>
      <sheetName val="CIVIL"/>
      <sheetName val="Plumb"/>
      <sheetName val="Electrical"/>
      <sheetName val="Tender Study"/>
      <sheetName val="RA-Civil,plumb"/>
      <sheetName val="Labour"/>
      <sheetName val="Resource List"/>
      <sheetName val="CM &amp; RMC"/>
      <sheetName val="RA- Civil  "/>
      <sheetName val="Major Qty"/>
      <sheetName val="Panelled door"/>
      <sheetName val="PMV"/>
      <sheetName val="Site Super"/>
      <sheetName val="Civil BOQ"/>
      <sheetName val="Analysis"/>
      <sheetName val="4 Plumbing"/>
      <sheetName val="BP"/>
      <sheetName val="Changed Analysis"/>
      <sheetName val="AutoOpen Stub Data"/>
      <sheetName val="Design"/>
      <sheetName val="Guidelines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PT vs PHI"/>
      <sheetName val="planning"/>
      <sheetName val="mantri synergy"/>
      <sheetName val="Milestone"/>
      <sheetName val="Synergy_pricestrategy"/>
      <sheetName val="Synergy Sales Budget"/>
      <sheetName val="Synergy Collection Schedule"/>
      <sheetName val="ABP inputs"/>
      <sheetName val="Quarterly Collections"/>
      <sheetName val="A. Progress Summary-Bill Status"/>
      <sheetName val="B. Executive Summary"/>
      <sheetName val="C. Project Status (CMD)"/>
      <sheetName val="D. Approved Ball Park"/>
      <sheetName val="E.Stat.Approvals"/>
      <sheetName val="F. Mat Proc "/>
      <sheetName val="G. Proj Photos-K,L &amp; DEVPMENT"/>
      <sheetName val="H. DEVT-Progress"/>
      <sheetName val="I.Civil-Bills Processed"/>
      <sheetName val="G.Procurement programme"/>
      <sheetName val=" CMD"/>
      <sheetName val="pg-1"/>
      <sheetName val="Approval"/>
      <sheetName val="Annx"/>
      <sheetName val="Annx 1"/>
      <sheetName val="Qty"/>
      <sheetName val="Proj Cost"/>
      <sheetName val="Mat Proc "/>
      <sheetName val="BLOCK WORK"/>
      <sheetName val="INT.PLASTERING"/>
      <sheetName val="EXT.PLASTRING"/>
      <sheetName val="STAIRCASE"/>
      <sheetName val="ARPITHA MESH"/>
      <sheetName val="PERGOLA-CON &amp; FORM"/>
      <sheetName val="PERGOLA STEEL"/>
      <sheetName val="LMR-OHT STEEL"/>
      <sheetName val="LMR-OHT CONC &amp; FORM"/>
      <sheetName val="POP-CORNICE"/>
      <sheetName val="PLASTER BAND"/>
      <sheetName val="sum"/>
      <sheetName val="1"/>
      <sheetName val="2B"/>
      <sheetName val="2C"/>
      <sheetName val="2D"/>
      <sheetName val="2E"/>
      <sheetName val="2F"/>
      <sheetName val="2G"/>
      <sheetName val="2H"/>
      <sheetName val="3B"/>
      <sheetName val="4"/>
      <sheetName val="5"/>
      <sheetName val="6B"/>
      <sheetName val="7B"/>
      <sheetName val="8B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0"/>
      <sheetName val="11B "/>
      <sheetName val="12B"/>
      <sheetName val="13"/>
      <sheetName val="14"/>
      <sheetName val="sc"/>
      <sheetName val="ACHIEVED"/>
      <sheetName val="plan-achieved"/>
      <sheetName val="INPUT SHEET"/>
      <sheetName val="RES-PLANNING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Headings"/>
      <sheetName val="RecoveredExternalLink1"/>
      <sheetName val="12-01"/>
      <sheetName val="12-02"/>
      <sheetName val="12-03"/>
      <sheetName val="12-04"/>
      <sheetName val="12-05"/>
      <sheetName val="12-06"/>
      <sheetName val="12-07"/>
      <sheetName val="12-08"/>
      <sheetName val="③赤紙(日文)"/>
      <sheetName val="Site Dev BOQ"/>
      <sheetName val="oresreqsum"/>
      <sheetName val="1. Pay Rec"/>
      <sheetName val="2. Abs"/>
      <sheetName val="Notes"/>
      <sheetName val="تدفقات و مدفوعات"/>
      <sheetName val="WORK COV"/>
      <sheetName val="اجور .ف1"/>
      <sheetName val="سلعيه"/>
      <sheetName val="خدمى"/>
      <sheetName val="مقاولين"/>
      <sheetName val="تحو"/>
      <sheetName val="تخصيصيه"/>
      <sheetName val="اهلاك"/>
      <sheetName val="معد .خ"/>
      <sheetName val="معد .ث"/>
      <sheetName val="B2826"/>
      <sheetName val="Form 1"/>
      <sheetName val="Form 2"/>
      <sheetName val="Form 3"/>
      <sheetName val="Form 4"/>
      <sheetName val="Form 5"/>
      <sheetName val="Form 7"/>
      <sheetName val="Form 6"/>
      <sheetName val="Form 8"/>
      <sheetName val="Form 9"/>
      <sheetName val="Form 10"/>
      <sheetName val="Form 11"/>
      <sheetName val="S1BOQ"/>
      <sheetName val="S2groupcode"/>
      <sheetName val="S3workplanqty"/>
      <sheetName val="S3workplanamt"/>
      <sheetName val="Shadow BOQ"/>
      <sheetName val="S4timecycle"/>
      <sheetName val="S5escalation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"/>
      <sheetName val="S17power"/>
      <sheetName val="S18EQPplan"/>
      <sheetName val="S19cap"/>
      <sheetName val="S20MSE Items"/>
      <sheetName val="S21Subcon"/>
      <sheetName val="S22PRW"/>
      <sheetName val="S23ManNos"/>
      <sheetName val="S24Mancost"/>
      <sheetName val="S25EQP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MatProcurement"/>
      <sheetName val="S42HSE"/>
      <sheetName val="S43Taxation"/>
      <sheetName val="Season Dircost"/>
      <sheetName val="Chart1"/>
      <sheetName val="Chart-2"/>
      <sheetName val="Chart3"/>
      <sheetName val="Expenses"/>
      <sheetName val="turnover"/>
      <sheetName val="Chart4"/>
      <sheetName val="Chart5"/>
      <sheetName val="??? .?"/>
      <sheetName val="Total Collection"/>
      <sheetName val="est"/>
      <sheetName val="02.06.07 (2)"/>
      <sheetName val="B2753"/>
      <sheetName val="Page-1"/>
      <sheetName val="page-2"/>
      <sheetName val="Page-3"/>
      <sheetName val="Page-4"/>
      <sheetName val="Page-5"/>
      <sheetName val="Page-6"/>
      <sheetName val="30-7"/>
      <sheetName val="DMRC3"/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ORING "/>
      <sheetName val="LINER"/>
      <sheetName val="EXPANSION JOINT"/>
      <sheetName val="CIS MAIN BERTH-1"/>
      <sheetName val="BOQ 725-769"/>
      <sheetName val="EVM-INDEX"/>
      <sheetName val="Flow Chart"/>
      <sheetName val="EVM1-Proj1"/>
      <sheetName val="EVM2-Proj1"/>
      <sheetName val="EVM2-Proj2"/>
      <sheetName val="EVM2-Proj3"/>
      <sheetName val="EVM3"/>
      <sheetName val="EVM4"/>
      <sheetName val="Performance Graph"/>
      <sheetName val="Format"/>
      <sheetName val="cost Format"/>
      <sheetName val="CJPC   "/>
      <sheetName val="Abstract "/>
      <sheetName val="Piling MB"/>
      <sheetName val="Abs of Pile Rein"/>
      <sheetName val="Reinforcement "/>
      <sheetName val="Pre cast Beam M.B"/>
      <sheetName val="Abs of Beam"/>
      <sheetName val="Pre cast Beam BBS"/>
      <sheetName val="C.In Situ Muff M.B."/>
      <sheetName val="P.C.Muff M.B"/>
      <sheetName val="Abs.of Muff"/>
      <sheetName val="Pre &amp; cast  Muff  BBS"/>
      <sheetName val="Abs. Cross Beam "/>
      <sheetName val="BBS CROSS Beam"/>
      <sheetName val="Cross Beam M.B. "/>
      <sheetName val="Con.Pedstal M.B."/>
      <sheetName val="BBS C.B.P."/>
      <sheetName val="Total Abstract"/>
      <sheetName val="Reco_1"/>
      <sheetName val="Reco_2"/>
      <sheetName val="Walk-way M.B."/>
      <sheetName val="concrete"/>
      <sheetName val="Con Rate"/>
      <sheetName val="concrete detail"/>
      <sheetName val="CJPC"/>
      <sheetName val="Table of Contents"/>
      <sheetName val="Table of Contents (2)"/>
      <sheetName val="Abstract-Cert"/>
      <sheetName val="Index Sheet"/>
      <sheetName val="Meas-1"/>
      <sheetName val="Meas-2"/>
      <sheetName val="Meas-3"/>
      <sheetName val="Meas-4"/>
      <sheetName val="Meas-5"/>
      <sheetName val="Meas-6"/>
      <sheetName val="Extra Item"/>
      <sheetName val="1.04-1"/>
      <sheetName val="2.01(a)-1"/>
      <sheetName val="G-13 2.01-2"/>
      <sheetName val="G-13 2.01-3"/>
      <sheetName val="G-13 2.01-4"/>
      <sheetName val="R-2 2.01-5"/>
      <sheetName val="MRR-1 2.01-6"/>
      <sheetName val="G-13 2.01-7"/>
      <sheetName val="2.01-b-II-1"/>
      <sheetName val="2.01-b-II-2"/>
      <sheetName val="2.01-b-II-3"/>
      <sheetName val="2.07-1"/>
      <sheetName val="2.07-2"/>
      <sheetName val="2.07-3"/>
      <sheetName val="2.07-4"/>
      <sheetName val="2.07-5"/>
      <sheetName val="2.07-6"/>
      <sheetName val="3.01-1"/>
      <sheetName val="3.01-2"/>
      <sheetName val="3.01-3"/>
      <sheetName val="3.01-4"/>
      <sheetName val="3.01-5"/>
      <sheetName val="3.02-1"/>
      <sheetName val="3.02-2"/>
      <sheetName val="3.02-3"/>
      <sheetName val="3.02-4"/>
      <sheetName val="3.02-5"/>
      <sheetName val="3.02-6"/>
      <sheetName val="3.02-7"/>
      <sheetName val="3.02-8"/>
      <sheetName val="3.02-9"/>
      <sheetName val="3.02-10"/>
      <sheetName val="3.02-11"/>
      <sheetName val="3.02-13"/>
      <sheetName val="4.01-1"/>
      <sheetName val="4.02-1"/>
      <sheetName val="4.04-1"/>
      <sheetName val="4.04-2"/>
      <sheetName val="E03-1"/>
      <sheetName val="E03-2"/>
      <sheetName val="E12-1"/>
      <sheetName val="Rock Filling"/>
      <sheetName val="Cement Reconciliation"/>
      <sheetName val="Bitumen Reconciliation"/>
      <sheetName val="Steel"/>
      <sheetName val="Bitumen"/>
      <sheetName val="Bitumen-Consumption"/>
      <sheetName val="Prime Coat"/>
      <sheetName val="Tack Coat"/>
      <sheetName val="BM"/>
      <sheetName val="DBM"/>
      <sheetName val="Gate Pass"/>
      <sheetName val="print"/>
      <sheetName val="Bill"/>
      <sheetName val="SEP-08(34)"/>
      <sheetName val="SEP-08 (5-9)"/>
      <sheetName val="___ ._"/>
      <sheetName val="Meas"/>
      <sheetName val="CJPC (2)"/>
      <sheetName val="산근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inter"/>
      <sheetName val="ERECIN"/>
      <sheetName val="INPUT DATA"/>
      <sheetName val="BQMPALOC"/>
      <sheetName val="공문"/>
      <sheetName val="영업3"/>
      <sheetName val="금액내역서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Material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뜃맟뭁돽띿맟?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뜃맟뭁돽띿맟_-BLDG"/>
      <sheetName val="내역ࠜĀ_x0000_M4)"/>
      <sheetName val="???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Q&amp;pl-V"/>
      <sheetName val="WE'T"/>
      <sheetName val="CTEMCOST"/>
      <sheetName val="내역ࠜĀ?M4)"/>
      <sheetName val="F4-F7"/>
      <sheetName val="내역서 耰&quot;??"/>
      <sheetName val="24V"/>
      <sheetName val="EQUIPMENT -2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00__x005f_x0000_"/>
      <sheetName val="_x005f_x0008_"/>
      <sheetName val="내역ࠜĀ_x005f_x005f_x005f_x0000_M4)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서 耰&quot;"/>
      <sheetName val="내역ࠜĀ_M4)"/>
      <sheetName val="AOC"/>
      <sheetName val="01"/>
      <sheetName val="02"/>
      <sheetName val="03"/>
      <sheetName val="04"/>
      <sheetName val="05"/>
      <sheetName val="06"/>
      <sheetName val="Estimate Abstract"/>
      <sheetName val="Marvella"/>
      <sheetName val="PRELIMS"/>
      <sheetName val="Staff"/>
      <sheetName val="Mobilisation"/>
      <sheetName val="FIXED ASSETS"/>
      <sheetName val="Site Operating Exp"/>
      <sheetName val="A Class Abstract"/>
      <sheetName val="Stock @ Site"/>
      <sheetName val="EXTERNAL AGENCY BILLS"/>
      <sheetName val="stock-updated"/>
      <sheetName val="07"/>
      <sheetName val="08"/>
      <sheetName val="09"/>
      <sheetName val="Budget Bearing _Samut"/>
      <sheetName val="Qty Bearing-Samut"/>
      <sheetName val="Basic Rate"/>
      <sheetName val="Summary of Cost"/>
      <sheetName val="Bill-13"/>
      <sheetName val="Sheet1 (2)"/>
      <sheetName val="Copy of Prog"/>
      <sheetName val="salient feature"/>
      <sheetName val="Brief Scope of work"/>
      <sheetName val="PVC"/>
      <sheetName val="Insurance"/>
      <sheetName val="BG"/>
      <sheetName val="Payment"/>
      <sheetName val="Norms "/>
      <sheetName val="Eqpt Nos"/>
      <sheetName val="Cycle Time"/>
      <sheetName val="GC"/>
      <sheetName val="M.Qty"/>
      <sheetName val="Subcon Master"/>
      <sheetName val="Subcon"/>
      <sheetName val="Equipment Hr"/>
      <sheetName val="Material (2)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CWS-CTC"/>
      <sheetName val="CTC Summary"/>
      <sheetName val="Site &amp; Administration Cost"/>
      <sheetName val="EVM1"/>
      <sheetName val="EVM2"/>
      <sheetName val="EVM4A"/>
      <sheetName val="EVM5"/>
      <sheetName val="EVM5- Revised"/>
      <sheetName val="B2826 Cost Bkp"/>
      <sheetName val="B2827"/>
      <sheetName val="B2827 Cost Bkp"/>
      <sheetName val="B2833"/>
      <sheetName val="B2833 Cost Bkp"/>
      <sheetName val="NS 34 &amp; 35 H1,11 CTC Analysis"/>
      <sheetName val="appendix 2.5 final accounts"/>
      <sheetName val="ftstaff"/>
      <sheetName val="1 Labour"/>
      <sheetName val="W block"/>
      <sheetName val="Table 41"/>
      <sheetName val="Table 9"/>
      <sheetName val="Table11"/>
      <sheetName val="K-1"/>
      <sheetName val="K-2"/>
      <sheetName val="K-3"/>
      <sheetName val="Table 1"/>
      <sheetName val="Table 2"/>
      <sheetName val="Table 3"/>
      <sheetName val="Table 4"/>
      <sheetName val="Table 5"/>
      <sheetName val="Table 6"/>
      <sheetName val="Pivot"/>
      <sheetName val="Pivot 2"/>
      <sheetName val="DOT-Customer-data"/>
      <sheetName val="Fund Utilisation"/>
      <sheetName val="Consol"/>
      <sheetName val="Hyderabad_NLA"/>
      <sheetName val="Silokhera_NLA"/>
      <sheetName val="Cyber City_NLA"/>
      <sheetName val="Chennai_NLA"/>
      <sheetName val="Chennai "/>
      <sheetName val="Tenant-Chennai"/>
      <sheetName val="Hyderabad"/>
      <sheetName val="Tanent-W Block"/>
      <sheetName val="W block (2)"/>
      <sheetName val="Silokhera"/>
      <sheetName val="Table 7"/>
      <sheetName val="Project Data"/>
      <sheetName val="Unleased area"/>
      <sheetName val="Assumption"/>
      <sheetName val="Pivot (2)"/>
      <sheetName val="Building Matrix"/>
      <sheetName val="Related - Construction"/>
      <sheetName val="TB31.12.2008"/>
      <sheetName val="BS &amp; PL"/>
      <sheetName val="Cash Flow"/>
      <sheetName val="BS Schedule"/>
      <sheetName val="Sch 4 FA Sch"/>
      <sheetName val="Sch 5- Investment"/>
      <sheetName val="P&amp;L Schedule"/>
      <sheetName val="Inventory"/>
      <sheetName val="POCM - 31.12.08"/>
      <sheetName val="Final - Plots  "/>
      <sheetName val="Final - Town Houses"/>
      <sheetName val="Deferred  Tax"/>
      <sheetName val="Tax Provision"/>
      <sheetName val="Dep As per IT act "/>
      <sheetName val="FBT-Working "/>
      <sheetName val="Details "/>
      <sheetName val="Fixed Assets Register"/>
      <sheetName val="AR TB"/>
      <sheetName val="ICD- interest Income  "/>
      <sheetName val="Interest CCD- Expenses"/>
      <sheetName val="Group -31.12.2008"/>
      <sheetName val="Related Party"/>
      <sheetName val="Balance Sheet"/>
      <sheetName val="Interest Allocation "/>
      <sheetName val="DTA &amp; C TAX"/>
      <sheetName val="One Pager"/>
      <sheetName val="P &amp; L Schedule"/>
      <sheetName val="Grouping Sheet"/>
      <sheetName val="Revised TB Ramco"/>
      <sheetName val="TB 31.03.10"/>
      <sheetName val="Ramco TB"/>
      <sheetName val="Pocm Sheet"/>
      <sheetName val="Q-1 Sale"/>
      <sheetName val="Project Summary"/>
      <sheetName val="Fixed Assets "/>
      <sheetName val="IT -Assets"/>
      <sheetName val="Furniture &amp; Fixture"/>
      <sheetName val="office equipment"/>
      <sheetName val="Leasehold"/>
      <sheetName val="Development Rights"/>
      <sheetName val="PF Details"/>
      <sheetName val="DRDL Int ICD"/>
      <sheetName val="DCDL Int ICD"/>
      <sheetName val="DHDL Int. CCD"/>
      <sheetName val="Clogs Int.CCD"/>
      <sheetName val="Epop Working"/>
      <sheetName val="Rent Equalization"/>
      <sheetName val="GAM Text"/>
      <sheetName val="BS SAC YS Ver 2.0"/>
      <sheetName val="P&amp;L SAC YS Ver 2.0"/>
      <sheetName val="BS SAC Ver 1.0"/>
      <sheetName val="P&amp;L SAC Ver 1.0"/>
      <sheetName val="YS SAC"/>
      <sheetName val="Schedule VI"/>
      <sheetName val="foundation"/>
      <sheetName val="substructure"/>
      <sheetName val="PSC SUP(5x15)"/>
      <sheetName val="PSC SUP(5x15) SR"/>
      <sheetName val="FIXED ITEMS"/>
      <sheetName val="Area Statement"/>
      <sheetName val="Calculation sheet"/>
      <sheetName val="Eqpt.Running"/>
      <sheetName val="BOQ-CODE-SFP "/>
      <sheetName val="Activitywise Qty"/>
      <sheetName val="Time"/>
      <sheetName val="Requiered"/>
      <sheetName val="operat_staff"/>
      <sheetName val="Rate Ana"/>
      <sheetName val="Book1"/>
      <sheetName val="BHANDUP"/>
      <sheetName val="PLAN_FEB97"/>
      <sheetName val="Bridges"/>
      <sheetName val="Bridges (Abst)"/>
      <sheetName val="Overpass"/>
      <sheetName val="Slab Culvert"/>
      <sheetName val="Underpass"/>
      <sheetName val="Admin"/>
      <sheetName val="Decision Table"/>
      <sheetName val="Dates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Misc"/>
      <sheetName val="Revenue Share"/>
      <sheetName val="Profit &amp; Loss"/>
      <sheetName val="Ratios"/>
      <sheetName val="Traffic&gt;&gt;"/>
      <sheetName val="High Case"/>
      <sheetName val="Base case with Ganga"/>
      <sheetName val="Base case without Ganga"/>
      <sheetName val="Low Case"/>
      <sheetName val="O&amp;M&gt;&gt;"/>
      <sheetName val="Capex Cost"/>
      <sheetName val="Maintainence per kms cost"/>
      <sheetName val="MAintenance cost per month"/>
      <sheetName val="ATMS and Toll system"/>
      <sheetName val="Periodic Maintaince"/>
      <sheetName val="Road-Analysis"/>
      <sheetName val="Road-Boq"/>
      <sheetName val="Analy"/>
      <sheetName val="AppeE"/>
      <sheetName val="Boq-with fire"/>
      <sheetName val="Boq-wo fire"/>
      <sheetName val="Compare"/>
      <sheetName val="Shutter"/>
      <sheetName val="Appendix-E"/>
      <sheetName val="ANALYS"/>
      <sheetName val="Summary - Page 1"/>
      <sheetName val="Interest"/>
      <sheetName val="Facility"/>
      <sheetName val="P&amp;M"/>
      <sheetName val="Salary"/>
      <sheetName val="cons profitability statement"/>
      <sheetName val="cons volume"/>
      <sheetName val="cons captial employed"/>
      <sheetName val="cons cashflow"/>
      <sheetName val="cons scorecard"/>
      <sheetName val="agro_cons"/>
      <sheetName val="agroQrtWise"/>
      <sheetName val="Sumary"/>
      <sheetName val="AGRO Summary (2)"/>
      <sheetName val="energy only (2)"/>
      <sheetName val="energy _cashflow"/>
      <sheetName val="AGRO Summary"/>
      <sheetName val="agrops&amp;ce"/>
      <sheetName val="MSEZ_PMC 28022007"/>
      <sheetName val="MSEZL 28022007"/>
      <sheetName val="BS Group"/>
      <sheetName val="Grouping MSEZL"/>
      <sheetName val="Pivot Trial Balance"/>
      <sheetName val="MPSEZL"/>
      <sheetName val="PMC_MPSEZL"/>
      <sheetName val="MSEZ"/>
      <sheetName val="PMC_MSEZ"/>
      <sheetName val="ACL"/>
      <sheetName val="Grouping"/>
      <sheetName val="Trial Balances"/>
      <sheetName val="Highlight"/>
      <sheetName val="BirdEyeView"/>
      <sheetName val="Mundraport"/>
      <sheetName val="ContainerTerminal"/>
      <sheetName val="Container_Working"/>
      <sheetName val="SBMTerminal"/>
      <sheetName val="SBM_Working"/>
      <sheetName val="Variation"/>
      <sheetName val="AEL_NonAEL"/>
      <sheetName val="Marinesummary"/>
      <sheetName val="Marine_Working"/>
      <sheetName val="Marine_variation"/>
      <sheetName val="BerthFinIndicators"/>
      <sheetName val="DrySummary"/>
      <sheetName val="Dry_Working"/>
      <sheetName val="Coal"/>
      <sheetName val="DryCargo_THC"/>
      <sheetName val="DryCargo_THC (2)"/>
      <sheetName val="Liquid"/>
      <sheetName val="LiquidWorking"/>
      <sheetName val="Rail_Summary"/>
      <sheetName val="Rail_Working"/>
      <sheetName val="OtherIncome"/>
      <sheetName val="OtherIncome_Working"/>
      <sheetName val="Electricity"/>
      <sheetName val="FOH Details"/>
      <sheetName val="내역서 耰&quot;_x005f_x005f_x005f_x0000__x005f_x005f_x0000"/>
      <sheetName val="_x005f_x005f_x005f_x0008_"/>
      <sheetName val="내역ࠜĀ_x005f_x005f_x005f_x005f_x005f_x005f_x005f_x0000_M4"/>
      <sheetName val="Layer Chart"/>
      <sheetName val="Graph Data"/>
      <sheetName val="Raw Data"/>
      <sheetName val="Layer Table"/>
      <sheetName val="WORKED OGL"/>
      <sheetName val="FRL"/>
      <sheetName val="COLUMN"/>
      <sheetName val="Voucher"/>
      <sheetName val="Data"/>
      <sheetName val="معد__ث"/>
      <sheetName val="تدفقات_و_مدفوعات"/>
      <sheetName val="WORK_COV"/>
      <sheetName val="اجور__ف1"/>
      <sheetName val="معد__خ"/>
      <sheetName val="معد__ث1"/>
      <sheetName val="Form_1"/>
      <sheetName val="Form_2"/>
      <sheetName val="Form_3"/>
      <sheetName val="Form_4"/>
      <sheetName val="Form_5"/>
      <sheetName val="Form_7"/>
      <sheetName val="Form_6"/>
      <sheetName val="Form_8"/>
      <sheetName val="Form_9"/>
      <sheetName val="Form_10"/>
      <sheetName val="Form_11"/>
      <sheetName val="Shadow_BOQ"/>
      <sheetName val="S20MSE_Items"/>
      <sheetName val="Season_Dircost"/>
      <sheetName val="Total_Collection"/>
      <sheetName val="???__?"/>
      <sheetName val="02_06_07_(2)"/>
      <sheetName val="Proj_Details"/>
      <sheetName val="_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BORING_"/>
      <sheetName val="EXPANSION_JOINT"/>
      <sheetName val="CIS_MAIN_BERTH-1"/>
      <sheetName val="BOQ_725-769"/>
      <sheetName val="Flow_Chart"/>
      <sheetName val="Performance_Graph"/>
      <sheetName val="cost_Format"/>
      <sheetName val="CJPC___"/>
      <sheetName val="Abstract_"/>
      <sheetName val="Piling_MB"/>
      <sheetName val="Abs_of_Pile_Rein"/>
      <sheetName val="Reinforcement_"/>
      <sheetName val="Pre_cast_Beam_M_B"/>
      <sheetName val="Abs_of_Beam"/>
      <sheetName val="Pre_cast_Beam_BBS"/>
      <sheetName val="C_In_Situ_Muff_M_B_"/>
      <sheetName val="P_C_Muff_M_B"/>
      <sheetName val="Abs_of_Muff"/>
      <sheetName val="Pre_&amp;_cast__Muff__BBS"/>
      <sheetName val="Abs__Cross_Beam_"/>
      <sheetName val="BBS_CROSS_Beam"/>
      <sheetName val="Cross_Beam_M_B__"/>
      <sheetName val="Con_Pedstal_M_B_"/>
      <sheetName val="BBS_C_B_P_"/>
      <sheetName val="Total_Abstract"/>
      <sheetName val="Walk-way_M_B_"/>
      <sheetName val="Con_Rate"/>
      <sheetName val="concrete_detail"/>
      <sheetName val="Table_of_Contents"/>
      <sheetName val="Table_of_Contents_(2)"/>
      <sheetName val="Index_Sheet"/>
      <sheetName val="Extra_Item"/>
      <sheetName val="1_04-1"/>
      <sheetName val="2_01(a)-1"/>
      <sheetName val="G-13_2_01-2"/>
      <sheetName val="G-13_2_01-3"/>
      <sheetName val="G-13_2_01-4"/>
      <sheetName val="R-2_2_01-5"/>
      <sheetName val="MRR-1_2_01-6"/>
      <sheetName val="G-13_2_01-7"/>
      <sheetName val="2_01-b-II-1"/>
      <sheetName val="2_01-b-II-2"/>
      <sheetName val="2_01-b-II-3"/>
      <sheetName val="2_07-1"/>
      <sheetName val="2_07-2"/>
      <sheetName val="2_07-3"/>
      <sheetName val="2_07-4"/>
      <sheetName val="2_07-5"/>
      <sheetName val="2_07-6"/>
      <sheetName val="3_01-1"/>
      <sheetName val="3_01-2"/>
      <sheetName val="3_01-3"/>
      <sheetName val="3_01-4"/>
      <sheetName val="3_01-5"/>
      <sheetName val="3_02-1"/>
      <sheetName val="3_02-2"/>
      <sheetName val="3_02-3"/>
      <sheetName val="3_02-4"/>
      <sheetName val="3_02-5"/>
      <sheetName val="3_02-6"/>
      <sheetName val="3_02-7"/>
      <sheetName val="3_02-8"/>
      <sheetName val="3_02-9"/>
      <sheetName val="3_02-10"/>
      <sheetName val="3_02-11"/>
      <sheetName val="3_02-13"/>
      <sheetName val="4_01-1"/>
      <sheetName val="4_02-1"/>
      <sheetName val="4_04-1"/>
      <sheetName val="4_04-2"/>
      <sheetName val="Rock_Filling"/>
      <sheetName val="Cement_Reconciliation"/>
      <sheetName val="Bitumen_Reconciliation"/>
      <sheetName val="Prime_Coat"/>
      <sheetName val="Tack_Coat"/>
      <sheetName val="Gate_Pass"/>
      <sheetName val="CJPC_(2)"/>
      <sheetName val="SEP-08_(5-9)"/>
      <sheetName val="Civil_Boq"/>
      <sheetName val="______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INPUT_DATA1"/>
      <sheetName val="집계표_(25,26ဩ1"/>
      <sheetName val="Form_01"/>
      <sheetName val="Form_D-11"/>
      <sheetName val="Form_B-11"/>
      <sheetName val="Form_F-11"/>
      <sheetName val="Form_A1"/>
      <sheetName val="General_Data1"/>
      <sheetName val="LABOR_&amp;_자재"/>
      <sheetName val="입출재고현황_(2)"/>
      <sheetName val="3_공통공사대비"/>
      <sheetName val="간접비_총괄"/>
      <sheetName val="내역ࠜĀM4)"/>
      <sheetName val="Price_Schedule"/>
      <sheetName val="6PILE__(돌출)"/>
      <sheetName val="내역서_耰&quot;"/>
      <sheetName val="CAL_"/>
      <sheetName val="Rate_Analysis"/>
      <sheetName val="내역서_耰&quot;??"/>
      <sheetName val="EQUIPMENT_-2"/>
      <sheetName val="WEIGHT_LIST"/>
      <sheetName val="산#2-1_(2)"/>
      <sheetName val="BEND_LOSS"/>
      <sheetName val="내역서_耰&quot;_x005f_x0000__x005f_x0000_"/>
      <sheetName val="EQUIP_LIST"/>
      <sheetName val="단면_(2)"/>
      <sheetName val="공사비_내역_(가)"/>
      <sheetName val="Static_Equip"/>
      <sheetName val="3_Breakdown_Direct_Paint"/>
      <sheetName val="Form_A_"/>
      <sheetName val="내역서_耰&quot;__"/>
      <sheetName val="Summary_Sheets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CTC_Summary"/>
      <sheetName val="Site_&amp;_Administration_Cost"/>
      <sheetName val="EVM5-_Revised"/>
      <sheetName val="PSC_SUP(5x15)"/>
      <sheetName val="PSC_SUP(5x15)_SR"/>
      <sheetName val="FIXED_ITEMS"/>
      <sheetName val="Area_Statement"/>
      <sheetName val="Calculation_sheet"/>
      <sheetName val="Eqpt_Running"/>
      <sheetName val="BOQ-CODE-SFP_"/>
      <sheetName val="Activitywise_Qty"/>
      <sheetName val="Rate_Ana"/>
      <sheetName val="Bridges_(Abst)"/>
      <sheetName val="Slab_Culvert"/>
      <sheetName val="Decision_Table"/>
      <sheetName val="EPC_Cost"/>
      <sheetName val="PrjCost_Assumptions"/>
      <sheetName val="Finance_Assumptions"/>
      <sheetName val="Revenue_Assumptions"/>
      <sheetName val="Traffic_Assum"/>
      <sheetName val="Inputs "/>
      <sheetName val="PanhandleB"/>
      <sheetName val="rsm"/>
      <sheetName val="GasConsumption"/>
      <sheetName val="Opex"/>
      <sheetName val="IntlCmprPwr"/>
      <sheetName val="BoostrPwr"/>
      <sheetName val="LastBoostrPwr"/>
      <sheetName val="CapexBasis"/>
      <sheetName val="Graph"/>
      <sheetName val="Cht_basis"/>
      <sheetName val="apiDimension"/>
      <sheetName val="weightChart"/>
      <sheetName val="apiWeight"/>
      <sheetName val="thicknessBasis"/>
      <sheetName val="PanhandleA"/>
      <sheetName val="Rough"/>
      <sheetName val="SummarRs Cr&amp;Cust"/>
      <sheetName val="Optimisation"/>
      <sheetName val="SummaryUSDMill-NoCust"/>
      <sheetName val="Network-2 Compr_Option2"/>
      <sheetName val="Network-2 Compr_Option1"/>
      <sheetName val="140Bar Compr_Option1"/>
      <sheetName val="140Bar Compr_Option2"/>
      <sheetName val="120Bar Compr_Option2"/>
      <sheetName val="Dialog2"/>
      <sheetName val="Module3"/>
      <sheetName val="Module4"/>
      <sheetName val="Module5"/>
      <sheetName val="Module6"/>
      <sheetName val="TOLL. SHEET (WMM II)"/>
      <sheetName val="TOLL. SHEET (G.S.B.)"/>
      <sheetName val="R.E. DIS. FROM PR. CL."/>
      <sheetName val="TOLL SHEET EMB"/>
      <sheetName val="TOLL SHEET (S.G)"/>
      <sheetName val="O.R.R.ROCK (D.K.)"/>
      <sheetName val="O R R TBM  LIST"/>
      <sheetName val="O R R OGL"/>
      <sheetName val="DEPTH CHART (ORR) R.S."/>
      <sheetName val="DEPTH CHART (ORR) L.S."/>
      <sheetName val="dIFFERENCE"/>
      <sheetName val="Rock level (Parag)"/>
      <sheetName val="O.R.R.(ROCK1)"/>
      <sheetName val="DEPTH CHART (ORR) L.S. (2)"/>
      <sheetName val="DEPTH CHART (ORR) R.S. (2)"/>
      <sheetName val="co_5"/>
      <sheetName val="Rate"/>
      <sheetName val="SOR"/>
      <sheetName val="STR1"/>
      <sheetName val="STR2"/>
      <sheetName val="STR3"/>
      <sheetName val="LIN1"/>
      <sheetName val="LIN2"/>
      <sheetName val="typical subminor"/>
      <sheetName val="Road"/>
      <sheetName val="S&amp;I"/>
      <sheetName val="machi"/>
      <sheetName val="TRANS1"/>
      <sheetName val="trans"/>
      <sheetName val="mes-fb"/>
      <sheetName val="mes-pl"/>
      <sheetName val="XL4Test5"/>
      <sheetName val="inWords"/>
      <sheetName val="Mat_Cost"/>
      <sheetName val="MASTER_RATE ANALYSIS"/>
      <sheetName val="typical_subminor"/>
      <sheetName val="MASTER_RATE_ANALYSIS"/>
      <sheetName val="Expenditure_Plan"/>
      <sheetName val="SPT_vs_PHI"/>
      <sheetName val="typical_subminor1"/>
      <sheetName val="MASTER_RATE_ANALYSIS1"/>
      <sheetName val="Expenditure_Plan1"/>
      <sheetName val="SPT_vs_PHI1"/>
      <sheetName val="MACHINERY"/>
      <sheetName val="MATERIAL-MACHINERY-LABOUR"/>
      <sheetName val="INPUT"/>
      <sheetName val="DIR USED ITEMS"/>
      <sheetName val="2"/>
      <sheetName val="3"/>
      <sheetName val="6"/>
      <sheetName val="7"/>
      <sheetName val="8"/>
      <sheetName val="9"/>
      <sheetName val="11"/>
      <sheetName val="12"/>
      <sheetName val="15"/>
      <sheetName val="16"/>
      <sheetName val="Main Block"/>
      <sheetName val="Glacis Concrete"/>
      <sheetName val="TW-DW-90.85-105.85"/>
      <sheetName val="TW-DW-75.85-90.85 "/>
      <sheetName val="TW-DW-42-75.85"/>
      <sheetName val="Pier-26.17-42"/>
      <sheetName val="Workplan"/>
      <sheetName val="Conc&amp; Aggr"/>
      <sheetName val="Work Plan-Dam-0304-R1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95신규호표"/>
      <sheetName val="Proj_Details1"/>
      <sheetName val="_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Fee Rate Summary"/>
      <sheetName val="Annexures (2)"/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Synop"/>
      <sheetName val="Loading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LOCAL RATES"/>
      <sheetName val="MAJ Qtys "/>
      <sheetName val="DATA SHEET"/>
      <sheetName val="MECH-PROG"/>
      <sheetName val="MECH-ANLYS"/>
      <sheetName val="Crusher"/>
      <sheetName val="Crushing n screening"/>
      <sheetName val="SHUTTERING "/>
      <sheetName val="Input_footings"/>
      <sheetName val="SinglePeir_Input"/>
      <sheetName val="Conc rate analysis"/>
      <sheetName val="Bill No.5C"/>
      <sheetName val="Bill No. 5D"/>
      <sheetName val="Bill No. 5E"/>
      <sheetName val="Bill No.5F"/>
      <sheetName val="Bill No.10"/>
      <sheetName val="Bill No.13"/>
      <sheetName val="Payment Summary"/>
      <sheetName val="Abstract-BOQ"/>
      <sheetName val="Pg No"/>
      <sheetName val="Consumption"/>
      <sheetName val="Consump %"/>
      <sheetName val="B&amp;U Abs"/>
      <sheetName val="Royalty"/>
      <sheetName val="B&amp;U"/>
      <sheetName val="B&amp;U-Rebar"/>
      <sheetName val="RE Wall"/>
      <sheetName val="RE Emb-10+"/>
      <sheetName val="RE Block Ere-10+"/>
      <sheetName val="RE FM -10+"/>
      <sheetName val="RE Fill-10+"/>
      <sheetName val="RE Ere-11"/>
      <sheetName val="RE Fill-11"/>
      <sheetName val="RE FM-11"/>
      <sheetName val="RE Emb 11+"/>
      <sheetName val="RE Block Ere-16+"/>
      <sheetName val="RE FM-16"/>
      <sheetName val="RE Fill-16+"/>
      <sheetName val="RE EMB-16"/>
      <sheetName val="RE EMB-31+"/>
      <sheetName val="RE Block Ere-31+"/>
      <sheetName val="RE FM-31+"/>
      <sheetName val="RE Fill-31+"/>
      <sheetName val="RE Block-cas"/>
      <sheetName val="RE Pannel-cas"/>
      <sheetName val="Abstract of Escalation"/>
      <sheetName val="Escalation-Cement"/>
      <sheetName val="Escalation-Steel"/>
      <sheetName val="Escalation-Diesel"/>
      <sheetName val="Invoice Details-1"/>
      <sheetName val="Invoice Details-2"/>
      <sheetName val="Invoice Details-3"/>
      <sheetName val="Invoice Details-5"/>
      <sheetName val="Secured Mat. Advance"/>
      <sheetName val="Invoice Details-9"/>
      <sheetName val="AS 7"/>
      <sheetName val="AS 7 (REV)"/>
      <sheetName val="BOQ (REV)"/>
      <sheetName val="Basic"/>
      <sheetName val="Conc rate analysisa"/>
      <sheetName val="Conc rate analysis (Dust)"/>
      <sheetName val="Shear at Sections"/>
      <sheetName val="FENCING"/>
      <sheetName val="19-PERF"/>
      <sheetName val="Z- GENERAL PRICE SUMMARY"/>
      <sheetName val=" Estimate  "/>
      <sheetName val="갑지1"/>
      <sheetName val="경영혁신본뷀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당초내역서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ERECT"/>
      <sheetName val="PROSUM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Unit"/>
      <sheetName val="INPUT_DATA2"/>
      <sheetName val="집계표_(25,26ဩ2"/>
      <sheetName val="Form_02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내역서_耰&quot;__1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Extra &amp; Addtional Item"/>
      <sheetName val="CTC Variance Analysis 1 "/>
      <sheetName val="FTS"/>
      <sheetName val="CostFlow"/>
      <sheetName val="26.Cash flow "/>
      <sheetName val="Oncost"/>
      <sheetName val="Sch A1-A2"/>
      <sheetName val="Sch A3"/>
      <sheetName val="Sch A2-direct Rate"/>
      <sheetName val="PL-Dis"/>
      <sheetName val="Est-PL"/>
      <sheetName val="FTS-PNM"/>
      <sheetName val="BU III"/>
      <sheetName val="Cost-Sept 2015"/>
      <sheetName val="Cost April 2015"/>
      <sheetName val="Int"/>
      <sheetName val="BG Prepaid"/>
      <sheetName val="PILE COMP."/>
      <sheetName val=" ESC"/>
      <sheetName val="Tax-Mat"/>
      <sheetName val="Tax-Total"/>
      <sheetName val="Summary (2)"/>
      <sheetName val="FTS-HVT&amp;SS"/>
      <sheetName val="B-PL"/>
      <sheetName val="1.Pr Sch"/>
      <sheetName val="2.Work Program"/>
      <sheetName val="Client Quote BOQ"/>
      <sheetName val="Final Rate_WCT - less Cement"/>
      <sheetName val="6.B-LCSC"/>
      <sheetName val="Sheet piling"/>
      <sheetName val="sheet piling analysis"/>
      <sheetName val="Cl Fac"/>
      <sheetName val="DL"/>
      <sheetName val="Ins"/>
      <sheetName val="IT"/>
      <sheetName val="SHE"/>
      <sheetName val="Sal"/>
      <sheetName val="Sch D,E,G"/>
      <sheetName val="Fire Fighting"/>
      <sheetName val="HVAC"/>
      <sheetName val="Item E2"/>
      <sheetName val="4.B-Mat"/>
      <sheetName val="B Arch Mat"/>
      <sheetName val="5.B-Mix"/>
      <sheetName val="10.Est-SS"/>
      <sheetName val="16.Sal"/>
      <sheetName val="22.Enab"/>
      <sheetName val="23.Risk"/>
      <sheetName val="RBI Indices"/>
      <sheetName val="CY Detail"/>
      <sheetName val="Prestressing"/>
      <sheetName val="Thai Salary"/>
      <sheetName val="Sanitary_L&amp;T_Mandi"/>
      <sheetName val="MBQ"/>
      <sheetName val="drg study"/>
      <sheetName val="RA"/>
      <sheetName val="block"/>
      <sheetName val="Technicla manpower"/>
      <sheetName val="Mixer"/>
      <sheetName val="Basic Material Rate"/>
      <sheetName val="BP Cost"/>
      <sheetName val="Concrete ana"/>
      <sheetName val="Rate analysis-civil"/>
      <sheetName val="Rate Analysis- Earth work"/>
      <sheetName val="reinf"/>
      <sheetName val="Rate Analysis-Misc "/>
      <sheetName val="masonry"/>
      <sheetName val="Finishing"/>
      <sheetName val="Plant Hire Pile"/>
      <sheetName val="Rate Analysis-Pile"/>
      <sheetName val="SoA Breakup"/>
      <sheetName val="SoA"/>
      <sheetName val="Rate Analysis- Concrete"/>
      <sheetName val=" summary"/>
      <sheetName val="Syn.my to jam."/>
      <sheetName val="Machinery List"/>
      <sheetName val="STAFF-OH"/>
      <sheetName val="M.J.1 BOQ"/>
      <sheetName val="T-2 gen"/>
      <sheetName val="Road Map"/>
      <sheetName val="Details material"/>
      <sheetName val="MECH-PROG (2)"/>
      <sheetName val="page 1 of 2"/>
      <sheetName val="page 2 of 2"/>
      <sheetName val="Explanation"/>
      <sheetName val="QMM-Graph"/>
      <sheetName val="More Exp."/>
      <sheetName val="Synopsis C-10"/>
      <sheetName val="Loading "/>
      <sheetName val="MAJ Qtys"/>
      <sheetName val="BoQ C- 10"/>
      <sheetName val="TSP-CRUSHER"/>
      <sheetName val="END"/>
      <sheetName val="Brief"/>
      <sheetName val="Shuttering Cost NS 40"/>
      <sheetName val="Abs 4 L"/>
      <sheetName val="Abs 6 L"/>
      <sheetName val="Syn"/>
      <sheetName val="OHs"/>
      <sheetName val="T-2 material"/>
      <sheetName val="T Plaza boq"/>
      <sheetName val="T plaza"/>
      <sheetName val="civil cost (Sun)"/>
      <sheetName val="Clarification"/>
      <sheetName val="Rate analysis - EW"/>
      <sheetName val="masonary"/>
      <sheetName val="Conc analysis"/>
      <sheetName val="Rate Analysis-Misc"/>
      <sheetName val="Rate Anaysis-Finish"/>
      <sheetName val="Rate Analysis-Finish1"/>
      <sheetName val="CoA"/>
      <sheetName val="CoA Breakup"/>
      <sheetName val="Content-Technical"/>
      <sheetName val="Org-Chart"/>
      <sheetName val="Manpower Sche"/>
      <sheetName val="equipment Sche"/>
      <sheetName val="Tools"/>
      <sheetName val="Cover "/>
      <sheetName val="Separator Sheet"/>
      <sheetName val="Conc-Site"/>
      <sheetName val="Shut"/>
      <sheetName val="T Crane"/>
      <sheetName val="OH"/>
      <sheetName val="TS"/>
      <sheetName val="SDF I"/>
      <sheetName val="OH's"/>
      <sheetName val="Top sheet"/>
      <sheetName val="BOQ P-N"/>
      <sheetName val="Site Plan"/>
      <sheetName val="Elect"/>
      <sheetName val="DPR BOQ"/>
      <sheetName val="DPR Rates"/>
      <sheetName val="Highways BOQ"/>
      <sheetName val="Structures BOQ"/>
      <sheetName val="Cover Drain"/>
      <sheetName val="OH Calculation sheet"/>
      <sheetName val="Program"/>
      <sheetName val="Road BOQ)"/>
      <sheetName val="Machinary  Analysis- DSIDC"/>
      <sheetName val="hmp"/>
      <sheetName val="wmm"/>
      <sheetName val="Over Head Total"/>
      <sheetName val="Calculations"/>
      <sheetName val="Analysis( Civil )."/>
      <sheetName val="Synopsis "/>
      <sheetName val="OH- Summery"/>
      <sheetName val="OH Calculations"/>
      <sheetName val="Fin. Charges"/>
      <sheetName val="Backup CC"/>
      <sheetName val="Abst"/>
      <sheetName val="PBQ"/>
      <sheetName val="Materials Reqd"/>
      <sheetName val="Rate anly as per site sink data"/>
      <sheetName val="KL Bridge BoQ"/>
      <sheetName val="Mech Details"/>
      <sheetName val="Electrical BoQ"/>
      <sheetName val="Analysis (2)"/>
      <sheetName val="earth work RA"/>
      <sheetName val="BoQ Bld"/>
      <sheetName val="SHUTTERING (NS-40)"/>
      <sheetName val="Elect- Naidu designs"/>
      <sheetName val="Pile-1000mm dia"/>
      <sheetName val="Pile-1200mm dia "/>
      <sheetName val="ITEMS TO BE CHECK"/>
      <sheetName val="PROJ VIEW"/>
      <sheetName val="PAGE COLLECTION"/>
      <sheetName val="RESOUR_MACH"/>
      <sheetName val="MECH-COST ANALYSIS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Synopsis"/>
      <sheetName val="Abs Wagha"/>
      <sheetName val="Wagha BoQ"/>
      <sheetName val="Batching plant"/>
      <sheetName val="CONCRETE MIXER"/>
      <sheetName val="Concrete Pump"/>
      <sheetName val="Compressor"/>
      <sheetName val="Dozer"/>
      <sheetName val="Excavator"/>
      <sheetName val="FE Loader"/>
      <sheetName val="Grader"/>
      <sheetName val="HMP Plant"/>
      <sheetName val="PTR"/>
      <sheetName val="Tipper"/>
      <sheetName val="Tractor with Ripper "/>
      <sheetName val="Tandem Roller"/>
      <sheetName val="Vibratory Roller "/>
      <sheetName val="Water tanker"/>
      <sheetName val="WMM Paver"/>
      <sheetName val="WMM Plant"/>
      <sheetName val="Grand Summary"/>
      <sheetName val="Common Plant"/>
      <sheetName val="pLUMBING"/>
      <sheetName val="List of Items"/>
      <sheetName val="Major Quantities"/>
      <sheetName val="s"/>
      <sheetName val="ANALYSIS (PMC)"/>
      <sheetName val="earth work Road"/>
      <sheetName val="Hire -based on depr"/>
      <sheetName val="machinery charges road"/>
      <sheetName val="BP (2)"/>
      <sheetName val="earth work Railway"/>
      <sheetName val="DC - HMP Plant"/>
      <sheetName val="P&amp;M Dep"/>
      <sheetName val="Summary of Rates"/>
      <sheetName val="Cal - 08-09"/>
      <sheetName val="Lead statement - 2008-09"/>
      <sheetName val="Bitumen-2008-09"/>
      <sheetName val="13 (2)"/>
      <sheetName val="12 (20%)"/>
      <sheetName val="13 (20%)"/>
      <sheetName val="14 (20%)"/>
      <sheetName val="15 (2)"/>
      <sheetName val="Market Rate"/>
      <sheetName val="Cement"/>
      <sheetName val="Material Rate Variation"/>
      <sheetName val="sc bills"/>
      <sheetName val="Top Sheet 1 "/>
      <sheetName val="cf abstract"/>
      <sheetName val="cf sch31.07.07"/>
      <sheetName val="CASHFLOW"/>
      <sheetName val="QTY Plan_Prime cost"/>
      <sheetName val="Itemwise Qty plan &amp; Gross Bill"/>
      <sheetName val="Summary 1"/>
      <sheetName val="BOQ_New 1"/>
      <sheetName val="RA Balance items"/>
      <sheetName val="Staff Expenses 1"/>
      <sheetName val="Lease &amp; Rentals 1"/>
      <sheetName val="Office &amp; Admn 1"/>
      <sheetName val="Input 1"/>
      <sheetName val="Bitumen Calculations 1"/>
      <sheetName val="P&amp;M Charges"/>
      <sheetName val="Tech Data"/>
      <sheetName val="Overhead summary"/>
      <sheetName val="Qnty planned"/>
      <sheetName val="PROGRM -2"/>
      <sheetName val="SC WO rates"/>
      <sheetName val="Working Rates"/>
      <sheetName val="Detailed Expenditure Breakup"/>
      <sheetName val="Expenditure det"/>
      <sheetName val="Boiler&amp;TG"/>
      <sheetName val="Tg_foundn"/>
      <sheetName val="Stru_steel"/>
      <sheetName val="Digester building"/>
      <sheetName val="Boiler_TG"/>
      <sheetName val="Note Sheet"/>
      <sheetName val="notesheet"/>
      <sheetName val="Syn-pkg-1"/>
      <sheetName val="Syn-pkg-2"/>
      <sheetName val="Jhar. BOQ.I,II"/>
      <sheetName val="Machinery Costing"/>
      <sheetName val="Site overheads"/>
      <sheetName val="Escalation"/>
      <sheetName val="PMC BP"/>
      <sheetName val="PMC Mach"/>
      <sheetName val="Drain calculations"/>
      <sheetName val="Con Pro.I"/>
      <sheetName val="Con Pro.II"/>
      <sheetName val="Escl"/>
      <sheetName val="Layout"/>
      <sheetName val="Elec Items"/>
      <sheetName val="Synops"/>
      <sheetName val="Abstract ( Depre)"/>
      <sheetName val="C.P. BOQ"/>
      <sheetName val="BitAll"/>
      <sheetName val="A17"/>
      <sheetName val="ANNX A 17"/>
      <sheetName val="A18"/>
      <sheetName val="ANNX A 18"/>
      <sheetName val="A19"/>
      <sheetName val="ANNX A 19"/>
      <sheetName val="A20"/>
      <sheetName val="ANNX A 20"/>
      <sheetName val="A21"/>
      <sheetName val="ANNX A 21"/>
      <sheetName val="A 22"/>
      <sheetName val="A 23"/>
      <sheetName val="Revised"/>
      <sheetName val="Revised (2)"/>
      <sheetName val="S-Curve"/>
      <sheetName val="SoA Abstr."/>
      <sheetName val="SoA Bre"/>
      <sheetName val="CoA- Abst."/>
      <sheetName val="CoA Bre"/>
      <sheetName val="Work Prog"/>
      <sheetName val="C.Flow - WORKING"/>
      <sheetName val="C.Flow - ABS"/>
      <sheetName val="Crude tank  "/>
      <sheetName val="WATER DRAIN TANKS"/>
      <sheetName val="HDT HSD"/>
      <sheetName val="REFRIGERATED LPG"/>
      <sheetName val="NAPHTHA ST"/>
      <sheetName val="MS PREMIUM"/>
      <sheetName val="DPK AND SKO"/>
      <sheetName val="HSD DIESEL EXPORT ST"/>
      <sheetName val="HSD DIESEL STORAGE TANK"/>
      <sheetName val="MS REGULAR"/>
      <sheetName val="SULPHUR STORAGE TANKS"/>
      <sheetName val="LPG"/>
      <sheetName val="PROPYLENE"/>
      <sheetName val="Abstruct"/>
      <sheetName val="Major material list"/>
      <sheetName val="Coke Drum Str - BOQ"/>
      <sheetName val="Analysis-Civil"/>
      <sheetName val="CD errection cost"/>
      <sheetName val="BP-PMC"/>
      <sheetName val="Out Flow PMC"/>
      <sheetName val="Syn-pkg-3"/>
      <sheetName val="Syn-pkg-4"/>
      <sheetName val="Top Sheet (2)"/>
      <sheetName val="Loading (2)"/>
      <sheetName val="Jhar. BOQ.III,IV"/>
      <sheetName val="Con Pro.III"/>
      <sheetName val="Con Pro.IV"/>
      <sheetName val="Road Works"/>
      <sheetName val="0000000000000"/>
      <sheetName val="1000000000000"/>
      <sheetName val="RMR"/>
      <sheetName val="MEST"/>
      <sheetName val="DATA_ENTRY"/>
      <sheetName val="MRoad data"/>
      <sheetName val="MRATES"/>
      <sheetName val="MBTLead"/>
      <sheetName val="MRMR"/>
      <sheetName val="MRoadMap"/>
      <sheetName val="site rates"/>
      <sheetName val="33 kV-Eqpt.fdn."/>
      <sheetName val="220 kV-Eqpt.-fdn."/>
      <sheetName val="400 kV-Eqpt.fdn."/>
      <sheetName val="Tower &amp; LM Foundation"/>
      <sheetName val="Transformer FDN"/>
      <sheetName val="Transformer FDN.Drawing"/>
      <sheetName val="Transformer FDN 1"/>
      <sheetName val="Topsheet"/>
      <sheetName val="SK BOQ Pkg-1"/>
      <sheetName val="Analysis "/>
      <sheetName val="Str.Qu."/>
      <sheetName val="AP-1(Electrical BOQ)"/>
      <sheetName val="machinery available soil"/>
      <sheetName val="MAJ Qtys HORR"/>
      <sheetName val="Crusher "/>
      <sheetName val="Shuttering Cost"/>
      <sheetName val="con pro."/>
      <sheetName val="Syn of Sk -Pkg1"/>
      <sheetName val="Sheet5"/>
      <sheetName val="AP-7(synopsis)"/>
      <sheetName val="Summary AP7"/>
      <sheetName val="BOQ AP 7"/>
      <sheetName val="MAJ Qtys Ap"/>
      <sheetName val="Qty's calc."/>
      <sheetName val="Cost summary (test)"/>
      <sheetName val="Cost summary (2)"/>
      <sheetName val="Activity summary"/>
      <sheetName val="Commission fees"/>
      <sheetName val="FUNCTION"/>
      <sheetName val="pr_cal"/>
      <sheetName val="Process"/>
      <sheetName val="Database"/>
      <sheetName val="E-Core version"/>
      <sheetName val="list"/>
      <sheetName val="Laptop Loan Req Form"/>
      <sheetName val="Laptop Release Form"/>
      <sheetName val="Fire Wall-NEW"/>
      <sheetName val="Recator"/>
      <sheetName val="Cab Tre dc yard"/>
      <sheetName val="Cab Tre-ac yard"/>
      <sheetName val="AC FILTER YARD"/>
      <sheetName val="Ac Yard Equipments"/>
      <sheetName val="DC YARD TOWERS"/>
      <sheetName val="DC Yard Equipments"/>
      <sheetName val="AC YARD TOWERS"/>
      <sheetName val="changes"/>
      <sheetName val="BOQ total"/>
      <sheetName val="BOQ - AC Switchyard"/>
      <sheetName val="BOQ DC YARD"/>
      <sheetName val="BOQ Buildings -final-BALLIA"/>
      <sheetName val="Control Bldg"/>
      <sheetName val="Adani Haryana_VH"/>
      <sheetName val="Valve Hall including AHU"/>
      <sheetName val="Elect_"/>
      <sheetName val="Railway Deposit"/>
      <sheetName val="BOQ Thum"/>
      <sheetName val="PMC mach "/>
      <sheetName val="Crusher-PMC"/>
      <sheetName val="L.map"/>
      <sheetName val="Ele. workable Rates"/>
      <sheetName val="cash flow-tn06"/>
      <sheetName val="BOQ (F)"/>
      <sheetName val="SUMMARY_"/>
      <sheetName val="Sal1"/>
      <sheetName val="HRA Mess"/>
      <sheetName val="Off-Veh"/>
      <sheetName val="Lead"/>
      <sheetName val="T.KM"/>
      <sheetName val="DC - WMM Plant"/>
      <sheetName val="RA - WMM"/>
      <sheetName val="BP from 74"/>
      <sheetName val="BP @ 58.00km"/>
      <sheetName val="Concrete works"/>
      <sheetName val="Exc items"/>
      <sheetName val="Top Sheet working"/>
      <sheetName val="Major qty "/>
      <sheetName val="SUMMARY_ (2)"/>
      <sheetName val="Escalation-not used"/>
      <sheetName val="Conc Qty"/>
      <sheetName val="WO Rates"/>
      <sheetName val="Top Sheet  "/>
      <sheetName val="Top Sheet -1"/>
      <sheetName val="ABS-SOH"/>
      <sheetName val="Salaries"/>
      <sheetName val="Off-Veh Exp"/>
      <sheetName val="BOQ "/>
      <sheetName val="BP-Other strs"/>
      <sheetName val="BP- FOs-Itchgs"/>
      <sheetName val="Hire chares of Machinery"/>
      <sheetName val="Land Lease-NH "/>
      <sheetName val="BOQ  (2)"/>
      <sheetName val="ESC"/>
      <sheetName val="TARGET VS ACHIVED"/>
      <sheetName val="Sheet1(NOV)"/>
      <sheetName val="Reasons SHORT&amp;CRITICA&amp;EXE.TIME "/>
      <sheetName val="BCTC_SUPPLY (CERTIFIED BILLS)"/>
      <sheetName val="BCTC_ERECTION"/>
      <sheetName val="Action Plan-RE work"/>
      <sheetName val="Action plan Turn Over reports"/>
      <sheetName val="RA BILL DEATAILS"/>
      <sheetName val="pending micc &amp; cip"/>
      <sheetName val="Supply Pkg B"/>
      <sheetName val="Er. PkgB"/>
      <sheetName val="Tower Calculations"/>
      <sheetName val="Hardware &amp; Acces."/>
      <sheetName val="MIS_MRN-6"/>
      <sheetName val="MRN-NEW"/>
      <sheetName val="In Ward 2007-2009"/>
      <sheetName val="MRN"/>
      <sheetName val="MS+CS"/>
      <sheetName val="MS"/>
      <sheetName val="MRNvsPJV FOR 10"/>
      <sheetName val="MS+CS FOR 10"/>
      <sheetName val="MS FOR 10"/>
      <sheetName val="701"/>
      <sheetName val="736"/>
      <sheetName val="98"/>
      <sheetName val="620"/>
      <sheetName val="597"/>
      <sheetName val="668"/>
      <sheetName val="570"/>
      <sheetName val="524"/>
      <sheetName val="675"/>
      <sheetName val="121"/>
      <sheetName val="577"/>
      <sheetName val="681"/>
      <sheetName val="20176"/>
      <sheetName val="20131"/>
      <sheetName val="20165"/>
      <sheetName val="ORG CHART 040206"/>
      <sheetName val="DPR"/>
      <sheetName val="11 KV MAIN LINE 05.02.06"/>
      <sheetName val="s6 05.02.06"/>
      <sheetName val="Trans main"/>
      <sheetName val="Piling-Quot"/>
      <sheetName val="Piling"/>
      <sheetName val="Piling-Kilpak"/>
      <sheetName val="Piling-KKNgr"/>
      <sheetName val="Piling-AnaPonga"/>
      <sheetName val="ABSTRACT-28-07-10"/>
      <sheetName val="DEBTORS AGING - Q1-FINAL"/>
      <sheetName val="NET DEB. W.INGS.26-7"/>
      <sheetName val="DEB. PROV.AS ON 30-06-2010"/>
      <sheetName val="DEB.ACT.PROV.AVAILABLE31-03-10"/>
      <sheetName val="G.D.(ACTUAL)"/>
      <sheetName val="LESSTHAN 6 M"/>
      <sheetName val="MORETHAN 6 MONTHS"/>
      <sheetName val="ONE TO TWO YRS."/>
      <sheetName val="TO TWO 2 3 YRS."/>
      <sheetName val="MOB.ADV."/>
      <sheetName val="MAT.ADV."/>
      <sheetName val="MAC.ADV."/>
      <sheetName val="01-04-08-30-06-08"/>
      <sheetName val="1-7-07-31-03-09"/>
      <sheetName val="01-04-09 30-06-09"/>
      <sheetName val="01-07-08 TO 31-03-09"/>
      <sheetName val="Complaince Status Report"/>
      <sheetName val="STOCK STATEMENT-BSP"/>
      <sheetName val="Stock Statement"/>
      <sheetName val="Major Materials"/>
      <sheetName val="Free Issue Mat. to PRW_Sub Con."/>
      <sheetName val="P.V.CL.Stock-BSP"/>
      <sheetName val="Physical Verification Cl. Stock"/>
      <sheetName val="Physical verification of FA"/>
      <sheetName val="Physical verification-BSP"/>
      <sheetName val="HOSPET-EMIPRICE"/>
      <sheetName val="Civil Analysis "/>
      <sheetName val="D.I pipe"/>
      <sheetName val="D.IComp"/>
      <sheetName val="Check List"/>
      <sheetName val="Site Visit Report"/>
      <sheetName val="ANALSIS"/>
      <sheetName val="rev.boq"/>
      <sheetName val="Summary "/>
      <sheetName val="Ana=Civ"/>
      <sheetName val="ANa=Str"/>
      <sheetName val="Ana=SW"/>
      <sheetName val="Mat"/>
      <sheetName val="PH"/>
      <sheetName val=" BoQ"/>
      <sheetName val="TUGSS3-549"/>
      <sheetName val="Trial Balance"/>
      <sheetName val="MRate"/>
      <sheetName val="PRELIM5"/>
      <sheetName val="Monthly Billing"/>
      <sheetName val="MPS R-1 (2)"/>
      <sheetName val="Annexure"/>
      <sheetName val="MPS R-1"/>
      <sheetName val="Level-3 MPS"/>
      <sheetName val="Old working"/>
      <sheetName val="SIL File"/>
      <sheetName val="DT"/>
      <sheetName val="FACTORS"/>
      <sheetName val="GIFT"/>
      <sheetName val="chart as per norms"/>
      <sheetName val="Officer"/>
      <sheetName val="staff &amp; DP"/>
      <sheetName val="Working 1"/>
      <sheetName val="Prelim-wrk-detail"/>
      <sheetName val="S44 Depriciation"/>
      <sheetName val="S45 Refurbishment Charges"/>
      <sheetName val="Compatibility Report"/>
      <sheetName val="AS-9 Schedule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Bill No__13"/>
      <sheetName val="DPR Apr'09"/>
      <sheetName val="tracking"/>
      <sheetName val="tracking (2)"/>
      <sheetName val="Alphabetical List (HO)"/>
      <sheetName val="Floorwise List "/>
      <sheetName val="Mobile &amp; Residence No."/>
      <sheetName val="Fax Nos (HO)"/>
      <sheetName val="Site Details"/>
      <sheetName val="Office Details"/>
      <sheetName val="Site-PM-contact no's"/>
      <sheetName val="HREL"/>
      <sheetName val="LAVASA-MUMBAI"/>
      <sheetName val="HCC Information System"/>
      <sheetName val="Tivoli"/>
      <sheetName val="IIIA WATER SUPPLY PROJECT"/>
      <sheetName val="Allahbad Bypass "/>
      <sheetName val="AP-8"/>
      <sheetName val="Assam Road Project"/>
      <sheetName val="Badarpur"/>
      <sheetName val="Bandra-Worli"/>
      <sheetName val="Chamera"/>
      <sheetName val="Chennai By Pass Mobile"/>
      <sheetName val="Chennai Bypass "/>
      <sheetName val="Chutak"/>
      <sheetName val="DELHI METRO"/>
      <sheetName val="DHAULIGANGA"/>
      <sheetName val="GOSHIKHURD"/>
      <sheetName val="GSHP-2"/>
      <sheetName val="KISHANGANGA"/>
      <sheetName val="KOODANKULAM"/>
      <sheetName val="KHARAGPUR "/>
      <sheetName val="KAANB - JUBAIL(SAUDI)"/>
      <sheetName val="Lavasa Site Mobiles"/>
      <sheetName val="LAVASA IPPBX"/>
      <sheetName val="LMNHP- 1 &amp; 2"/>
      <sheetName val="LMNHP- 3 &amp; 4"/>
      <sheetName val="Loharinag Pala"/>
      <sheetName val="Mughal Road "/>
      <sheetName val="Middle Vaitarna-Mobile"/>
      <sheetName val="Teesta"/>
      <sheetName val="TALA C1"/>
      <sheetName val="NAINI"/>
      <sheetName val="Paradip"/>
      <sheetName val="Punatsangchhu"/>
      <sheetName val="PURULIA JV"/>
      <sheetName val="Polavaram"/>
      <sheetName val="RJ-7"/>
      <sheetName val="RAPP 5 &amp; 6"/>
      <sheetName val="SBC "/>
      <sheetName val="Tara "/>
      <sheetName val=" URI - WLL &amp; EPBX"/>
      <sheetName val="URI-OFFICERS MOBILE "/>
      <sheetName val="Visakhapatnam"/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MSE ITEMS"/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  <sheetName val="Proj ManStr"/>
      <sheetName val="Proj Mancost"/>
      <sheetName val="Abs Proj ManSt"/>
      <sheetName val="norms"/>
      <sheetName val="MJB-1"/>
      <sheetName val="MJB-2"/>
      <sheetName val="MJB-3"/>
      <sheetName val="UNP-2"/>
      <sheetName val="UNP-4"/>
      <sheetName val="OVP"/>
      <sheetName val="VDT-1"/>
      <sheetName val="VDT-2"/>
      <sheetName val="VDT-3"/>
      <sheetName val="sheath"/>
      <sheetName val="cables"/>
      <sheetName val="fpcc set 1"/>
      <sheetName val="fpcc set 2"/>
      <sheetName val="danamic set 1 "/>
      <sheetName val="danamic set 2"/>
      <sheetName val="sheathing"/>
      <sheetName val="BOQ Supporting sheet -for SAP"/>
      <sheetName val="Pare_Documents"/>
      <sheetName val="Structures"/>
      <sheetName val="Detail CD"/>
      <sheetName val="Cofferdams"/>
      <sheetName val="Pare_TC"/>
      <sheetName val="Equip areawise_Client"/>
      <sheetName val="Equip mthwise_Client"/>
      <sheetName val="Equip areawise_Int"/>
      <sheetName val="Equip mthwise_Int"/>
      <sheetName val="HCC F 01 09 56 Cap"/>
      <sheetName val="Dumpers + T mixers"/>
      <sheetName val="SuperSwinger"/>
      <sheetName val="Gantry"/>
      <sheetName val="Mix"/>
      <sheetName val="BOQ (Filled)"/>
      <sheetName val="Month crushing"/>
      <sheetName val="BOQ Supporting Sheet"/>
      <sheetName val="Pare_Dam Excn"/>
      <sheetName val="WC_Dam lift"/>
      <sheetName val="Pare_Con Area"/>
      <sheetName val="Pare_Con Lift Qty_R1"/>
      <sheetName val="Pare_Cons Grt"/>
      <sheetName val="Pare_TC (2)"/>
      <sheetName val="S0 Key dates"/>
      <sheetName val="S11AEQPnorm"/>
      <sheetName val="S11BEQPnorm"/>
      <sheetName val="Form1 "/>
      <sheetName val="Form 4-rev-1"/>
      <sheetName val="Form 5-rev-1"/>
      <sheetName val="S3workplan"/>
      <sheetName val="S4cycle"/>
      <sheetName val="S5 escl-1"/>
      <sheetName val="S5 escl-2"/>
      <sheetName val="EQUIP NORMS Standard"/>
      <sheetName val="NORMs-1"/>
      <sheetName val="Equipments-details"/>
      <sheetName val="S16Elec."/>
      <sheetName val="S23Mancost"/>
      <sheetName val="S25EQPoutrep"/>
      <sheetName val="S27EQP-lease"/>
      <sheetName val="S31 PRE-EXP"/>
      <sheetName val="S41-MatProcurement"/>
      <sheetName val="S42HSE "/>
      <sheetName val="Season1 program"/>
      <sheetName val="MaterialPrice"/>
      <sheetName val="S5Esc"/>
      <sheetName val="S7Matqty-group"/>
      <sheetName val="S12-Subtotals"/>
      <sheetName val="load&amp;DG"/>
      <sheetName val="S18Eqplan"/>
      <sheetName val="DEPRI"/>
      <sheetName val="S20MSEitems"/>
      <sheetName val="S23Mannos."/>
      <sheetName val="Officer Budget Form"/>
      <sheetName val="S29PrelimItem"/>
      <sheetName val="S31Preitem"/>
      <sheetName val="S33prelexdet"/>
      <sheetName val="S39Liability"/>
      <sheetName val="prel. working"/>
      <sheetName val="dept recov."/>
      <sheetName val="HO EXPS"/>
      <sheetName val="Work Plan C-4"/>
      <sheetName val="S4cycle IV"/>
      <sheetName val="S4cycle V"/>
      <sheetName val="S4cycle VI"/>
      <sheetName val="S4cycle Lin"/>
      <sheetName val=" linked data"/>
      <sheetName val="S5escl"/>
      <sheetName val="Mat Norms"/>
      <sheetName val="CPPL"/>
      <sheetName val="matreqp5"/>
      <sheetName val="Eqp Mnth(main)"/>
      <sheetName val="Equp.wo"/>
      <sheetName val="Crushing Plant"/>
      <sheetName val="cal con pu"/>
      <sheetName val="MSE-DATA"/>
      <sheetName val="S2groupc"/>
      <sheetName val="Esc 12"/>
      <sheetName val="MEMORANDUM"/>
      <sheetName val="Certificate"/>
      <sheetName val="Esc 11"/>
      <sheetName val="Esc 10"/>
      <sheetName val="esc 9"/>
      <sheetName val="esc 8"/>
      <sheetName val="esc 7"/>
      <sheetName val="ESC 6"/>
      <sheetName val="ESC 5"/>
      <sheetName val="ESC.4"/>
      <sheetName val="ESC.3"/>
      <sheetName val="Sheet4 "/>
      <sheetName val="XXXXX"/>
      <sheetName val="XXXX0"/>
      <sheetName val="PRELIM"/>
      <sheetName val="EQPTS LIST"/>
      <sheetName val="RESOURCE"/>
      <sheetName val="DESIGN MIX"/>
      <sheetName val="LEAD&amp;EFF."/>
      <sheetName val="JAN25"/>
      <sheetName val="Pare-Progress"/>
      <sheetName val="Work Plan Backup"/>
      <sheetName val="Fincl. Graph"/>
      <sheetName val="Crushing Plant Backup"/>
      <sheetName val="Eqplan"/>
      <sheetName val="Profitability"/>
      <sheetName val="D2&amp;3-PRELIMINARY-ITEMWISE"/>
      <sheetName val="D4&amp;5-PRILIMINARY-EXP"/>
      <sheetName val="REVENUE"/>
      <sheetName val="Exp-details"/>
      <sheetName val="BOQ lot IV A"/>
      <sheetName val="BOQ  lot IV B"/>
      <sheetName val="Comp"/>
      <sheetName val="AD"/>
      <sheetName val=" (Annexure 1)All Faces "/>
      <sheetName val="All RA's LOT A"/>
      <sheetName val="Escalation Indices RA 6"/>
      <sheetName val="(Annexure 2)"/>
      <sheetName val=" (Annexure 1)"/>
      <sheetName val="Dewatering 1.1"/>
      <sheetName val="UG Exv 3.1"/>
      <sheetName val="Line Drilling 3.2"/>
      <sheetName val="Extra for Haul. Excav. Mat. 3.4"/>
      <sheetName val="Rock bolts 25mm Upto 5m 4.1.1"/>
      <sheetName val="Rock bolts 25mm more 5m 4.1.2"/>
      <sheetName val="Rock bolt 32 more than 5m 4.2.2"/>
      <sheetName val="Wiremesh 4.7.2"/>
      <sheetName val="Drilling for Pregrouting 4.12"/>
      <sheetName val="Grout Operation 4.12.1"/>
      <sheetName val="Cement for Pregrouting 4.12.2"/>
      <sheetName val="Drilling for forepoling 4. 13"/>
      <sheetName val="Grout Operation 4.13.1"/>
      <sheetName val="Cement for forepoling 4.13.2"/>
      <sheetName val="40-50 mm SFRS 5.1"/>
      <sheetName val="75mm Shotcrete 5.2"/>
      <sheetName val="Admixture"/>
      <sheetName val="Drilling of PreDrain holes 7.1"/>
      <sheetName val="Drilling of instrumentation"/>
      <sheetName val="Instrumentation Load cell"/>
      <sheetName val="Instrumentation MPBX"/>
      <sheetName val="Instrumentation Convergence bol"/>
      <sheetName val="DEFORMED REINFORCEMENT 11.1"/>
      <sheetName val="Pir Panjal VB CTC"/>
      <sheetName val="S0 Keydates"/>
      <sheetName val="S4 CycleTime"/>
      <sheetName val="Depri &amp; Refu"/>
      <sheetName val="Depri &amp; Refu link"/>
      <sheetName val="Working-sheet"/>
      <sheetName val="VB Combined"/>
      <sheetName val="Work Programm"/>
      <sheetName val="Cut nd Cover Qty"/>
      <sheetName val="MIS (VI)"/>
      <sheetName val="MIS (I) Liab"/>
      <sheetName val="Pir Panjal VA CTC"/>
      <sheetName val="Approach"/>
      <sheetName val="S0-KEYDATES"/>
      <sheetName val="S4CycleTime"/>
      <sheetName val="Pir VA (2)"/>
      <sheetName val="VA Combined (R1 17-02)"/>
      <sheetName val="VA"/>
      <sheetName val="Mining BOQ Amount"/>
      <sheetName val="Linning BOQ AMOUNT "/>
      <sheetName val="trial balance(SAP)"/>
      <sheetName val="MIS MODULE 1"/>
      <sheetName val="MOD-II"/>
      <sheetName val="MIS MODULE III"/>
      <sheetName val="MIS MODULE IV"/>
      <sheetName val="CUML_PROFITABILITY"/>
      <sheetName val="MIS MODULE V"/>
      <sheetName val="MIS MODULE VI"/>
      <sheetName val="MIS MODULE VII"/>
      <sheetName val="MIS MODULE VIII"/>
      <sheetName val="MIS MODULE IX"/>
      <sheetName val="MIS MODULE X"/>
      <sheetName val="MISMODULE11"/>
      <sheetName val="preliminary charging"/>
      <sheetName val="Anal.Profit"/>
      <sheetName val="Group"/>
      <sheetName val="Catalog Summ"/>
      <sheetName val="Equipment - Details"/>
      <sheetName val="As Per Acc"/>
      <sheetName val="Form 7-new"/>
      <sheetName val="LIABILITY"/>
      <sheetName val="INDENT-COLLECTION"/>
      <sheetName val="FUND INDENT"/>
      <sheetName val="Form 5-New"/>
      <sheetName val="Pir Panjal Combined CTC"/>
      <sheetName val="Quantity Calculation - BOQ"/>
      <sheetName val="upto-mar-11"/>
      <sheetName val="MIS MOD-II"/>
      <sheetName val="BASIC RATES"/>
      <sheetName val="PPVA"/>
      <sheetName val="PPVB"/>
      <sheetName val="Budget Note"/>
      <sheetName val="S16Elec (KWh)"/>
      <sheetName val="CSR expenses"/>
      <sheetName val="Agg. cal"/>
      <sheetName val="S4timecycle "/>
      <sheetName val="S5escalation "/>
      <sheetName val="S18EQPplan "/>
      <sheetName val="USB CTC"/>
      <sheetName val="Pare CTC"/>
      <sheetName val="All Transfer Records"/>
      <sheetName val="Transfer Recs Covered"/>
      <sheetName val="CTC"/>
      <sheetName val="S25Eqptoutside"/>
      <sheetName val="Refurbishment"/>
      <sheetName val="Sheet1 (4)"/>
      <sheetName val="Sheet1 (3)"/>
      <sheetName val="MARCH"/>
      <sheetName val="Sitewise GR(APR-MAY07)"/>
      <sheetName val="Sitewise GR(June07)"/>
      <sheetName val="HO &amp; Works"/>
      <sheetName val="Quarterwise 6+3"/>
      <sheetName val="Quarterwise"/>
      <sheetName val="Share Div 6 +3"/>
      <sheetName val="Share Div"/>
      <sheetName val="S Receipts 6+3"/>
      <sheetName val="S Receipts"/>
      <sheetName val="S Receipt HO"/>
      <sheetName val="570001"/>
      <sheetName val="570021"/>
      <sheetName val="Exch diff 6+3"/>
      <sheetName val="Exch-diff New"/>
      <sheetName val="Birthday (2)"/>
      <sheetName val="Marriage (2)"/>
      <sheetName val="GRI Background"/>
      <sheetName val="Financial Implications- CC"/>
      <sheetName val="Financial Assistance from Govt."/>
      <sheetName val="Human Rights Screening"/>
      <sheetName val="Incidents of Discrimination"/>
      <sheetName val="Risks to Collective Bargaining"/>
      <sheetName val="Public Policy and Lobbying"/>
      <sheetName val="Duty Drawback Material"/>
      <sheetName val="equipment norms Backup"/>
      <sheetName val="dUTY dRAWBACK pol"/>
      <sheetName val="DPR -Permanent Works"/>
      <sheetName val="CP FEB 03"/>
      <sheetName val="CWCO FEB 03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CP MAR 03"/>
      <sheetName val="CWCO MAR 03"/>
      <sheetName val="MAR03 LEDGER"/>
      <sheetName val="MAR03 LEDGER (2)"/>
      <sheetName val=" _x0000__x001b__x0000__x0006__x0000__x0006__x0000__x0008__x0000_ _x0000__x0000_"/>
      <sheetName val="not req"/>
      <sheetName val="not req1"/>
      <sheetName val="not req 2"/>
      <sheetName val="not req 3"/>
      <sheetName val="not req 4"/>
      <sheetName val="DI-K7 &amp; K9 (2010-11)"/>
      <sheetName val="DI SPECIALS"/>
      <sheetName val="DI-C-L-J (2010-11)O.D-450MM dia"/>
      <sheetName val="DI Specials (2010-11)"/>
      <sheetName val="CI Specials (2010-11) (2)"/>
      <sheetName val="DI SPECIALS (2)"/>
      <sheetName val="Rubber gaskets(2010-11)"/>
      <sheetName val="Detailed"/>
      <sheetName val="H2-08 Thot"/>
      <sheetName val="H1-09 Thot"/>
      <sheetName val="H1,2009 Sripad"/>
      <sheetName val="H2-08 Sripad"/>
      <sheetName val="H1-2009 RJ"/>
      <sheetName val="H2-08 RJ4"/>
      <sheetName val="All Projects"/>
      <sheetName val="Q2-09 VA"/>
      <sheetName val="132 kV Roikbha"/>
      <sheetName val="OPGW Quantity summary"/>
      <sheetName val="recap generale"/>
      <sheetName val="bord prix fourniture"/>
      <sheetName val="Détail Rechanges Client"/>
      <sheetName val="outillage"/>
      <sheetName val="sous traitance"/>
      <sheetName val="liste ANDI"/>
      <sheetName val="PV devinet"/>
      <sheetName val="PDRA devinet"/>
      <sheetName val="synthesis"/>
      <sheetName val="export coeff"/>
      <sheetName val="p.sch.coeff"/>
      <sheetName val="result"/>
      <sheetName val="RecettesUsinesClient"/>
      <sheetName val="RécapCoachingGre"/>
      <sheetName val="Estim"/>
      <sheetName val="Training"/>
      <sheetName val="aide"/>
      <sheetName val="400kV GIS"/>
      <sheetName val="400kV AIS"/>
      <sheetName val="EA Sheet"/>
      <sheetName val="Internal Summary"/>
      <sheetName val="Supply - ETC"/>
      <sheetName val="SUM CE"/>
      <sheetName val="GIS"/>
      <sheetName val="Revised ANNEX-1"/>
      <sheetName val="ANNEX2"/>
      <sheetName val="VAT on Civil"/>
      <sheetName val="Receipt - Payment"/>
      <sheetName val="CF Statement"/>
      <sheetName val="OWC"/>
      <sheetName val="Curve"/>
      <sheetName val="Bank Charges"/>
      <sheetName val="ROR"/>
      <sheetName val="Scope &amp; Exclusion"/>
      <sheetName val="Tech. com"/>
      <sheetName val="EquipEarthing"/>
      <sheetName val="ESTDGRIDrev0"/>
      <sheetName val="DCPowerCables"/>
      <sheetName val="ACpowercables"/>
      <sheetName val="ControlCable"/>
      <sheetName val="Lighting"/>
      <sheetName val="Cantilever Strength"/>
      <sheetName val="TBB"/>
      <sheetName val="72.5EquipEarthing"/>
      <sheetName val="36EquipEarthing"/>
      <sheetName val="DPR-JBRP"/>
      <sheetName val="DATA-JMEC(0-13)"/>
      <sheetName val="DATA-DEP.(13-17)"/>
      <sheetName val="DATA-KBPL(17-25)"/>
      <sheetName val="DATA-GCC(25-34.7)"/>
      <sheetName val="St.-Con(0-17)"/>
      <sheetName val="St.-Con.(17-34)"/>
      <sheetName val="St.-Others"/>
      <sheetName val="DEPLOY"/>
      <sheetName val="CALCULATION"/>
      <sheetName val="XXXXXXXX"/>
      <sheetName val="bsvertical"/>
      <sheetName val="sch1"/>
      <sheetName val="sch2"/>
      <sheetName val="sch3"/>
      <sheetName val="sch4"/>
      <sheetName val="sch5"/>
      <sheetName val="sch6-btd"/>
      <sheetName val="sch8,9,10,11"/>
      <sheetName val="sch12,13,14"/>
      <sheetName val="B Sheet"/>
      <sheetName val="PreOp"/>
      <sheetName val="DET0900"/>
      <sheetName val="Loan"/>
      <sheetName val="ElectInst"/>
      <sheetName val="Plan&amp;Mach"/>
      <sheetName val="Railway"/>
      <sheetName val="Buildings"/>
      <sheetName val="Dep-Tally"/>
      <sheetName val="Final-Asset-Depre-SKG"/>
      <sheetName val="AssetMaster-Final"/>
      <sheetName val="Sch-3-fixedAssets"/>
      <sheetName val="Final-Allocation-SKG"/>
      <sheetName val="fluct-2yrs"/>
      <sheetName val="Frgn-Exch-Diff"/>
      <sheetName val="CWIP-Tally"/>
      <sheetName val="cwip-proj"/>
      <sheetName val="CWIP-remain"/>
      <sheetName val="CWIP-detl-AUC"/>
      <sheetName val="details for cwip remain"/>
      <sheetName val="Final data for DEP."/>
      <sheetName val="Main data for Dep"/>
      <sheetName val="Final Allocation Summary"/>
      <sheetName val="SINTER+CHFES+COAL INJ."/>
      <sheetName val="Tally with SAP"/>
      <sheetName val="ORIGINAL Sint+CHFES+Coal Inj"/>
      <sheetName val="414000 UPDATED INSURANCE"/>
      <sheetName val="fixed"/>
      <sheetName val="16862"/>
      <sheetName val="DIRECTORS DETAILS"/>
      <sheetName val="UPDATED ON 23 07 01"/>
      <sheetName val="Detail Sheet"/>
      <sheetName val="laroux"/>
      <sheetName val="BAL S"/>
      <sheetName val="BAL SHEET 12 april 02"/>
      <sheetName val="TALLY "/>
      <sheetName val="429400"/>
      <sheetName val="SHEET"/>
      <sheetName val="429400 june"/>
      <sheetName val="C"/>
      <sheetName val="PROF"/>
      <sheetName val="D"/>
      <sheetName val="JUNE   "/>
      <sheetName val="E"/>
      <sheetName val="425230 june"/>
      <sheetName val="F"/>
      <sheetName val="G"/>
      <sheetName val="Bal Sheet Aug 01 (15.9.01)  (2)"/>
      <sheetName val="GIST"/>
      <sheetName val="A.1"/>
      <sheetName val="A.2"/>
      <sheetName val="D 1"/>
      <sheetName val="D 3"/>
      <sheetName val="D 4"/>
      <sheetName val="D 5"/>
      <sheetName val="D 6"/>
      <sheetName val="Balance Sheet upto Sept., 2001"/>
      <sheetName val="D 7"/>
      <sheetName val="D 7.1"/>
      <sheetName val="D 2"/>
      <sheetName val="D 8"/>
      <sheetName val="425230 apr may 01"/>
      <sheetName val="D 9"/>
      <sheetName val="D 10"/>
      <sheetName val="D 10.1"/>
      <sheetName val="D 10.2"/>
      <sheetName val="D 10.3"/>
      <sheetName val="D 11"/>
      <sheetName val="D 12"/>
      <sheetName val="D 13"/>
      <sheetName val="E.1"/>
      <sheetName val="E.2"/>
      <sheetName val="E.3"/>
      <sheetName val="E.3.1"/>
      <sheetName val="E.3.2"/>
      <sheetName val="E.3.3"/>
      <sheetName val="E.4"/>
      <sheetName val="E.5"/>
      <sheetName val="E.6"/>
      <sheetName val="E.7"/>
      <sheetName val="E.8"/>
      <sheetName val="F.1"/>
      <sheetName val="F.2"/>
      <sheetName val="H"/>
      <sheetName val="425229 apr may 01"/>
      <sheetName val="415030(APR01)"/>
      <sheetName val="410010"/>
      <sheetName val="PROFIT &amp; LOSS ACC"/>
      <sheetName val="SCHEDULES"/>
      <sheetName val="Details of Closing Stock"/>
      <sheetName val="Details"/>
      <sheetName val="Comput"/>
      <sheetName val="Deffered tax"/>
      <sheetName val="Companies Act"/>
      <sheetName val="I.T. Act"/>
      <sheetName val="Depn _ net off subsidy"/>
      <sheetName val="Sponge Iron"/>
      <sheetName val="Cost of FG"/>
      <sheetName val="Coal (Weighted Av)"/>
      <sheetName val="Iron Ore"/>
      <sheetName val="Iron Ore (Weighted Av)"/>
      <sheetName val="Dolomite"/>
      <sheetName val="Dolomite (Weighted Av)"/>
      <sheetName val="Rent - Guest House"/>
      <sheetName val="Unsecured Loan"/>
      <sheetName val="TDS (Dr.)"/>
      <sheetName val="Prepaid Expenses"/>
      <sheetName val="Sundry  Balance Written Off"/>
      <sheetName val="IRPY"/>
      <sheetName val="Outstanding Liabilities"/>
      <sheetName val="Retention Money"/>
      <sheetName val="Creditors"/>
      <sheetName val="Advances"/>
      <sheetName val="Sundry Debtors"/>
      <sheetName val="Advance from Customer"/>
      <sheetName val="Subsidies"/>
      <sheetName val="Detail of Cr"/>
      <sheetName val="SUMM"/>
      <sheetName val="BS"/>
      <sheetName val="P&amp;L"/>
      <sheetName val="Notes1"/>
      <sheetName val="Notes2"/>
      <sheetName val="Deferred Tax"/>
      <sheetName val="80IB (2)"/>
      <sheetName val="Computation"/>
      <sheetName val="Wealth Tax"/>
      <sheetName val="80IB"/>
      <sheetName val="Annexure 1"/>
      <sheetName val="Unsold Construction"/>
      <sheetName val="Finished Goods"/>
      <sheetName val="GP"/>
      <sheetName val="Ratio"/>
      <sheetName val="NOA 1"/>
      <sheetName val="NOA 2"/>
      <sheetName val="NOA 3"/>
      <sheetName val="NOA 4"/>
      <sheetName val="NOA 5"/>
      <sheetName val="NOA 6"/>
      <sheetName val="NOA 7"/>
      <sheetName val="NOA 8"/>
      <sheetName val="NOA 9"/>
      <sheetName val="Sec 212"/>
      <sheetName val="I.T. Act (2)"/>
      <sheetName val="Companies Act (2)"/>
      <sheetName val="Salary &amp; Wages"/>
      <sheetName val="Creditors (Cr.)"/>
      <sheetName val="Creditors (Dr.)"/>
      <sheetName val="Gratuity"/>
      <sheetName val="REPAYMENT"/>
      <sheetName val="DSCR"/>
      <sheetName val="PROJECT REPORT"/>
      <sheetName val="CMA DATA"/>
      <sheetName val="B&amp;S"/>
      <sheetName val="Schedule BS"/>
      <sheetName val="Note 8-Non Current Investments"/>
      <sheetName val="P &amp; L."/>
      <sheetName val="Schedule to P&amp;L"/>
      <sheetName val="capital account"/>
      <sheetName val="Depreciation"/>
      <sheetName val="Computation-Old"/>
      <sheetName val="Soul - Trial Balances "/>
      <sheetName val="P &amp; L"/>
      <sheetName val="Banjara"/>
      <sheetName val="Jubilee"/>
      <sheetName val="Yoga"/>
      <sheetName val="Avasa"/>
      <sheetName val="Jubilee P &amp; L"/>
      <sheetName val="Banjara P &amp; L"/>
      <sheetName val="Avasa P &amp; L"/>
      <sheetName val="Yoga Studio P &amp; L"/>
      <sheetName val="BS - Yoga"/>
      <sheetName val="BS - Jubilee"/>
      <sheetName val="BS - Avasa"/>
      <sheetName val="BS - Banjara"/>
      <sheetName val="Income Statement"/>
      <sheetName val="Invest-EQ"/>
      <sheetName val="Invest-MF"/>
      <sheetName val="PL"/>
      <sheetName val="Mapping_31-03-05"/>
      <sheetName val="Notes to P&amp;L"/>
      <sheetName val="Abstrtact"/>
      <sheetName val="Notes to P&amp;L2"/>
      <sheetName val="Related parties"/>
      <sheetName val="Segment_Final"/>
      <sheetName val="Segment"/>
      <sheetName val="212 (3)"/>
      <sheetName val="Segment workings"/>
      <sheetName val="IEL trial-05"/>
      <sheetName val="IEL Mar 05"/>
      <sheetName val="IES Mar 05"/>
      <sheetName val="Tax"/>
      <sheetName val="Prov for Tax"/>
      <sheetName val="Income Tax-Assmt position"/>
      <sheetName val="Interest on Bank Borrowings"/>
      <sheetName val="Hire Purchase &amp; Interest"/>
      <sheetName val="Orix 1.1"/>
      <sheetName val="Orix 1.2"/>
      <sheetName val="Orix2"/>
      <sheetName val="Orix3"/>
      <sheetName val="Orix 4"/>
      <sheetName val="Orix 5"/>
      <sheetName val="Orix 6"/>
      <sheetName val="Orix 7"/>
      <sheetName val="Orix 8"/>
      <sheetName val="Orix 9"/>
      <sheetName val="Orix 10"/>
      <sheetName val="Orix 11"/>
      <sheetName val="Orix 12"/>
      <sheetName val="ICICI(1)"/>
      <sheetName val="ICICI (3)"/>
      <sheetName val="ICICI (4)"/>
      <sheetName val="ICICI (5)"/>
      <sheetName val="ICICI (6)"/>
      <sheetName val="ICICI (7)"/>
      <sheetName val="ICICI (10)"/>
      <sheetName val="ICICI (11)"/>
      <sheetName val="ICICI(12)"/>
      <sheetName val="ICICI(13)"/>
      <sheetName val="ICICI(14)"/>
      <sheetName val="ICICI(15)"/>
      <sheetName val="HDFC 1"/>
      <sheetName val="HDFC (2)"/>
      <sheetName val="Kotak(1)"/>
      <sheetName val="Kotak(2)"/>
      <sheetName val="Kotak(3)"/>
      <sheetName val="Cash Flow "/>
      <sheetName val="NOTE 2.1 "/>
      <sheetName val="NOTE 2.2 TO 2.14"/>
      <sheetName val="note 2.15 - 2.20"/>
      <sheetName val="note 2.8 (1)"/>
      <sheetName val="Note 2.8"/>
      <sheetName val="Note 2.11"/>
      <sheetName val="working 2015 -16"/>
      <sheetName val="working 2015"/>
      <sheetName val="Lead Schedule"/>
      <sheetName val="N1.1"/>
      <sheetName val="N1.3"/>
      <sheetName val="N1.6"/>
      <sheetName val="N.2.13"/>
      <sheetName val="N1.8"/>
      <sheetName val="summarywith exindia comparison"/>
      <sheetName val="datalcmar"/>
      <sheetName val="ex-india"/>
      <sheetName val="ebtreco"/>
      <sheetName val="DATA_INR"/>
      <sheetName val="Corp_EBTytd"/>
      <sheetName val="Global ytd"/>
      <sheetName val="Corp_Salesytd"/>
      <sheetName val="interco"/>
      <sheetName val="Backup of global consolidation "/>
      <sheetName val="POCM Working"/>
      <sheetName val="Q-2 Revised Sale Report"/>
      <sheetName val="Q2 Sale Report"/>
      <sheetName val="Q1 Sale Report "/>
      <sheetName val="Q3 Sale report"/>
      <sheetName val="Development Right"/>
      <sheetName val="Personnel expenses"/>
      <sheetName val="Kakanad"/>
      <sheetName val="Sriperamathur"/>
      <sheetName val="OMR - II"/>
      <sheetName val="Constructions Expenses"/>
      <sheetName val="Management expenses"/>
      <sheetName val="Project Management Expenses"/>
      <sheetName val="Financial expenses"/>
      <sheetName val="Interest allocation June 10"/>
      <sheetName val="Interest allocation Mar 2010"/>
      <sheetName val="._ls___ls___ls_Site Detail"/>
      <sheetName val="._ls_._ls_._ls_Site Detail"/>
      <sheetName val="po"/>
      <sheetName val="landed cost tower cranes"/>
      <sheetName val="Tender Summary"/>
      <sheetName val="Markup"/>
      <sheetName val="CCS"/>
      <sheetName val="Non-Rec"/>
      <sheetName val="Bill1"/>
      <sheetName val="1.1 Staff"/>
      <sheetName val="3.1 Labour"/>
      <sheetName val="4.1 Site_Offices"/>
      <sheetName val="6.1 Plant"/>
      <sheetName val="6.5.1 Ext Scaffold"/>
      <sheetName val="6.5.2 Int Scaffold"/>
      <sheetName val="POCM"/>
      <sheetName val="POCM - Entries"/>
      <sheetName val="POCM - working"/>
      <sheetName val="Inventory Main sheet"/>
      <sheetName val="Construction"/>
      <sheetName val="Approval Cost"/>
      <sheetName val="EDC IDC"/>
      <sheetName val="EDC &amp; IDC 118.562"/>
      <sheetName val="EDC &amp; IDC 34.01"/>
      <sheetName val="GL_SL-ACC CODE MATRIX"/>
      <sheetName val="GL-ACCOUNT CODE MAPPING"/>
      <sheetName val="coa_ramco_168"/>
      <sheetName val="Capital work in Progress"/>
      <sheetName val="CAPTLISATION OF INTEREST"/>
      <sheetName val="Consolidation Cash Flow"/>
      <sheetName val="Capital Commitment"/>
      <sheetName val="Prov Dec'09 (1)"/>
      <sheetName val="Prov Dec'09 (2)"/>
      <sheetName val="MLCP"/>
      <sheetName val="BALSHEET"/>
      <sheetName val="PROFIT&amp;LOSS"/>
      <sheetName val="Sech 01,02,03"/>
      <sheetName val="Sech 04"/>
      <sheetName val="Sch 05,06,07,08"/>
      <sheetName val="Sech 09,10"/>
      <sheetName val="Sech 11,12"/>
      <sheetName val="Sech 13,14,15,16"/>
      <sheetName val="6310"/>
      <sheetName val="6300"/>
      <sheetName val="7100"/>
      <sheetName val="5400"/>
      <sheetName val="5300"/>
      <sheetName val="5100"/>
      <sheetName val="5500"/>
      <sheetName val="8100"/>
      <sheetName val="8400"/>
      <sheetName val="Misc Expe"/>
      <sheetName val="S DR"/>
      <sheetName val="S CR"/>
      <sheetName val="8300 (3)"/>
      <sheetName val="Interest-8600"/>
      <sheetName val="6100"/>
      <sheetName val="8500"/>
      <sheetName val="Trial 31Dec07"/>
      <sheetName val="Area Build 8"/>
      <sheetName val="Budget Vs Actual- Bldg.8"/>
      <sheetName val="Interest 30.11.2006 for 337 and"/>
      <sheetName val="infinity "/>
      <sheetName val="Related party new-format"/>
      <sheetName val="working of related party"/>
      <sheetName val="dep 8.2006"/>
      <sheetName val="Building 8"/>
      <sheetName val="IBM"/>
      <sheetName val="dAKSH"/>
      <sheetName val="Budget Vs Actual- Infinity"/>
      <sheetName val="Interest 30.11.06 exp 337 &amp; 343"/>
      <sheetName val="PROVISIONS"/>
      <sheetName val="ACCENTURE"/>
      <sheetName val="cwip 11.2006"/>
      <sheetName val="Balance sheet DCCDL Nov 06"/>
      <sheetName val="Lying Stock 1.4.99"/>
      <sheetName val="Issues-RTS 0499 to 0999"/>
      <sheetName val="Phy Stock 30.9.99"/>
      <sheetName val="Lying Stock 30.9.99"/>
      <sheetName val="MAT0499"/>
      <sheetName val="Final Sheet"/>
      <sheetName val="MAT Summary"/>
      <sheetName val="MAT Consolidated"/>
      <sheetName val="Debit MAT 499 to 999"/>
      <sheetName val="Income"/>
      <sheetName val="Contractor wise work done (2)"/>
      <sheetName val="Contractor wise work done"/>
      <sheetName val="VCH-SLC"/>
      <sheetName val="Item Master"/>
      <sheetName val="Supplier"/>
      <sheetName val="gateway tower 0999 ctc"/>
      <sheetName val="CONTR+MATERIAL CTC"/>
      <sheetName val="Gateway Contractor 1099 - FINAL"/>
      <sheetName val="Balance Order 0110"/>
      <sheetName val="mat summ"/>
      <sheetName val="STR. BASEMENT WITH FDN"/>
      <sheetName val="F.ISSUE  (BASEMENT WITH FDN)"/>
      <sheetName val="STR. BASEMENT WITHOUT FDN"/>
      <sheetName val="F.ISSUE  (BASEMENT WITHOUT FDN)"/>
      <sheetName val="FINISHING (BASEMENT)"/>
      <sheetName val="Net assets"/>
      <sheetName val="GT_Custom"/>
      <sheetName val="BELDEN06"/>
      <sheetName val="DSP-06"/>
      <sheetName val="DOD-06"/>
      <sheetName val="EDWARD"/>
      <sheetName val="CONSOL 2006"/>
      <sheetName val="New Gen06"/>
      <sheetName val="DUL06"/>
      <sheetName val="Beverly06"/>
      <sheetName val="Akruti06"/>
      <sheetName val="DHDL06"/>
      <sheetName val="BHORUKA6"/>
      <sheetName val="DSL06"/>
      <sheetName val="DRDL06"/>
      <sheetName val="Kolkata"/>
      <sheetName val="DEDL"/>
      <sheetName val="FALGUNI"/>
      <sheetName val="AYUSHI"/>
      <sheetName val="SOLID"/>
      <sheetName val="SUMEDHA"/>
      <sheetName val="GULIKA"/>
      <sheetName val="GANIKA"/>
      <sheetName val="Ananti"/>
      <sheetName val="Monishka"/>
      <sheetName val="Dhyan"/>
      <sheetName val="Abhiraj"/>
      <sheetName val="Breeze"/>
      <sheetName val="ANJULI"/>
      <sheetName val="Natwar"/>
      <sheetName val="Gyan"/>
      <sheetName val="KAMINI"/>
      <sheetName val="DHOOMKETU"/>
      <sheetName val="CARLTON"/>
      <sheetName val="AMISHI"/>
      <sheetName val="ALOKI"/>
      <sheetName val="aadarshini"/>
      <sheetName val="KAIRAV"/>
      <sheetName val="PALIWAL"/>
      <sheetName val="JWALA"/>
      <sheetName val="Passion builders"/>
      <sheetName val="VSK"/>
      <sheetName val="UMED"/>
      <sheetName val="VALINI"/>
      <sheetName val="Talika"/>
      <sheetName val="Trisha"/>
      <sheetName val="Tuhina"/>
      <sheetName val="SIMBALA"/>
      <sheetName val="DIWAKAR"/>
      <sheetName val="Shrila"/>
      <sheetName val="Sanchalli"/>
      <sheetName val="EILA"/>
      <sheetName val="Rajika"/>
      <sheetName val="ROADTECH"/>
      <sheetName val="GOLF"/>
      <sheetName val="PHASE IV"/>
      <sheetName val="real est limited"/>
      <sheetName val="GKS"/>
      <sheetName val="Chennai"/>
      <sheetName val="Bangalore"/>
      <sheetName val="Chandigarh"/>
      <sheetName val="DRP"/>
      <sheetName val="Avinashi"/>
      <sheetName val="DRB"/>
      <sheetName val="WELLINGTON"/>
      <sheetName val="DPD"/>
      <sheetName val="RBD"/>
      <sheetName val="Kavicon-06"/>
      <sheetName val="NILAYAM"/>
      <sheetName val="SHIVAJI"/>
      <sheetName val="NOIDA"/>
      <sheetName val="NILIMA"/>
      <sheetName val="DHCL"/>
      <sheetName val="Nilgiri"/>
      <sheetName val="DALMIA"/>
      <sheetName val="DCDL"/>
      <sheetName val="rec foun"/>
      <sheetName val="DFSL"/>
      <sheetName val="CPC"/>
      <sheetName val="Tracker"/>
      <sheetName val="Entries"/>
      <sheetName val="Provisional entries"/>
      <sheetName val="DCDL Consol June 06"/>
      <sheetName val="Infocity-Chandigarh"/>
      <sheetName val="Infocity-Kolkata"/>
      <sheetName val="DCDL-final"/>
      <sheetName val="Info city-Bangalore"/>
      <sheetName val="Info city-Hyderabad"/>
      <sheetName val="Udipti"/>
      <sheetName val="Bhoruka"/>
      <sheetName val="Real Estate"/>
      <sheetName val="Info city- Chennai"/>
      <sheetName val="Passion"/>
      <sheetName val="STANDALONE"/>
      <sheetName val="CF (08)"/>
      <sheetName val="addl info"/>
      <sheetName val="SH1-2"/>
      <sheetName val="SH3-4"/>
      <sheetName val="SH5-6"/>
      <sheetName val="SH7"/>
      <sheetName val="SH8-11"/>
      <sheetName val="SH12-14"/>
      <sheetName val="SH15"/>
      <sheetName val="SH16-17"/>
      <sheetName val="SH18-22"/>
      <sheetName val="SH-23"/>
      <sheetName val="cons"/>
      <sheetName val="adjustment"/>
      <sheetName val="Back up working"/>
      <sheetName val="SH18-21"/>
      <sheetName val="SH-22"/>
      <sheetName val="ENTERIES"/>
      <sheetName val="STANDALONE (2)"/>
      <sheetName val="review2audit"/>
      <sheetName val="Backup"/>
      <sheetName val="SH-7"/>
      <sheetName val="SH-22-23"/>
      <sheetName val="STANDALONE (3)"/>
      <sheetName val="Standalone_BS"/>
      <sheetName val="STANDALONE (4)"/>
      <sheetName val="Lead_sheet"/>
      <sheetName val="PL_Group"/>
      <sheetName val="P&amp;L_31"/>
      <sheetName val="L&amp;A (2)"/>
      <sheetName val="BS_31"/>
      <sheetName val="Deffered_Tax"/>
      <sheetName val="Const-ggn"/>
      <sheetName val="Non-Const-GGN"/>
      <sheetName val="Saket"/>
      <sheetName val="Club-V"/>
      <sheetName val="Dwarka"/>
      <sheetName val="Mumbai_Branch"/>
      <sheetName val="Marine_drive"/>
      <sheetName val="Bangalore_Branch"/>
      <sheetName val="L&amp;a"/>
      <sheetName val="INTERUNIT"/>
      <sheetName val="Lucknow_Branch"/>
      <sheetName val="Interest_reco"/>
      <sheetName val="LY REGROUP"/>
      <sheetName val="bs_Group"/>
      <sheetName val="Conference"/>
      <sheetName val="guidance"/>
      <sheetName val="Detailed-DCF"/>
      <sheetName val="Main Sheet"/>
      <sheetName val="Daily"/>
      <sheetName val="Rupee-P&amp;L"/>
      <sheetName val="Bill-rates"/>
      <sheetName val="Billrt-margin"/>
      <sheetName val="DCF (2)"/>
      <sheetName val="Results"/>
      <sheetName val="Sales(%)"/>
      <sheetName val="Sales(Rsm)"/>
      <sheetName val="SalesIncr(%)"/>
      <sheetName val="EVA"/>
      <sheetName val="Qtrly"/>
      <sheetName val="HY-Analysis"/>
      <sheetName val="Questions"/>
      <sheetName val="TMT"/>
      <sheetName val="S-w exports"/>
      <sheetName val="Employees"/>
      <sheetName val="Customers"/>
      <sheetName val="Profits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Euros"/>
      <sheetName val="GBP"/>
      <sheetName val="Sign Off"/>
      <sheetName val="Comm Final"/>
      <sheetName val="Maint final"/>
      <sheetName val="Maint"/>
      <sheetName val="Trial_SEZ FB_31.03.10"/>
      <sheetName val="Cyber SEZ Profit (80IAB)"/>
      <sheetName val="A302101-000-017"/>
      <sheetName val="P&amp;L variance"/>
      <sheetName val="Galaxy"/>
      <sheetName val="rent prov"/>
      <sheetName val="comm prov"/>
      <sheetName val="TDS recoverable"/>
      <sheetName val="Current Liab"/>
      <sheetName val="Debtors"/>
      <sheetName val="Loan &amp; Advances"/>
      <sheetName val="stock reco"/>
      <sheetName val="Advance Tax"/>
      <sheetName val="Income Tax"/>
      <sheetName val="maintenance income"/>
      <sheetName val="misc income"/>
      <sheetName val="Advance Ageing"/>
      <sheetName val="Sheet7"/>
      <sheetName val="adjust"/>
      <sheetName val="Creditor Ageing"/>
      <sheetName val="reqt"/>
      <sheetName val="unsec Loan"/>
      <sheetName val="FDR"/>
      <sheetName val="corp bank"/>
      <sheetName val="Bank book"/>
      <sheetName val="SDR"/>
      <sheetName val="Security Deposit"/>
      <sheetName val="stock"/>
      <sheetName val="maint deb"/>
      <sheetName val="rent deb"/>
      <sheetName val="Amortization Table"/>
      <sheetName val="HRM Data"/>
      <sheetName val="cflwmpbswc"/>
      <sheetName val="Working Sheet"/>
      <sheetName val="Sales &amp; Profit"/>
      <sheetName val="Perf-summary"/>
      <sheetName val="profit"/>
      <sheetName val="Explanation "/>
      <sheetName val="MHO"/>
      <sheetName val="sbu1"/>
      <sheetName val="F A Sch sbu-2"/>
      <sheetName val="sbu-3"/>
      <sheetName val="sbu-4"/>
      <sheetName val="F A SBU-5"/>
      <sheetName val="F A Sch SBU-6"/>
      <sheetName val="sbu-7"/>
      <sheetName val="sbu-9"/>
      <sheetName val="F A Sch sbu-11"/>
      <sheetName val="eob"/>
      <sheetName val="ped"/>
      <sheetName val="F A Sch NBDD"/>
      <sheetName val="F A Sch HTC"/>
      <sheetName val="F A Sch EOU"/>
      <sheetName val="eou polymer"/>
      <sheetName val="F A Sch SPBU-1"/>
      <sheetName val="Old"/>
      <sheetName val="Operating Statistics"/>
      <sheetName val="Financials"/>
      <sheetName val="Financials(O)"/>
      <sheetName val="70% stake"/>
      <sheetName val="BS'03"/>
      <sheetName val="Cap. Exp."/>
      <sheetName val="Three Aces"/>
      <sheetName val="Tax Calculation"/>
      <sheetName val="Labour_Cess_Bill"/>
      <sheetName val="Work done Value"/>
      <sheetName val="QUANTITY CALCULATION FULLY UNIT"/>
      <sheetName val="ACP CLADDING"/>
      <sheetName val="spider glazing"/>
      <sheetName val="challan summary"/>
      <sheetName val="FT-06-02"/>
      <sheetName val="Interest-others"/>
      <sheetName val="Covera 2011-12"/>
      <sheetName val="Other"/>
      <sheetName val="FIRE SI 2009-10"/>
      <sheetName val="DT CINEMAS &amp; FC"/>
      <sheetName val="DUL"/>
      <sheetName val="GOLF CLUB"/>
      <sheetName val="SHOPPING COMPLEX"/>
      <sheetName val="SHOPPING MALL"/>
      <sheetName val="HOME"/>
      <sheetName val="WATER TANKS"/>
      <sheetName val="FLOP+ Other Add On"/>
      <sheetName val="Missl"/>
      <sheetName val="Fire SI 2011-12"/>
      <sheetName val="DT Cinemas &amp; Food Court"/>
      <sheetName val="sold malls stock"/>
      <sheetName val="dsl emporio"/>
      <sheetName val="dsl courtyard"/>
      <sheetName val="dsl promenade"/>
      <sheetName val="dsl chandigarh mall"/>
      <sheetName val="leased mall asset(mall own co)"/>
      <sheetName val="FAR Malls DSL"/>
      <sheetName val="BKS"/>
      <sheetName val="SN"/>
      <sheetName val="city court sikander pur"/>
      <sheetName val="Gateway Tower"/>
      <sheetName val="Infinity"/>
      <sheetName val="B-8"/>
      <sheetName val="B-5"/>
      <sheetName val="B-10"/>
      <sheetName val="F-Block"/>
      <sheetName val="Saket Mall"/>
      <sheetName val="V.K.Mall"/>
      <sheetName val="Chennai-Final"/>
      <sheetName val="key dates"/>
      <sheetName val="Actual"/>
      <sheetName val="Actual projected"/>
      <sheetName val="CFForecast detail"/>
      <sheetName val="CFTable2"/>
      <sheetName val="CFGraphs"/>
      <sheetName val="CSIRO"/>
      <sheetName val="CF%Print"/>
      <sheetName val="Sap Trl as at 300606 (2)"/>
      <sheetName val="C2 - CAJEs"/>
      <sheetName val=" WIP AS ON March '12"/>
      <sheetName val="Cost for Allocation of DO"/>
      <sheetName val="TB &amp; Detail of Provision"/>
      <sheetName val="Lead Sheet"/>
      <sheetName val="Control Sheet"/>
      <sheetName val="Gross Summary"/>
      <sheetName val="Rotation"/>
      <sheetName val="adeli"/>
      <sheetName val="DHRL_OLD"/>
      <sheetName val="DHRL"/>
      <sheetName val="DHHL"/>
      <sheetName val="anabel"/>
      <sheetName val="Group Com"/>
      <sheetName val="Other Com"/>
      <sheetName val="Paean"/>
      <sheetName val="Domus RE"/>
      <sheetName val="Good"/>
      <sheetName val="HAMILTON"/>
      <sheetName val="Seemless"/>
      <sheetName val="Y.G.Realty CCD II"/>
      <sheetName val="Akriti"/>
      <sheetName val="Laverene"/>
      <sheetName val="Flora"/>
      <sheetName val="Mufallah"/>
      <sheetName val="Sangam"/>
      <sheetName val="City Gold Investment"/>
      <sheetName val="Isabel"/>
      <sheetName val="Marala"/>
      <sheetName val="marala_OLD"/>
      <sheetName val="muafa"/>
      <sheetName val="Profit n loss varience"/>
      <sheetName val="Revenue "/>
      <sheetName val="Personnel cost"/>
      <sheetName val="Expenditure-1"/>
      <sheetName val="Income- (2)"/>
      <sheetName val="Pl items"/>
      <sheetName val="Group Summary"/>
      <sheetName val="Top-sheet "/>
      <sheetName val="con-99"/>
      <sheetName val="P&amp;L-6"/>
      <sheetName val="Sheet10"/>
      <sheetName val="pldt"/>
      <sheetName val="consolidations AFTER FINAL TRIA"/>
      <sheetName val="CON2001"/>
      <sheetName val="BS ( Revised)"/>
      <sheetName val="PL ( revised)"/>
      <sheetName val="Note 2"/>
      <sheetName val="Note 3"/>
      <sheetName val="Note 4"/>
      <sheetName val="Note 8-11"/>
      <sheetName val="Note 5"/>
      <sheetName val="Note 12-13"/>
      <sheetName val="Note 14"/>
      <sheetName val="Note 17"/>
      <sheetName val="Note 18"/>
      <sheetName val="Note 19"/>
      <sheetName val="Note 20"/>
      <sheetName val="Note 21-22"/>
      <sheetName val="Note 15-16"/>
      <sheetName val="Note 23-24"/>
      <sheetName val="Note 25-26"/>
      <sheetName val="NOTE 27-29"/>
      <sheetName val="P&amp;L_29"/>
      <sheetName val="P&amp;L_17"/>
      <sheetName val="P&amp;L_30"/>
      <sheetName val="BS_29"/>
      <sheetName val="BS_17"/>
      <sheetName val="Sch_MiscIncome_MiscExpenses"/>
      <sheetName val="BS_30"/>
      <sheetName val="Tax_computation"/>
      <sheetName val="DLF Infra Hol"/>
      <sheetName val="delanco home &amp; resort"/>
      <sheetName val="DLF Southern"/>
      <sheetName val="bhamini"/>
      <sheetName val="BABETTE"/>
      <sheetName val="aINSTEY"/>
      <sheetName val="Cayenne"/>
      <sheetName val="Calista"/>
      <sheetName val="Cachet"/>
      <sheetName val="Dabria"/>
      <sheetName val="Delta"/>
      <sheetName val="Candace"/>
      <sheetName val="Calvine"/>
      <sheetName val="Galvin"/>
      <sheetName val="Melosa"/>
      <sheetName val="Mariposa"/>
      <sheetName val="Lenore"/>
      <sheetName val="Nerina"/>
      <sheetName val="First"/>
      <sheetName val="Shinanee"/>
      <sheetName val="Royalton"/>
      <sheetName val="Rochelle"/>
      <sheetName val="Vilina"/>
      <sheetName val="Vinanti"/>
      <sheetName val="padvamasa"/>
      <sheetName val="Naja"/>
      <sheetName val="Tusti"/>
      <sheetName val="Rosalind"/>
      <sheetName val="Ernesta"/>
      <sheetName val="Adeline"/>
      <sheetName val="Belden"/>
      <sheetName val="Domus"/>
      <sheetName val="Akiva"/>
      <sheetName val="Best"/>
      <sheetName val="Betha"/>
      <sheetName val="Beyonce"/>
      <sheetName val="Cadence"/>
      <sheetName val="Devdutta"/>
      <sheetName val="Devak"/>
      <sheetName val="Karida"/>
      <sheetName val="Lgnacio"/>
      <sheetName val="Subodhini"/>
      <sheetName val="Tamonash"/>
      <sheetName val="Tamish"/>
      <sheetName val="Vamil"/>
      <sheetName val="Zareb"/>
      <sheetName val="Eskana"/>
      <sheetName val="Elvira"/>
      <sheetName val="Delanco Real Estate"/>
      <sheetName val="Samali"/>
      <sheetName val="DLF Infra"/>
      <sheetName val="AKRUTI"/>
      <sheetName val="Bes Buildcon"/>
      <sheetName val="Catriona"/>
      <sheetName val="DLF Homes"/>
      <sheetName val="Durgapur"/>
      <sheetName val="Del Realtors"/>
      <sheetName val="Delta Buildcon"/>
      <sheetName val="Var Infratech"/>
      <sheetName val="DLF Homes Pune"/>
      <sheetName val="Rajapura"/>
      <sheetName val="DLF Southern Town-CCD"/>
      <sheetName val="Homes Rajapura -interest accrue"/>
      <sheetName val="Rajapur_CCD"/>
      <sheetName val="Rajapura ICD"/>
      <sheetName val="southern town"/>
      <sheetName val=" southern townCCD"/>
      <sheetName val="DLF Garden"/>
      <sheetName val="Indiabulls"/>
      <sheetName val="Kanan"/>
      <sheetName val="Mariana"/>
      <sheetName val="Saravati"/>
      <sheetName val="Nellis"/>
      <sheetName val="DLF Homes Panch"/>
      <sheetName val="DLF Homes Panch_CCD"/>
      <sheetName val="DLF Garden_CCD"/>
      <sheetName val="DLF Homes Ambala"/>
      <sheetName val="DLF Sez"/>
      <sheetName val="DLF Homes Services"/>
      <sheetName val="Mens"/>
      <sheetName val="Mhaya"/>
      <sheetName val="Nambi"/>
      <sheetName val="Rati"/>
      <sheetName val="Premium home"/>
      <sheetName val="Arash"/>
      <sheetName val="Janya"/>
      <sheetName val="G.K.Resi"/>
      <sheetName val="Chaitra"/>
      <sheetName val="Pune"/>
      <sheetName val="Zoria Infratech "/>
      <sheetName val="DLF Commercial Complexes"/>
      <sheetName val="Alvita"/>
      <sheetName val="Star alubuild"/>
      <sheetName val="DLF SEZ Holdings Ltd"/>
      <sheetName val="Urvashi Infratech Pvt Ltd"/>
      <sheetName val="DHRL_OLD Working"/>
      <sheetName val="Marala_OLD Working"/>
      <sheetName val="muafa (2)"/>
      <sheetName val="muafa (3)"/>
      <sheetName val="tb dec"/>
      <sheetName val="system Tb"/>
      <sheetName val="TRL"/>
      <sheetName val="CFS"/>
      <sheetName val="taxpaid"/>
      <sheetName val="int loan"/>
      <sheetName val="int fdd"/>
      <sheetName val="PART-IV"/>
      <sheetName val="ridgewood"/>
      <sheetName val="0000"/>
      <sheetName val="xxxx"/>
      <sheetName val="P&amp;L  sep 09"/>
      <sheetName val="BS schedules"/>
      <sheetName val="Sch 4 Fixed Assets"/>
      <sheetName val="PL schedules"/>
      <sheetName val="Trial"/>
      <sheetName val="Depriciation"/>
      <sheetName val="CCD Interest"/>
      <sheetName val="ICD Interest"/>
      <sheetName val="Lead Inventory"/>
      <sheetName val="Prov Apr-Jun"/>
      <sheetName val="TB 06-07"/>
      <sheetName val="TB05-06"/>
      <sheetName val="Star Tower-Silokhera"/>
      <sheetName val="Galleria-mayur vihar"/>
      <sheetName val="5(a)"/>
      <sheetName val="PARTY DETAILS"/>
      <sheetName val="corporate green"/>
      <sheetName val="Interest 30.11.06"/>
      <sheetName val="Cashflow for int"/>
      <sheetName val="CosntCostdata"/>
      <sheetName val="Const cost"/>
      <sheetName val="Rental PAT"/>
      <sheetName val="BU_Quarterly (3)"/>
      <sheetName val="Detailed-FY 08-09 (2)"/>
      <sheetName val="Detail P&amp;L"/>
      <sheetName val="Qwisepatfinal"/>
      <sheetName val="Qwisepatfinal Scen2"/>
      <sheetName val="fitout margin"/>
      <sheetName val="FrontsheetNew"/>
      <sheetName val="Final Cashflow"/>
      <sheetName val="Qwisecashflow"/>
      <sheetName val="Inputsheet"/>
      <sheetName val="Inputsheet qwise"/>
      <sheetName val="Security"/>
      <sheetName val="7.5%"/>
      <sheetName val="Corporate Debts"/>
      <sheetName val="Land Repfund"/>
      <sheetName val="Clearing house"/>
      <sheetName val="Land Payables"/>
      <sheetName val="LRD"/>
      <sheetName val="LRD Computation"/>
      <sheetName val="Debtpaymentschedule"/>
      <sheetName val="Assumption Sheet"/>
      <sheetName val="Sale rate"/>
      <sheetName val="Sale data"/>
      <sheetName val="Construction data"/>
      <sheetName val="Con schedule"/>
      <sheetName val="Sales value"/>
      <sheetName val="Cost"/>
      <sheetName val="Master"/>
      <sheetName val="Phasedates"/>
      <sheetName val="Existing buildings"/>
      <sheetName val="Other incomes"/>
      <sheetName val="Other incomes12onwards"/>
      <sheetName val="GL-ACCOUNT CODE MAPPING - 8FEB"/>
      <sheetName val="RAMCO COA 8-FEB-2008"/>
      <sheetName val="GL-SL-ACC CODE MAPPING 8FEB"/>
      <sheetName val="07-08"/>
      <sheetName val="Q1 08-09"/>
      <sheetName val="blank ..."/>
      <sheetName val="worksheet for reference"/>
      <sheetName val="Review Form A"/>
      <sheetName val="Labour Chart"/>
      <sheetName val="Subcon - JAN 05"/>
      <sheetName val="Notes - Plant"/>
      <sheetName val="RVs"/>
      <sheetName val="Notes - Accruals"/>
      <sheetName val="Notes - Formwork"/>
      <sheetName val="Notes - Concrete"/>
      <sheetName val="Notes - Reinforcement"/>
      <sheetName val="Notes - Building Fabric"/>
      <sheetName val="Notes - Sundries"/>
      <sheetName val="SCH 1-5"/>
      <sheetName val="SCH  6-7"/>
      <sheetName val="Trial 31.03.10"/>
      <sheetName val="Lease rent details "/>
      <sheetName val="Related Party New Format"/>
      <sheetName val="Bank Reco"/>
      <sheetName val="Investment"/>
      <sheetName val="I.TAX"/>
      <sheetName val="invest"/>
      <sheetName val="PARTIV"/>
      <sheetName val="PROJECT-EXP"/>
      <sheetName val="Intt &amp; TDS"/>
      <sheetName val="PIE-DETAILS"/>
      <sheetName val="CONTINGENT LIAB"/>
      <sheetName val="Notes to Accounts"/>
      <sheetName val="ANNEXURE TO NOTES TO ACCOUNTS"/>
      <sheetName val="CASH FLOW 2006"/>
      <sheetName val="delanco"/>
      <sheetName val="carmen"/>
      <sheetName val="Cachet "/>
      <sheetName val="DLF  Hotels and resorts"/>
      <sheetName val="Dabaria"/>
      <sheetName val="Deltaland real "/>
      <sheetName val="Marala "/>
      <sheetName val="Lenore "/>
      <sheetName val="First City"/>
      <sheetName val="Paen  Estate"/>
      <sheetName val="Delanco Home"/>
      <sheetName val="Vilina Estate Developers"/>
      <sheetName val="Tusti "/>
      <sheetName val="SKN "/>
      <sheetName val="Loans under the same management"/>
      <sheetName val="Loans to Subsidairy Companies "/>
      <sheetName val="Sch"/>
      <sheetName val="Sale"/>
      <sheetName val="PACS"/>
      <sheetName val="Fur_Fixt"/>
      <sheetName val="Off_Eqp"/>
      <sheetName val="Vehicles"/>
      <sheetName val="Lease B9_dep"/>
      <sheetName val="&lt;5000"/>
      <sheetName val="TB-PL"/>
      <sheetName val="PL Gropuings"/>
      <sheetName val="P&amp;L &amp; Sch. 9-13"/>
      <sheetName val="TB-BS"/>
      <sheetName val="BS Groupings"/>
      <sheetName val="BS Schedule 1-4"/>
      <sheetName val="BS Sch. 5"/>
      <sheetName val="BS Schedule 6-8"/>
      <sheetName val="Gen. Business Profile"/>
      <sheetName val="AG00059"/>
      <sheetName val="AG00060"/>
      <sheetName val="AG00061"/>
      <sheetName val="AG00062"/>
      <sheetName val="AG00063"/>
      <sheetName val="AG00064"/>
      <sheetName val="AG00065"/>
      <sheetName val="General Information"/>
      <sheetName val="Index (CFC)"/>
      <sheetName val="Index (NC)"/>
      <sheetName val="Index (USEC)"/>
      <sheetName val="Ownership Changes"/>
      <sheetName val="Disclosure Data"/>
      <sheetName val="Boycott Questionaire"/>
      <sheetName val="Sales &amp; Transfers"/>
      <sheetName val="Sales &amp; Transfers (USEC)"/>
      <sheetName val="Monthly Data (USEC)"/>
      <sheetName val="Equity Earnings &amp; Investments"/>
      <sheetName val="Other Income"/>
      <sheetName val="Dividends Received &amp; Paid"/>
      <sheetName val="Exchange Gain &amp; Loss"/>
      <sheetName val="Intercompany Transactions"/>
      <sheetName val="Intercompany Tran. (USEC)"/>
      <sheetName val="Interco (USEC) by Month"/>
      <sheetName val="Current Year Income Taxes"/>
      <sheetName val="Changes to Prior Year Taxes"/>
      <sheetName val="U.S. Source Income"/>
      <sheetName val="Other E&amp;P Adj. (USEC)"/>
      <sheetName val="JV"/>
      <sheetName val="Ramco Data TB dump"/>
      <sheetName val="Ramco TB dump"/>
      <sheetName val="Trial-Balance"/>
      <sheetName val="B S "/>
      <sheetName val="Sch 1-3"/>
      <sheetName val="Sch-4-15"/>
      <sheetName val="Commercial TB"/>
      <sheetName val="CWIP"/>
      <sheetName val="Schedule of Balance Sheet"/>
      <sheetName val="Annexure of balance sheet"/>
      <sheetName val="Working Cap Commit."/>
      <sheetName val="BS- TRIAL BALANCE"/>
      <sheetName val="Reconciliation_Consol"/>
      <sheetName val="Reco  Books vs ITR vs 26 as"/>
      <sheetName val="LEDGER"/>
      <sheetName val="Report (2)"/>
      <sheetName val="CLIENT WISE AS PER BOOKS"/>
      <sheetName val="Download_TDS_Ledgers"/>
      <sheetName val="Working"/>
      <sheetName val="PIVOT 26AS "/>
      <sheetName val="PIVOT 26AS WORKING"/>
      <sheetName val="26AS"/>
      <sheetName val="MPHASIS"/>
      <sheetName val="31.03.08 (2)"/>
      <sheetName val="Provision Tab_2"/>
      <sheetName val="A105001"/>
      <sheetName val="A105602"/>
      <sheetName val="31.03.07"/>
      <sheetName val="31.03.08"/>
      <sheetName val="31.03.08 (4)"/>
      <sheetName val="31.03.08 (3)"/>
      <sheetName val="A904001"/>
      <sheetName val="A302404-31.3.8"/>
      <sheetName val="A302404-000-000"/>
      <sheetName val="A105101"/>
      <sheetName val="POCM 08-09-Q4 Actual"/>
      <sheetName val="Actual Spent"/>
      <sheetName val="POCM 08-09-Q4"/>
      <sheetName val="POCM 08-09-Q2"/>
      <sheetName val="TURN OVER"/>
      <sheetName val="POCM W Block"/>
      <sheetName val="POCM Chennai"/>
      <sheetName val="POCM Hyderabad"/>
      <sheetName val="status (3)"/>
      <sheetName val="appendix 2.2 variances"/>
      <sheetName val="appendix 2.8 provisions"/>
      <sheetName val="ANAL"/>
      <sheetName val="contract"/>
      <sheetName val="invoice"/>
      <sheetName val="1,4,13-.scope"/>
      <sheetName val="scurve"/>
      <sheetName val="Plant maint"/>
      <sheetName val="Alimak"/>
      <sheetName val="S22 PRW"/>
      <sheetName val="Bac-Sum"/>
      <sheetName val="Summary of amend"/>
      <sheetName val="D.Wall Rate"/>
      <sheetName val="Sheetpile-HCC&amp; RH (Tender) "/>
      <sheetName val="Sheetpile-HCC&amp; RH (Market)"/>
      <sheetName val="Comparative Statement (Tender)"/>
      <sheetName val="Comparative Statement (market)"/>
      <sheetName val="Manpower detail"/>
      <sheetName val="Measurement"/>
      <sheetName val="DWall BOQ (Monthwise)"/>
      <sheetName val="SP BOQ (Market)"/>
      <sheetName val="ESCALATION for DW"/>
      <sheetName val="S3workplanqty R"/>
      <sheetName val="S3workplanamt R"/>
      <sheetName val="S3workplanqty E"/>
      <sheetName val="S3workplanamt E"/>
      <sheetName val="Refurbishment Outside"/>
      <sheetName val="S44 Depreciation"/>
      <sheetName val="S45 Refurbishment"/>
      <sheetName val=" BOQ - comparison"/>
      <sheetName val="RE䁖ENUE"/>
      <sheetName val="Ex⁰-detail졳"/>
      <sheetName val="BOቑ  lot Iᙖ B"/>
      <sheetName val="All RA's L䁏T A"/>
      <sheetName val=" (၁nnexure䈠1)"/>
      <sheetName val="UG䄠Exv 3.1"/>
      <sheetName val="Wiꡲemesh 4ꄮ7.2"/>
      <sheetName val="S0̠Keydateͳ"/>
      <sheetName val="S4 CycleTi葭e"/>
      <sheetName val="Wo恲king-shꡥet"/>
      <sheetName val="Wo恲k Programm"/>
      <sheetName val="MI腓 (VI)"/>
      <sheetName val="ApⱰroach"/>
      <sheetName val="S0-KEYDATE㕓"/>
      <sheetName val="Pi色 VA (2)"/>
      <sheetName val="MIこ MODULE III"/>
      <sheetName val="MI॓ MODULE†IV"/>
      <sheetName val="MI䙓 MODULE䌠VI"/>
      <sheetName val="MIS MODULE갠VII"/>
      <sheetName val="MI MODULEଠX"/>
      <sheetName val="An䁡l.Profit"/>
      <sheetName val="Caalog Suꡭm"/>
      <sheetName val="FU⑎D INDENє"/>
      <sheetName val="MI酓 MOD-II"/>
      <sheetName val="BA啓IC RATE酓"/>
      <sheetName val="Budget Notť"/>
      <sheetName val="CSꁒ expens腥s"/>
      <sheetName val="S4䁴imecycle "/>
      <sheetName val="S5쁥scalati⁯n "/>
      <sheetName val="??-BLDG"/>
      <sheetName val="drg"/>
      <sheetName val="Slab Blk-02"/>
      <sheetName val="OLD PRILIMS"/>
      <sheetName val="MS ITEMS"/>
      <sheetName val="PLANT &amp; MACHINERY"/>
      <sheetName val="RENT MASTER FILE"/>
      <sheetName val="Basement Budget"/>
      <sheetName val="final abstract"/>
      <sheetName val="Micro"/>
      <sheetName val="Macro"/>
      <sheetName val="Scaff-Rose"/>
      <sheetName val="PRW"/>
      <sheetName val="Precalculation"/>
      <sheetName val="Cost Cutting Opportunities"/>
      <sheetName val="IDC"/>
      <sheetName val="Misc. points"/>
      <sheetName val="qty abst"/>
      <sheetName val="Programe"/>
      <sheetName val="basic "/>
      <sheetName val="bua"/>
      <sheetName val="Iron Steel &amp; handrails"/>
      <sheetName val="Publicbuilding"/>
      <sheetName val="Deduction Summary F"/>
      <sheetName val="Deduction Summary "/>
      <sheetName val="P.O.Annex Deduction"/>
      <sheetName val="Misc Cash Exp Deduction "/>
      <sheetName val="Salary Deduction "/>
      <sheetName val="W.O. Annex Deduction "/>
      <sheetName val="Plant Hire Deduction"/>
      <sheetName val="Welfare"/>
      <sheetName val="Index 1"/>
      <sheetName val="Trial May 2010"/>
      <sheetName val="Trial May 2010 1"/>
      <sheetName val="Recon for DLF"/>
      <sheetName val="Recon for DLF 1"/>
      <sheetName val="DLF Top Sheet"/>
      <sheetName val="DLF Top Sheet 1"/>
      <sheetName val="Abstract_IT  DLF"/>
      <sheetName val="Abstract_IT  DLF 1"/>
      <sheetName val="Revised service Tax-7"/>
      <sheetName val="Revised service Tax-7 1"/>
      <sheetName val="Purchase Order Annexure 1"/>
      <sheetName val="Purchase Order Annexure 2 1"/>
      <sheetName val="StockStatusAsOnDate.rpt 1"/>
      <sheetName val="Vat Output-10  (2)"/>
      <sheetName val="Vat Output-10  (2) 1"/>
      <sheetName val="Work Order Annexure 2"/>
      <sheetName val=" Staff Cost-3"/>
      <sheetName val="Misc Cash Exp. Ann-4"/>
      <sheetName val="Welfare Fac ANN-5"/>
      <sheetName val="Free Issue Mat Annexure-6"/>
      <sheetName val="Markup sheet Annexure(8)"/>
      <sheetName val="Plant Hire-Annex-11"/>
      <sheetName val="Shuttering-Annex-12(WDV)"/>
      <sheetName val="star"/>
      <sheetName val="Cost Head"/>
      <sheetName val="RMC Annexure 9"/>
      <sheetName val="SBM BOQ "/>
      <sheetName val="SBM BOQ  (2)"/>
      <sheetName val="CVF SHEET"/>
      <sheetName val="Test"/>
      <sheetName val="Check"/>
      <sheetName val="Permanent Materials"/>
      <sheetName val="Dom SCs"/>
      <sheetName val="Temporary Materials"/>
      <sheetName val="nv besix sa"/>
      <sheetName val="Prov Sums"/>
      <sheetName val="Revised Contract Sum"/>
      <sheetName val="Revised Contract Sum (2)"/>
      <sheetName val="Local Accruals"/>
      <sheetName val="JIL Accruals"/>
      <sheetName val="INDEX "/>
      <sheetName val="MOEF Deviation"/>
      <sheetName val="Top-sheet 09.09.09"/>
      <sheetName val="Service tax"/>
      <sheetName val="Service tax (red)"/>
      <sheetName val="Reasons wrt SECTOR 90 STR."/>
      <sheetName val="structure boq "/>
      <sheetName val="DSR Chennai Dec 08"/>
      <sheetName val="BASIS -DEC 08"/>
      <sheetName val="WORKDONE TILL 06-07-2009"/>
      <sheetName val="SHORT ANALYSIS"/>
      <sheetName val="PRW-DEC 08 "/>
      <sheetName val="Wastage"/>
      <sheetName val="Total Recd qty &amp; Value 31072009"/>
      <sheetName val="Meas Tower A"/>
      <sheetName val="Meas Tower&quot;B&quot;"/>
      <sheetName val="Meas Tower &quot;C&quot;"/>
      <sheetName val="Misc."/>
      <sheetName val="Meas tower D"/>
      <sheetName val="finishing SUMMARY red"/>
      <sheetName val="FinDSR JAN'09"/>
      <sheetName val="FinRate Analysis"/>
      <sheetName val="FinMaterial analysis"/>
      <sheetName val="FinPRW analysis"/>
      <sheetName val="plumbing &amp; fire"/>
      <sheetName val="plumbing &amp; fire (red)"/>
      <sheetName val="SERVICES "/>
      <sheetName val="SERVICES  (RED)"/>
      <sheetName val="OMR consultanCy"/>
      <sheetName val="budget analysis_tender "/>
      <sheetName val="budget analysis"/>
      <sheetName val="Refs"/>
      <sheetName val="boq_b2b_tender"/>
      <sheetName val="boq_b2b"/>
      <sheetName val="equipment"/>
      <sheetName val="labour camp"/>
      <sheetName val="structure_split"/>
      <sheetName val="REVIEW"/>
      <sheetName val="Staff Forecast spread"/>
      <sheetName val="Labour Rates Used"/>
      <sheetName val="Subcontractors"/>
      <sheetName val="Sub Contract Liab Form"/>
      <sheetName val="Calc_ISC"/>
      <sheetName val="Interface_ISC"/>
      <sheetName val="Risk Analysis ISC"/>
      <sheetName val="Cash Flow Input Data_ISC"/>
      <sheetName val="Cash Flow Chart_ISC"/>
      <sheetName val="Calc_SC"/>
      <sheetName val="Interface_SC"/>
      <sheetName val="Risk Analysis SC"/>
      <sheetName val="Cash Flow Input Data_SC"/>
      <sheetName val="Cash Flow Chart_SC"/>
      <sheetName val="GD"/>
      <sheetName val="OS_PG"/>
      <sheetName val="Top-sheet vytilla"/>
      <sheetName val="STR-TYPE-1-2"/>
      <sheetName val="M+L"/>
      <sheetName val="Structure BOQ VYTILLA 090709 r3"/>
      <sheetName val="PRW-JAN,09 "/>
      <sheetName val="BASIS -Jan, 09"/>
      <sheetName val="DSR 09 "/>
      <sheetName val="Structure BOQ VYTILLA (2)"/>
      <sheetName val="Structure BOQ VYTILLA"/>
      <sheetName val="SHUTTERING matt wthout taxes"/>
      <sheetName val="BOQ pro consul"/>
      <sheetName val="Material reconc"/>
      <sheetName val="Piling cumu bill"/>
      <sheetName val="PILING (rev) (2)"/>
      <sheetName val="PILING (rev)"/>
      <sheetName val="Finishing Dec'08"/>
      <sheetName val="FINISHING BOQ"/>
      <sheetName val="Block  &quot;A&quot;"/>
      <sheetName val="Block  &quot;B&quot;"/>
      <sheetName val="Block  &quot;C&quot;"/>
      <sheetName val="Block  &quot;D&quot;"/>
      <sheetName val="Block  &quot;E&quot;"/>
      <sheetName val="Vytilla FIN BOQ"/>
      <sheetName val="Vityla P&amp; ff "/>
      <sheetName val="SERVICES"/>
      <sheetName val="Day Shift"/>
      <sheetName val="Night Shift"/>
      <sheetName val="Contract Day Staff"/>
      <sheetName val="Contract Night Staff"/>
      <sheetName val="Rates"/>
      <sheetName val="BoQ_DLF (2)"/>
      <sheetName val="BoQ_DLF"/>
      <sheetName val="Cost-Sqft"/>
      <sheetName val="Bill of Quantities"/>
      <sheetName val="P&amp;E Dep"/>
      <sheetName val="Staff Schedule"/>
      <sheetName val="HSE"/>
      <sheetName val="Lab Equp"/>
      <sheetName val="Travel"/>
      <sheetName val="Site facilities"/>
      <sheetName val="Site office &amp; Infra"/>
      <sheetName val="Preisblatt Lot B"/>
      <sheetName val="Inner Parts stock"/>
      <sheetName val="Name List"/>
      <sheetName val="Elemental Summary"/>
      <sheetName val="Detail Sheet - below Ground"/>
      <sheetName val="Detail Sheet - Above Ground"/>
      <sheetName val="Detail Sheet - Tower 1"/>
      <sheetName val="Detail Sheet - Tower 2"/>
      <sheetName val="Detail Sheet - Link Bride"/>
      <sheetName val="Aseet1998"/>
      <sheetName val="PC Master List"/>
      <sheetName val="Certificate-A Main contrcat -40"/>
      <sheetName val="certi-ra13"/>
      <sheetName val="Payment tracker"/>
      <sheetName val="Service tax diff-May 2013"/>
      <sheetName val="Abstract - A - WO 40 "/>
      <sheetName val="NT &amp; RA4-ABSTRACT- WO 98"/>
      <sheetName val="Abstract -final cement -# 169"/>
      <sheetName val="Phase 2-I tower"/>
      <sheetName val="pHASE 1--RA12"/>
      <sheetName val="PHASE 2-RA12"/>
      <sheetName val="I TOWER-RA12"/>
      <sheetName val="Abstract - B - WO 331"/>
      <sheetName val="Summary- Qty-till RA21"/>
      <sheetName val="Mobilisation Rec-21"/>
      <sheetName val="Steel Recovery -RA21"/>
      <sheetName val=" Tiles-RA21 "/>
      <sheetName val="Summary RAB 19 - Sub Struc"/>
      <sheetName val="Summary RAB 19 - Super struc"/>
      <sheetName val="Steel Summary"/>
      <sheetName val="labor"/>
      <sheetName val="upa"/>
      <sheetName val="Unit Price"/>
      <sheetName val="Intro."/>
      <sheetName val="wordsdata"/>
      <sheetName val="DetEst"/>
      <sheetName val="DetEstimates"/>
      <sheetName val="CshFlw"/>
      <sheetName val="DirIndLabor"/>
      <sheetName val="BoQ Covanta"/>
      <sheetName val="Codes"/>
      <sheetName val="CIVIL WORK"/>
      <sheetName val="STEEL STRUCTURE"/>
      <sheetName val="Pur"/>
      <sheetName val="Fin Sum"/>
      <sheetName val="Floor&amp;Ceiling Finishes"/>
      <sheetName val="Wall Finishes"/>
      <sheetName val="Wall"/>
      <sheetName val="Other Items"/>
      <sheetName val="Doors"/>
      <sheetName val="InputPO_Del"/>
      <sheetName val="Footings"/>
      <sheetName val="Pay_Sep06"/>
      <sheetName val="Project Budget Worksheet"/>
      <sheetName val="IO LIST"/>
      <sheetName val="13. Steel - Ratio"/>
      <sheetName val="Material "/>
      <sheetName val="Window"/>
      <sheetName val="analysis-superstructure"/>
      <sheetName val="SBI(Siliguri)"/>
      <sheetName val="APPENDIX-I"/>
      <sheetName val="Corr-spt"/>
      <sheetName val="Obs-spt"/>
      <sheetName val="Indices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ept-plan"/>
      <sheetName val="#REF!"/>
      <sheetName val="Summary 0506"/>
      <sheetName val="Summary 0607- 31.MAR"/>
      <sheetName val="Spt-BH"/>
      <sheetName val="BH 12-11-10-13"/>
      <sheetName val="BH 12-11-10-9"/>
      <sheetName val="BH 36-15-37"/>
      <sheetName val="BH 16-35-25-17"/>
      <sheetName val="BH 35-25-17"/>
      <sheetName val="glass_project_concrete"/>
      <sheetName val="glass_project_reift"/>
      <sheetName val="glass_project_indices"/>
      <sheetName val="Fill this out first..."/>
      <sheetName val="Table10"/>
      <sheetName val="Table12"/>
      <sheetName val="Table9"/>
      <sheetName val="FitOutConfCentre"/>
      <sheetName val="REVISED4A PROG PERF-SITE 1"/>
      <sheetName val="Pile cap"/>
      <sheetName val="glass_project_concrete1"/>
      <sheetName val="glass_project_reift1"/>
      <sheetName val="glass_project_indices1"/>
      <sheetName val="SBC-BH_19"/>
      <sheetName val="BH_12-11-10-13"/>
      <sheetName val="BH_12-11-10-9"/>
      <sheetName val="BH_36-15-37"/>
      <sheetName val="BH_16-35-25-17"/>
      <sheetName val="BH_35-25-17"/>
      <sheetName val="d-safe DELUXE"/>
      <sheetName val="Mix Design"/>
      <sheetName val="std-rates"/>
      <sheetName val="RCC,Ret. Wall"/>
      <sheetName val="BOQ (2)"/>
      <sheetName val="PointNo.5"/>
      <sheetName val="TBAL9697 -group wise  sdpl"/>
      <sheetName val="Abstract Sheet"/>
      <sheetName val="V.O.4 - PCC Qty"/>
      <sheetName val="Legal Risk Analysis"/>
      <sheetName val="WWR"/>
      <sheetName val="Activity"/>
      <sheetName val="Staff Acco."/>
      <sheetName val="Crew"/>
      <sheetName val="Piping"/>
      <sheetName val="Pipe Supports"/>
      <sheetName val="BOQ_Direct_selling cost"/>
      <sheetName val="CABLE DATA"/>
      <sheetName val="Stock-II"/>
      <sheetName val="R20_R30_work"/>
      <sheetName val="M-Book for Conc"/>
      <sheetName val="M-Book for FW"/>
      <sheetName val="GBW"/>
      <sheetName val="Flight-1"/>
      <sheetName val="FT-05-02IsoBOM"/>
      <sheetName val="Rev S1 Abstract"/>
      <sheetName val="Quantity Abstract"/>
      <sheetName val="Parapet"/>
      <sheetName val="Load Details-220kV"/>
      <sheetName val="beam-reinft-IIInd floor"/>
      <sheetName val="B@__x005f_x0000__x005f_x0004_@_x005f_x0000__x0000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except wiring"/>
      <sheetName val="Sump"/>
      <sheetName val="cubes_M20"/>
      <sheetName val="Summary_0506"/>
      <sheetName val="Summary_0607-_31_MAR"/>
      <sheetName val="rate anal"/>
      <sheetName val="BLOCK MASONARY"/>
      <sheetName val="Lead splm"/>
      <sheetName val="SLP Data"/>
      <sheetName val="Lead SLPM."/>
      <sheetName val="SLPM Data"/>
      <sheetName val="PRECAST-conc-II"/>
      <sheetName val="Miscellaneous-civil"/>
      <sheetName val="GN-ST-10"/>
      <sheetName val="Cleaning &amp; Grubbing"/>
      <sheetName val="CF-det"/>
      <sheetName val="PRECAST lightconc_II"/>
      <sheetName val="GN_ST_10"/>
      <sheetName val="Friends"/>
      <sheetName val="College Details"/>
      <sheetName val="Personal 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Cover Sheet"/>
      <sheetName val="BOQ REV A"/>
      <sheetName val="PTB (IO)"/>
      <sheetName val="BMS "/>
      <sheetName val="OVER HEADS"/>
      <sheetName val="八幡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TBAL9697_-group_wise__sdpl"/>
      <sheetName val="labour coeff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jan"/>
      <sheetName val="fefb"/>
      <sheetName val="puch order"/>
      <sheetName val="decm"/>
      <sheetName val="SILICATE"/>
      <sheetName val="Costing Upto Mar'11 (2)"/>
      <sheetName val="zone-8"/>
      <sheetName val="MHNO_LEV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curve calc (2)"/>
      <sheetName val="22.12.2011"/>
      <sheetName val="2gii"/>
      <sheetName val="Ave.wtd.rates"/>
      <sheetName val="Labour &amp; Plant"/>
      <sheetName val="Cashflow projection"/>
      <sheetName val="beam-reinft"/>
      <sheetName val="Prelims Breakup"/>
      <sheetName val="B3-B4-B5-B6"/>
      <sheetName val="Graph Cumulative"/>
      <sheetName val="ABS"/>
      <sheetName val="acevsSp"/>
      <sheetName val="Bid Items"/>
      <sheetName val="acevsSp (ABC)"/>
      <sheetName val="INFLUENCES ON GM"/>
      <sheetName val="Matl Cons"/>
      <sheetName val="Basic Cost"/>
      <sheetName val="RECON"/>
      <sheetName val="Matl. Req."/>
      <sheetName val="Form Work"/>
      <sheetName val="Deptitemc"/>
      <sheetName val="deptlc"/>
      <sheetName val="Dept break"/>
      <sheetName val="P&amp;M ITEMCOST"/>
      <sheetName val="PMbreak"/>
      <sheetName val="PMbreak%"/>
      <sheetName val="PMabs"/>
      <sheetName val="PMCOSTa"/>
      <sheetName val="PMCOSTb"/>
      <sheetName val="PMCOSTc"/>
      <sheetName val="PMCOSTd"/>
      <sheetName val="FUEL NORMS (RPLM)"/>
      <sheetName val="GEODESIC"/>
      <sheetName val="IDC.1010,1030,1100,1180"/>
      <sheetName val="IDC.1020"/>
      <sheetName val="IDC.1040 "/>
      <sheetName val="IDC.1200"/>
      <sheetName val="ROADS"/>
      <sheetName val="Clients Facilities"/>
      <sheetName val="Clts Fac Tender Vs Actuals"/>
      <sheetName val="NL-Field Lab Equipment SVD"/>
      <sheetName val="CF-Fur-Det"/>
      <sheetName val="Safety"/>
      <sheetName val="BG Det"/>
      <sheetName val="TAXES"/>
      <sheetName val="TAXES (2)"/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L_Oth Bo"/>
      <sheetName val="Project-Material "/>
      <sheetName val="1. PayRec"/>
      <sheetName val="TBL9798_x0010_DPL03"/>
      <sheetName val="CORPN O"/>
      <sheetName val="ino4t conso,-nov"/>
      <sheetName val="(nout co,sol (2)"/>
      <sheetName val="Actuals"/>
      <sheetName val="Main-Material"/>
      <sheetName val="template"/>
      <sheetName val="R2"/>
      <sheetName val="Blr hire"/>
      <sheetName val="Sun E Type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-�"/>
      <sheetName val="3�AL9697 -group wise  onpl"/>
      <sheetName val="目录"/>
      <sheetName val="FORM7"/>
      <sheetName val="PCC"/>
      <sheetName val="G_1_obpl_x005f_x000b_Wori"/>
      <sheetName val="_x005f_x0003_dpl_oth Lia`"/>
      <sheetName val="TBAL9697 _x005f_x000d_grotp wise "/>
      <sheetName val="St.co.91.5lvl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INTSHEET"/>
      <sheetName val="INTSHEET3"/>
      <sheetName val="A.O.R."/>
      <sheetName val="_x0004__x000d__x0003__x0004__x0016__x000d__x0004_"/>
      <sheetName val="_x000a__x001b__x0006__x0006__x0008__x000a_"/>
      <sheetName val=" _x001b__x0006__x0006__x0008_ "/>
      <sheetName val="Petty cash-Abstract"/>
      <sheetName val="내역서 (∮ἀ嘆ɶ"/>
      <sheetName val="_x0004_"/>
      <sheetName val="_x000a_"/>
      <sheetName val=" "/>
      <sheetName val="Fin"/>
      <sheetName val="Intro"/>
      <sheetName val="Sheet3 (2)"/>
      <sheetName val="Inc.St.-Link"/>
      <sheetName val="Portfolio Summary"/>
      <sheetName val="BLOCK-A (MEA.SHEET)"/>
      <sheetName val="MM"/>
      <sheetName val="Occ, Other Rev, Exp, Dispo"/>
      <sheetName val="10. &amp; 11. Rate Code &amp; BQ"/>
      <sheetName val="INDIGINEOUS ITEMS "/>
      <sheetName val="Staff OH facility &amp; Maint(A1-6)"/>
      <sheetName val="Admin,survy,test(A7-9)"/>
      <sheetName val="Insurance &amp; Taxes(B1-2)"/>
      <sheetName val="Temp &amp; Misc VOP(B3-6)"/>
      <sheetName val="P&amp;M(B7)"/>
      <sheetName val="PMC REQ(C)"/>
      <sheetName val="Phase 1 details"/>
      <sheetName val="Apt.Ind. Details"/>
      <sheetName val="19thk Granite wash Counter"/>
      <sheetName val="Vitrified Skirting"/>
      <sheetName val="Vitrified bands"/>
      <sheetName val="Rain water recharge pit"/>
      <sheetName val="Cinder"/>
      <sheetName val="200mm Corecutting"/>
      <sheetName val="Italian band"/>
      <sheetName val="Granite Band"/>
      <sheetName val="Bore packing"/>
      <sheetName val="C I Cover"/>
      <sheetName val="POP"/>
      <sheetName val="Masonry Chipping"/>
      <sheetName val="Puddle Flanges"/>
      <sheetName val="9th Floor"/>
      <sheetName val="Ceramic Dadoo "/>
      <sheetName val="BlockAbstract"/>
      <sheetName val="Block A"/>
      <sheetName val="Block B"/>
      <sheetName val="Block C"/>
      <sheetName val="Block D"/>
      <sheetName val="Block E"/>
      <sheetName val="Block F"/>
      <sheetName val="Block G"/>
      <sheetName val="Block H"/>
      <sheetName val="Block I"/>
      <sheetName val="Block J"/>
      <sheetName val="Block K"/>
      <sheetName val="Block L"/>
      <sheetName val="Block M"/>
      <sheetName val="Block N"/>
      <sheetName val="Salient Features"/>
      <sheetName val="BOQ-CIvil"/>
      <sheetName val="BOQ-Finish"/>
      <sheetName val="boq - ELE"/>
      <sheetName val="BOQ-PHE"/>
      <sheetName val="BOQ - WTP"/>
      <sheetName val="Rev Front"/>
      <sheetName val="Grand Sum"/>
      <sheetName val="Sum-PHE"/>
      <sheetName val="Sum-ELE"/>
      <sheetName val="Sum-Finish"/>
      <sheetName val="Sum- Civil"/>
      <sheetName val="Con"/>
      <sheetName val="mas plas"/>
      <sheetName val="Floor"/>
      <sheetName val="Mat Rates"/>
      <sheetName val="Maj qty"/>
      <sheetName val="Mob "/>
      <sheetName val="Per"/>
      <sheetName val="Ind"/>
      <sheetName val="Scaff"/>
      <sheetName val="Coeff"/>
      <sheetName val="COMBINED BOQ"/>
      <sheetName val="Total Summary"/>
      <sheetName val="Material List"/>
      <sheetName val="Civil Summary"/>
      <sheetName val="Civil and Structural work"/>
      <sheetName val="Site Development work"/>
      <sheetName val="Inside-FF "/>
      <sheetName val="Inside-GF"/>
      <sheetName val="Rough "/>
      <sheetName val="RCC Plastering"/>
      <sheetName val="External"/>
      <sheetName val="월선수금"/>
      <sheetName val="Assumption &amp; Exclusion"/>
      <sheetName val="Electrical Submitted BOQ _revis"/>
      <sheetName val="Avg Rates- detail"/>
      <sheetName val="Avg Rates- sumry"/>
      <sheetName val="Mas Plast"/>
      <sheetName val="FLR"/>
      <sheetName val="Flat details"/>
      <sheetName val="Area Statement-old"/>
      <sheetName val="Area Statement-rev"/>
      <sheetName val="Mjr Qty"/>
      <sheetName val="Method Stmnt"/>
      <sheetName val="Mob"/>
      <sheetName val="Per Exp"/>
      <sheetName val="Hire"/>
      <sheetName val="Ind Exp"/>
      <sheetName val="MIVAN"/>
      <sheetName val="Cost Summary-Brief"/>
      <sheetName val="Main Summary"/>
      <sheetName val="Staff Salaries"/>
      <sheetName val="Staff Facilities Cl 6.6"/>
      <sheetName val="Ambulance &amp; First Aid"/>
      <sheetName val="Details of Bond &amp; Insu"/>
      <sheetName val="Ins &amp; Bonds"/>
      <sheetName val="Finance"/>
      <sheetName val="Site office"/>
      <sheetName val="Clients Requirements"/>
      <sheetName val="Admn"/>
      <sheetName val="(lab eqp)Cl 1.1.4"/>
      <sheetName val="Cashflow &amp; Finance"/>
      <sheetName val="PRICE ESCL."/>
      <sheetName val="Current"/>
      <sheetName val="Price Index"/>
      <sheetName val="Escalation Part"/>
      <sheetName val="Orgo"/>
      <sheetName val="Survey Equipment"/>
      <sheetName val="Temp-Rds&amp;Drng  Cl 4.11"/>
      <sheetName val="Ins _ Bonds"/>
      <sheetName val="LAB SUMMARY"/>
      <sheetName val="LAB BLOCK"/>
      <sheetName val="CABLE TRENCH"/>
      <sheetName val="SWD"/>
      <sheetName val="GATES"/>
      <sheetName val="COMPOUND_WALL BOQ"/>
      <sheetName val="ROAD &amp; PARKING"/>
      <sheetName val="Fire Door"/>
      <sheetName val="Hardwares"/>
      <sheetName val="Supply"/>
      <sheetName val="Installation"/>
      <sheetName val="Approved Makes"/>
      <sheetName val="ABSTRACT (ALL)"/>
      <sheetName val="Sum R&amp;D"/>
      <sheetName val="Mas flooring Plas"/>
      <sheetName val="detail'02"/>
      <sheetName val="FrontAbstract"/>
      <sheetName val="Cement Escltn"/>
      <sheetName val="RAB RMC Cement Consumed"/>
      <sheetName val="Iron mongry"/>
      <sheetName val="Material supply"/>
      <sheetName val="Details reqd"/>
      <sheetName val="Driveway Beams"/>
      <sheetName val="F&amp;B"/>
      <sheetName val="Kitchen"/>
      <sheetName val="Housek"/>
      <sheetName val="Structure Bills Qty"/>
      <sheetName val="HVAC-BOQ"/>
      <sheetName val="Nitrile Ins for CHW Pipe &amp; Duct"/>
      <sheetName val="DUCT INSULATION"/>
      <sheetName val="COSMOS"/>
      <sheetName val="Caryaire"/>
      <sheetName val="Fire Damper"/>
      <sheetName val="Lock Former Ducting"/>
      <sheetName val="경비공통"/>
      <sheetName val="9. Package split - Cost "/>
      <sheetName val="Boq (Main Building)"/>
      <sheetName val="Booking Form"/>
      <sheetName val="EST-CIVIL"/>
      <sheetName val="HEAD"/>
      <sheetName val="재1"/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Meas.-FIN"/>
      <sheetName val="Meas.-STRUCT"/>
      <sheetName val="PILING-11.12.07"/>
      <sheetName val="SUB-STRUCT-11.12.07"/>
      <sheetName val="SUPER-STRUCT-11.12.07"/>
      <sheetName val="BOQ-Part1"/>
      <sheetName val="VI Floor Beam "/>
      <sheetName val="Weight"/>
      <sheetName val="CEMENT RECEIPT - 2"/>
      <sheetName val="CONSUMPTION OF CEMENT - 2"/>
      <sheetName val="STEEL RECEIPT - 2"/>
      <sheetName val="STEEL RECONCILLATION - 2"/>
      <sheetName val="STEEL ADVANCE - 2"/>
      <sheetName val="STEEL ADVANCE 02"/>
      <sheetName val="ABSTRACT-1"/>
      <sheetName val="SUM-1"/>
      <sheetName val="ABS-1"/>
      <sheetName val="PAY-1"/>
      <sheetName val="PV-1"/>
      <sheetName val="CEMENT-1"/>
      <sheetName val="TOR-1"/>
      <sheetName val="MATERIAL ADV.-1"/>
      <sheetName val="Main Asset Summary"/>
      <sheetName val="material and Labour rate"/>
      <sheetName val="Asset, overheads"/>
      <sheetName val="shuttering investment"/>
      <sheetName val="Labour Rate"/>
      <sheetName val="Material Rate"/>
      <sheetName val="Rate analysis civil"/>
      <sheetName val="Glazing"/>
      <sheetName val="BBM &amp; Plaster"/>
      <sheetName val="Excavation"/>
      <sheetName val="Concret"/>
      <sheetName val="Misc....."/>
      <sheetName val="Road "/>
      <sheetName val="B.O.Q.of elec. work ( contr.)"/>
      <sheetName val="B.O.Q.of civil work"/>
      <sheetName val="BOQ plumbing &amp; sanitary "/>
      <sheetName val="Rate Analysis C.P &amp; Sanitary"/>
      <sheetName val="Rate Annalysis G.I.plumbing"/>
      <sheetName val="Plumbing Rate"/>
      <sheetName val="BOQ qty"/>
      <sheetName val="Arch. Eleve."/>
      <sheetName val="L.R.List"/>
      <sheetName val="Staff Salary "/>
      <sheetName val="M.R.List (2)"/>
      <sheetName val="Abstract C bld"/>
      <sheetName val="Abstract ABDE Bld "/>
      <sheetName val="Labour rate "/>
      <sheetName val="Rate Analysis "/>
      <sheetName val="Stilt Floor "/>
      <sheetName val="First Floor"/>
      <sheetName val="Terrace"/>
      <sheetName val="Door &amp; Window"/>
      <sheetName val="External Plaster"/>
      <sheetName val="tie beam"/>
      <sheetName val="Exca, backfilling &amp; Soling"/>
      <sheetName val="Electrification"/>
      <sheetName val="Final Summary (1)"/>
      <sheetName val="Prelimanaries "/>
      <sheetName val="Infrastructure(12)"/>
      <sheetName val="Landscaping(10)"/>
      <sheetName val="MISC 1(13)"/>
      <sheetName val="MISC 2(14)"/>
      <sheetName val="Consultancy(12)"/>
      <sheetName val="infra 1 (Rev)"/>
      <sheetName val="Security cabin"/>
      <sheetName val="Gas bank"/>
      <sheetName val="UGWT 1"/>
      <sheetName val="UGWT 2"/>
      <sheetName val="DG Room"/>
      <sheetName val="Chember"/>
      <sheetName val="MSEB room"/>
      <sheetName val="Steel Break up"/>
      <sheetName val="windows"/>
      <sheetName val="Steel Avarage Rate "/>
      <sheetName val="qUICK SUMMARY(R3) "/>
      <sheetName val="sUMMARY LAST ( R3)"/>
      <sheetName val="Quick Summary Compar"/>
      <sheetName val="Quick Summary "/>
      <sheetName val="Concrte Analy 2"/>
      <sheetName val="Consultancy"/>
      <sheetName val="For Parking "/>
      <sheetName val="Consultancy "/>
      <sheetName val="XENON ( R3 )"/>
      <sheetName val="Quick Summary(R2) "/>
      <sheetName val="Summaey last(R2) "/>
      <sheetName val="Xenon(R2)"/>
      <sheetName val="4 heads summary"/>
      <sheetName val="name "/>
      <sheetName val="Abstract-SANSARA"/>
      <sheetName val="Slab Area"/>
      <sheetName val="Summary Masonry"/>
      <sheetName val="Summary Internal Plaster"/>
      <sheetName val="Internal Plaster"/>
      <sheetName val="Railing"/>
      <sheetName val="Doors &amp; Windows"/>
      <sheetName val="Shuttering Abstract"/>
      <sheetName val="P2-Engr"/>
      <sheetName val="P3-T &amp; E"/>
      <sheetName val="P4-BOQ"/>
      <sheetName val="Compliance"/>
      <sheetName val="Zan-Jim"/>
      <sheetName val="1.01-flooring (Aug)"/>
      <sheetName val="1.04(SLT) (aug)"/>
      <sheetName val="1.09-(pop) (aug)"/>
      <sheetName val="  2.02-rise-(prima-aug)"/>
      <sheetName val="2.01-staircase (prima)-aug"/>
      <sheetName val="2.03-rawsilk(aug)"/>
      <sheetName val="2.04-Staircase(aug)rise"/>
      <sheetName val="3.01-Skirting (aug)"/>
      <sheetName val="4.05-dadoing (aug)"/>
      <sheetName val="5.01 Gypsum false ceiling (aug)"/>
      <sheetName val="7.03-Gypsum band (aug)"/>
      <sheetName val="7.07-threshold (aug)"/>
      <sheetName val="7.02-W.Coping(Aug)"/>
      <sheetName val="1.00"/>
      <sheetName val="1.01 soft soil"/>
      <sheetName val="1.01 soft soil (2)"/>
      <sheetName val="1.02 Soft Rock-SR"/>
      <sheetName val="A2-Filling"/>
      <sheetName val="Filling Above NGL"/>
      <sheetName val="1.04 GEC"/>
      <sheetName val="1.05"/>
      <sheetName val="Mass exca"/>
      <sheetName val="Kurkumbh BOQ"/>
      <sheetName val="PA- Consutant "/>
      <sheetName val="Materials Cost"/>
      <sheetName val="970121 fee rates"/>
      <sheetName val="A1-Continuous"/>
      <sheetName val="PPA Summary"/>
      <sheetName val="India F&amp;S Template"/>
      <sheetName val="TBEAM"/>
      <sheetName val="Tax Invoice"/>
      <sheetName val="Crash anad corner Guard"/>
      <sheetName val="JOINERY &amp; ALLIED WORKS "/>
      <sheetName val="Reasons"/>
      <sheetName val="Flash "/>
      <sheetName val="high"/>
      <sheetName val="PL "/>
      <sheetName val="VARIANCE ANALYSIS"/>
      <sheetName val="VAR"/>
      <sheetName val="VAR - ACT VS BUD"/>
      <sheetName val=" ACT VS BUD WORKINGS(YTD) "/>
      <sheetName val=" ACT VS PR.YEA WORKINGS(MONTH) "/>
      <sheetName val=" ACT VS BUD WORKINGS(MONTH) "/>
      <sheetName val="VAR - ACT VS BUD WORKINGS"/>
      <sheetName val="VAR - PREV YR VS ACT"/>
      <sheetName val="VAR - WORKINGS PREV YR VS ACT"/>
      <sheetName val="prod"/>
      <sheetName val="prodcost"/>
      <sheetName val="exp "/>
      <sheetName val="emp"/>
      <sheetName val="wc"/>
      <sheetName val="drs"/>
      <sheetName val="grist comp"/>
      <sheetName val="production"/>
      <sheetName val="RM CONS"/>
      <sheetName val="RM CONS YTD"/>
      <sheetName val="CHEM CONS"/>
      <sheetName val="CHEM CONS YTD"/>
      <sheetName val="PM CONS"/>
      <sheetName val="PM CONS YTD"/>
      <sheetName val="consumption 1 2003"/>
      <sheetName val="CONSUMPTIONYTD"/>
      <sheetName val="WIP workings"/>
      <sheetName val="WORKINGS"/>
      <sheetName val="Royalty-cal"/>
      <sheetName val="SALES -monthly"/>
      <sheetName val="SALES"/>
      <sheetName val="Depreication"/>
      <sheetName val="Creditor s"/>
      <sheetName val="Creditorss"/>
      <sheetName val="Debtors (2)"/>
      <sheetName val=" Creditors"/>
      <sheetName val="cost sheet based on brew"/>
      <sheetName val="COST SHEET"/>
      <sheetName val="Cost sheet based on brews YTD"/>
      <sheetName val="CL.STOCK"/>
      <sheetName val="COST SHEET YTD"/>
      <sheetName val="wastages"/>
      <sheetName val="monthly exp "/>
      <sheetName val="monthly  pl 01-02"/>
      <sheetName val="Monthly pl"/>
      <sheetName val="DEC WAGES "/>
      <sheetName val="DEC  EXP "/>
      <sheetName val="Creditors "/>
      <sheetName val="ytd adj"/>
      <sheetName val="Reco YTD SEPT 02"/>
      <sheetName val="Exp-YTD SEPT  02"/>
      <sheetName val="Int,Salary YTD SEPT  02"/>
      <sheetName val="SHARE CAPITAL"/>
      <sheetName val="R &amp; s"/>
      <sheetName val="Res &amp; surplus"/>
      <sheetName val="SEC LOAN "/>
      <sheetName val="UN-SEC.LOAN"/>
      <sheetName val="CASHBANK"/>
      <sheetName val="LOANS-ADV"/>
      <sheetName val="LIABILITIES"/>
      <sheetName val="PROVISION"/>
      <sheetName val="OTHER INC."/>
      <sheetName val="FinishedTraded Goods"/>
      <sheetName val="Int &amp; Fin chgs"/>
      <sheetName val="Extord-schedule"/>
      <sheetName val="Purchases"/>
      <sheetName val="Trial Bal 280203"/>
      <sheetName val="Balance Sheet "/>
      <sheetName val="Monthly exp"/>
      <sheetName val="Billing Data"/>
      <sheetName val="WIP 280203"/>
      <sheetName val="Schedules BS"/>
      <sheetName val="Sch-7"/>
      <sheetName val="Schedules PL"/>
      <sheetName val="TB07"/>
      <sheetName val="TB06"/>
      <sheetName val="TB05"/>
      <sheetName val="TB04"/>
      <sheetName val="TB03"/>
      <sheetName val="EPS"/>
      <sheetName val="Tax Computation"/>
      <sheetName val="IT Depn "/>
      <sheetName val="depre logic"/>
      <sheetName val="far pivot"/>
      <sheetName val="Fareg"/>
      <sheetName val="cap commitment"/>
      <sheetName val="DF"/>
      <sheetName val="AR"/>
      <sheetName val="AP"/>
      <sheetName val="abst _2_"/>
      <sheetName val="IBM C BLOCK"/>
      <sheetName val="fidelity"/>
      <sheetName val="IBM D BLOCK"/>
      <sheetName val="cherryhill"/>
      <sheetName val="anz"/>
      <sheetName val="Campus"/>
      <sheetName val="Pine Valley"/>
      <sheetName val="24 bar 7"/>
      <sheetName val="COVANSYS"/>
      <sheetName val="Signature"/>
      <sheetName val="Netapps"/>
      <sheetName val="EGL-FOODCOURT"/>
      <sheetName val="IBM C Block Fitout"/>
      <sheetName val="IBM D Block Fitout"/>
      <sheetName val="24bar7 (ICON)"/>
      <sheetName val="24bar7 phase 2"/>
      <sheetName val="LG Soft Fitout"/>
      <sheetName val="kirby"/>
      <sheetName val="kirby Gs"/>
      <sheetName val="ibm1"/>
      <sheetName val="ibm2"/>
      <sheetName val="ibm3"/>
      <sheetName val="AppA1-1"/>
      <sheetName val="AppA1-2"/>
      <sheetName val="AppA2-1"/>
      <sheetName val="AppA2-2"/>
      <sheetName val="AppA3"/>
      <sheetName val="AppA4"/>
      <sheetName val="Contents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F-1"/>
      <sheetName val="L"/>
      <sheetName val="M"/>
      <sheetName val="CC"/>
      <sheetName val="PB"/>
      <sheetName val="P.CTN"/>
      <sheetName val="Total PL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Cost centre expenditure"/>
      <sheetName val="Interim --&gt; Top"/>
      <sheetName val="U-2_Sales Analysis"/>
      <sheetName val="U-1l2_Overall AR"/>
      <sheetName val="FF-3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20"/>
      <sheetName val="21"/>
      <sheetName val="30"/>
      <sheetName val="40"/>
      <sheetName val="50"/>
      <sheetName val="DD-10"/>
      <sheetName val="FF-21(a)"/>
      <sheetName val="BPR"/>
      <sheetName val="Materiality"/>
      <sheetName val="F-6"/>
      <sheetName val="F-7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B-1"/>
      <sheetName val="C-1"/>
      <sheetName val="N"/>
      <sheetName val="U"/>
      <sheetName val="U-100"/>
      <sheetName val="FF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NN-12"/>
      <sheetName val="PP-30"/>
      <sheetName val="PP-31"/>
      <sheetName val="PP-40"/>
      <sheetName val="BPR-1"/>
      <sheetName val="B-30"/>
      <sheetName val="U-1 "/>
      <sheetName val="KK"/>
      <sheetName val="M&amp;MM"/>
      <sheetName val="NN"/>
      <sheetName val="sales cut off"/>
      <sheetName val="purchase cut off"/>
      <sheetName val="Hypothesis"/>
      <sheetName val="Profitability Analysis"/>
      <sheetName val="FSA"/>
      <sheetName val="F-1&amp;2"/>
      <sheetName val="CF1"/>
      <sheetName val="Purch cut off"/>
      <sheetName val="M&amp;MM-10"/>
      <sheetName val="pp-1"/>
      <sheetName val="40 (2)"/>
      <sheetName val="50 (2)"/>
      <sheetName val="60"/>
      <sheetName val="70"/>
      <sheetName val="BIF-collect"/>
      <sheetName val="BIF-OR"/>
      <sheetName val="Future"/>
      <sheetName val="Attachment"/>
      <sheetName val="30 "/>
      <sheetName val="Recovered_Sheet1"/>
      <sheetName val="Consol adjustments"/>
      <sheetName val="Goodwill"/>
      <sheetName val="Financial stats"/>
      <sheetName val="Segment - 2002 (new)"/>
      <sheetName val="Segment - 2002"/>
      <sheetName val="Changes in equity"/>
      <sheetName val="Inter-co"/>
      <sheetName val="Inter-co(subsidiary)"/>
      <sheetName val="MI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Disposal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OS"/>
      <sheetName val="BPR-PL "/>
      <sheetName val="BPR-BS"/>
      <sheetName val="F-1,2"/>
      <sheetName val="F-99"/>
      <sheetName val="A-1"/>
      <sheetName val="A-10"/>
      <sheetName val="B-2"/>
      <sheetName val="B-3"/>
      <sheetName val="L-2"/>
      <sheetName val="M MM "/>
      <sheetName val="U dis"/>
      <sheetName val="U-1"/>
      <sheetName val="U-3"/>
      <sheetName val="U-4"/>
      <sheetName val="BB-2"/>
      <sheetName val="BB-10"/>
      <sheetName val="BB-17"/>
      <sheetName val="FIN297"/>
      <sheetName val="DD"/>
      <sheetName val="DD-1"/>
      <sheetName val="FF-4(a)"/>
      <sheetName val="10,20"/>
      <sheetName val="10-1"/>
      <sheetName val="32"/>
      <sheetName val="Bank Rec review"/>
      <sheetName val="A-2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25"/>
      <sheetName val="dr"/>
      <sheetName val="Statement"/>
      <sheetName val="auditor"/>
      <sheetName val="acs"/>
      <sheetName val="xxx"/>
      <sheetName val="accumdeprn"/>
      <sheetName val="addl cost"/>
      <sheetName val="dev_exp (2)"/>
      <sheetName val="dev_exp"/>
      <sheetName val="Addl Dev Exp"/>
      <sheetName val="F-2 (2)"/>
      <sheetName val="CF-IS"/>
      <sheetName val="CF-SCE"/>
      <sheetName val="DIVIDENDS"/>
      <sheetName val="Profit anal"/>
      <sheetName val="F-1l F-2"/>
      <sheetName val="Statement of Equity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ompany Info"/>
      <sheetName val="Summary of Fixed Assets"/>
      <sheetName val="Additions"/>
      <sheetName val="Disposals"/>
      <sheetName val="Hire Purchase"/>
      <sheetName val="Lease"/>
      <sheetName val="Controlled Transfer"/>
      <sheetName val="CA Comp"/>
      <sheetName val="IBA Comp "/>
      <sheetName val="FSL"/>
      <sheetName val="F-7B"/>
      <sheetName val="B-1."/>
      <sheetName val="U-2"/>
      <sheetName val="20-1"/>
      <sheetName val="20-2"/>
      <sheetName val="30-1"/>
      <sheetName val="30-2"/>
      <sheetName val="30(old)"/>
      <sheetName val="F-8-20-1"/>
      <sheetName val="TB-gl"/>
      <sheetName val="gl"/>
      <sheetName val="OSM"/>
      <sheetName val="AWPs Template"/>
      <sheetName val="A2-1 CLA"/>
      <sheetName val="A2-2 RJE"/>
      <sheetName val="A2-3 SAD"/>
      <sheetName val="A3"/>
      <sheetName val="A8"/>
      <sheetName val="Review Recon"/>
      <sheetName val="Review Cash book"/>
      <sheetName val="E1"/>
      <sheetName val="E3 Recoverability"/>
      <sheetName val="E-1_Recoverability"/>
      <sheetName val="E-2"/>
      <sheetName val="I"/>
      <sheetName val="J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K"/>
      <sheetName val="Unrecorded"/>
      <sheetName val="O"/>
      <sheetName val="O-1_Prov.Tax-2004"/>
      <sheetName val="Capital allowance"/>
      <sheetName val="P"/>
      <sheetName val="P-1"/>
      <sheetName val="P1"/>
      <sheetName val="P2A"/>
      <sheetName val="P2B"/>
      <sheetName val="P3A"/>
      <sheetName val="P3B"/>
      <sheetName val="P3C"/>
      <sheetName val="T"/>
      <sheetName val="U-5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B-4"/>
      <sheetName val="U-disc"/>
      <sheetName val="BB-5"/>
      <sheetName val="CC-3"/>
      <sheetName val="20 30"/>
      <sheetName val="70 "/>
      <sheetName val="MCMD95"/>
      <sheetName val="Instructions"/>
      <sheetName val="GL --&gt; Interim"/>
      <sheetName val="Top Summary"/>
      <sheetName val="GL Input Validations"/>
      <sheetName val="Scratchpad"/>
      <sheetName val="14 Column"/>
      <sheetName val="7 Column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A2l2"/>
      <sheetName val="Q"/>
      <sheetName val="OS list"/>
      <sheetName val="A3l1"/>
      <sheetName val="A3l1-1"/>
      <sheetName val="A2l1-RJE"/>
      <sheetName val="A2l2-CLA"/>
      <sheetName val="A2l3-SAD"/>
      <sheetName val="C8"/>
      <sheetName val="EA"/>
      <sheetName val="EC"/>
      <sheetName val="E1l1"/>
      <sheetName val="E7"/>
      <sheetName val="F1"/>
      <sheetName val="F2"/>
      <sheetName val="F3"/>
      <sheetName val="F4"/>
      <sheetName val="F5"/>
      <sheetName val="F6"/>
      <sheetName val="GA"/>
      <sheetName val="G1"/>
      <sheetName val="G2"/>
      <sheetName val="G4"/>
      <sheetName val="H1"/>
      <sheetName val="IA"/>
      <sheetName val="K1"/>
      <sheetName val="K2"/>
      <sheetName val="K3"/>
      <sheetName val="K3l1"/>
      <sheetName val="K4"/>
      <sheetName val="K5"/>
      <sheetName val="K6"/>
      <sheetName val="K7"/>
      <sheetName val="N1"/>
      <sheetName val="N2"/>
      <sheetName val="N8"/>
      <sheetName val="N9"/>
      <sheetName val="OA"/>
      <sheetName val="O1"/>
      <sheetName val="O2-CA"/>
      <sheetName val="O3-Disposal"/>
      <sheetName val="O4"/>
      <sheetName val="Pl1"/>
      <sheetName val="P1l2"/>
      <sheetName val="R"/>
      <sheetName val="R1-Sch I"/>
      <sheetName val="R2-Sch IIa"/>
      <sheetName val="R3-Sch IIb"/>
      <sheetName val="R4-Sch III"/>
      <sheetName val="R5-NQA04"/>
      <sheetName val="R6-NQA03"/>
      <sheetName val="R1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A2-5"/>
      <sheetName val="A2-2"/>
      <sheetName val="Provision DD"/>
      <sheetName val="A8-2"/>
      <sheetName val="A8-5"/>
      <sheetName val="Form EYP 1"/>
      <sheetName val="FS - 1"/>
      <sheetName val="FS - 2"/>
      <sheetName val="FS - 3"/>
      <sheetName val="C1"/>
      <sheetName val="C2 FD"/>
      <sheetName val="G2-1 "/>
      <sheetName val="K1-2 Policy"/>
      <sheetName val="N7Accrual"/>
      <sheetName val="Q1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3 P&amp;L - 3A Op.Exp"/>
      <sheetName val="4 Analysis"/>
      <sheetName val="M, MM"/>
      <sheetName val=" BB-2"/>
      <sheetName val="CC-1"/>
      <sheetName val="CC-2"/>
      <sheetName val="CC-3-1"/>
      <sheetName val="PP-2"/>
      <sheetName val="RCD 5- (APPENDIX 1)"/>
      <sheetName val="k-Discl"/>
      <sheetName val="DM"/>
      <sheetName val="LABOUR,SUB-CON,LEASE"/>
      <sheetName val="ADM&amp; OHH INCOME"/>
      <sheetName val="S.OH"/>
      <sheetName val="BPR-Bloom"/>
      <sheetName val="F-4l5"/>
      <sheetName val="UA"/>
      <sheetName val="accounts"/>
      <sheetName val="stmt of equity"/>
      <sheetName val="FA"/>
      <sheetName val="auditors' report"/>
      <sheetName val="Attach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yrol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"/>
      <sheetName val="A5l1"/>
      <sheetName val="PPE"/>
      <sheetName val="(U3-2) Realised forex loss"/>
      <sheetName val="(U3) Unrealised forex gain-loss"/>
      <sheetName val="(U3-1) Realised forex gain"/>
      <sheetName val="**"/>
      <sheetName val="CF-1"/>
      <sheetName val="CF-2"/>
      <sheetName val="BPR - Conclusion"/>
      <sheetName val="F-1l2"/>
      <sheetName val="F-8(FSA)"/>
      <sheetName val="F-9b"/>
      <sheetName val="F-9c"/>
      <sheetName val="F-21"/>
      <sheetName val="RCD-1-1"/>
      <sheetName val="C-5"/>
      <sheetName val="C-6"/>
      <sheetName val="C-6a"/>
      <sheetName val="M MM"/>
      <sheetName val="Pnl-10"/>
      <sheetName val="10-2"/>
      <sheetName val="30-Note"/>
      <sheetName val="30a"/>
      <sheetName val="CF workings"/>
      <sheetName val="Pg7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SRM"/>
      <sheetName val="A6-1l1"/>
      <sheetName val="A6-1l2"/>
      <sheetName val="A3-1"/>
      <sheetName val="A3-3"/>
      <sheetName val="A4"/>
      <sheetName val="A3-7"/>
      <sheetName val="E "/>
      <sheetName val="F "/>
      <sheetName val="G "/>
      <sheetName val="K-1 "/>
      <sheetName val="N-1"/>
      <sheetName val="O-1"/>
      <sheetName val="U1"/>
      <sheetName val="U1-1"/>
      <sheetName val="U2"/>
      <sheetName val="BS-ARP"/>
      <sheetName val=" -P&amp;L -ARP"/>
      <sheetName val="P&amp;L-ARP"/>
      <sheetName val="Deprn -reasonability"/>
      <sheetName val="FA Schedule"/>
      <sheetName val="P&amp;L Schedules"/>
      <sheetName val="Sub-Schedules"/>
      <sheetName val="TB Dec 2003"/>
      <sheetName val="Audit Entries"/>
      <sheetName val="TB Dec 2002"/>
      <sheetName val="IS-BS-FF-FY09"/>
      <sheetName val="IS-BS-FF -FY10"/>
      <sheetName val="IS-DIvwise"/>
      <sheetName val="FA Register "/>
      <sheetName val="Cash flow for Apr to Jul"/>
      <sheetName val="FY11"/>
      <sheetName val="FY12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Price Summary"/>
      <sheetName val="Equipment list of CNC SD"/>
      <sheetName val="SDH155M"/>
      <sheetName val="Equip.of155M"/>
      <sheetName val="Sparparts"/>
      <sheetName val="InstallationTools"/>
      <sheetName val="NMS"/>
      <sheetName val="S.4.1_Auditors Remuneration"/>
      <sheetName val="S.4.2_Billing details"/>
      <sheetName val="S.4.3_SAP Dump"/>
      <sheetName val="S.3.1_Managerial Remuneration"/>
      <sheetName val="S.3.2_Ravi Uppal Compensation"/>
      <sheetName val="S.3.3_SRU Working"/>
      <sheetName val="S.3.4_Directors Fees"/>
      <sheetName val="S.3.5_Commission - Non Exec Dir"/>
      <sheetName val="S.3.6_GL Dump"/>
      <sheetName val="costlogic"/>
      <sheetName val="OPERATION"/>
      <sheetName val="Molyimpact"/>
      <sheetName val="Rawmatimpact"/>
      <sheetName val="27SETS"/>
      <sheetName val="FM Cost"/>
      <sheetName val="costmoly"/>
      <sheetName val="FIX_VARI"/>
      <sheetName val="FIX_V_MOLY"/>
      <sheetName val="SETNO"/>
      <sheetName val="DRGNO"/>
      <sheetName val="avg cost ring"/>
      <sheetName val="02A"/>
      <sheetName val="alloy rate"/>
      <sheetName val="ALLOY"/>
      <sheetName val="ALLOYMOLY"/>
      <sheetName val="OPTSTD"/>
      <sheetName val="OPTKV1"/>
      <sheetName val="OPTIKA"/>
      <sheetName val="OPTSTEL"/>
      <sheetName val="SAPhalb"/>
      <sheetName val="ratebreakup"/>
      <sheetName val="TATA GK176MOBP"/>
      <sheetName val="TATA GK153P"/>
      <sheetName val="TATA GO582CPG"/>
      <sheetName val="LETTER"/>
      <sheetName val="COST "/>
      <sheetName val="COST  (2)"/>
      <sheetName val="LVD_2007-10 (Arthur)"/>
      <sheetName val="Pistons EU"/>
      <sheetName val="LVD_2007-10 (Sales)"/>
      <sheetName val="PRO Vs CAP (2)"/>
      <sheetName val="NGPIS (2)"/>
      <sheetName val="GIL-FORMAT SUMM (2)"/>
      <sheetName val="GIL-FORMAT SUMM"/>
      <sheetName val="sum pis&amp;pin"/>
      <sheetName val="piston-plant"/>
      <sheetName val="pin-plant"/>
      <sheetName val="BOUGHTOUT"/>
      <sheetName val="RING-MODVAT"/>
      <sheetName val="CIRCLIP"/>
      <sheetName val="LINERS"/>
      <sheetName val="Depot"/>
      <sheetName val="G I T"/>
      <sheetName val="depot no reco"/>
      <sheetName val="NGPINWW3"/>
      <sheetName val="PACKING COST"/>
      <sheetName val="NGPISWW3"/>
      <sheetName val="Alloy and OH rate"/>
      <sheetName val="Top"/>
      <sheetName val="RING"/>
      <sheetName val="plannsv"/>
      <sheetName val="indm"/>
      <sheetName val="POWER06-07"/>
      <sheetName val="LAP"/>
      <sheetName val="OE"/>
      <sheetName val="POWER05-06 (2)"/>
      <sheetName val="HCCE01"/>
      <sheetName val="PRICE (2)"/>
      <sheetName val="COST9899"/>
      <sheetName val="fdy-capnos"/>
      <sheetName val="PISCOST"/>
      <sheetName val="MC-TIME"/>
      <sheetName val="allocost"/>
      <sheetName val="RECO"/>
      <sheetName val="PACKING"/>
      <sheetName val="QTY."/>
      <sheetName val="FDY"/>
      <sheetName val="MAT-COST"/>
      <sheetName val="SCRAP-CAL"/>
      <sheetName val="NEWMASTER"/>
      <sheetName val="BUDMASTER"/>
      <sheetName val="PRICE"/>
      <sheetName val="MC-TIMECAP"/>
      <sheetName val="CAPACITY"/>
      <sheetName val="CAP KEY"/>
      <sheetName val="FDY-BASIS"/>
      <sheetName val="RECO-COST"/>
      <sheetName val="piston-cost"/>
      <sheetName val="STORE-CONSUMED-FDY"/>
      <sheetName val="fdy-consumble"/>
      <sheetName val="FDY-COST"/>
      <sheetName val="power "/>
      <sheetName val="Split-chart"/>
      <sheetName val="MASTER-KEY"/>
      <sheetName val="Hero majestic 46 "/>
      <sheetName val="m-74"/>
      <sheetName val="rm pin saving (2)"/>
      <sheetName val="Piston 77Ø"/>
      <sheetName val="Dov 77"/>
      <sheetName val="Piston 78Ø"/>
      <sheetName val="dov 78 Ø"/>
      <sheetName val="Summary Published"/>
      <sheetName val="Detail Published"/>
      <sheetName val="Borrowing"/>
      <sheetName val="HO Analysis"/>
      <sheetName val="PAT Analysis"/>
      <sheetName val="Bng Analysis"/>
      <sheetName val="Bhd Analysis"/>
      <sheetName val="Detail Published Actual"/>
      <sheetName val="SummaryActual"/>
      <sheetName val="Summary_HYP"/>
      <sheetName val="Plant Stock"/>
      <sheetName val="Depot Stock"/>
      <sheetName val="GIT Stock"/>
      <sheetName val="Transporter Stock"/>
      <sheetName val="STU Stock"/>
      <sheetName val="J Stock"/>
      <sheetName val="Blank store Stock"/>
      <sheetName val="Machine ShopStock"/>
      <sheetName val="Return Material Stock"/>
      <sheetName val="G.Insert Stock"/>
      <sheetName val="G.I Sleevs"/>
      <sheetName val="MRP"/>
      <sheetName val="BOM"/>
      <sheetName val="Standard Cost Zcostsplit"/>
      <sheetName val="Ring Sale Prices"/>
      <sheetName val="engline"/>
      <sheetName val="Consolidated "/>
      <sheetName val="B_SHEET consol"/>
      <sheetName val="P&amp;L consol"/>
      <sheetName val="Cash Flow-Consol"/>
      <sheetName val="SCH 1 -20 consol"/>
      <sheetName val="Fixed assets consol"/>
      <sheetName val="B_SHEET"/>
      <sheetName val="Cash Flow-Stand alone"/>
      <sheetName val="SCH 1 -20"/>
      <sheetName val="Fixed Assets (3)"/>
      <sheetName val="Consol B &amp; Sheet"/>
      <sheetName val="Consol P &amp; L"/>
      <sheetName val="Consol Sch1-20"/>
      <sheetName val="SCH 6,7"/>
      <sheetName val="Grouping_120506"/>
      <sheetName val="Sch 15 Provisions"/>
      <sheetName val="Summary_Dec.09"/>
      <sheetName val="SUMMARY Inv"/>
      <sheetName val="EL Leave Enca_Mgr &amp; Exec"/>
      <sheetName val="PPV Nov09"/>
      <sheetName val="Rs 6000"/>
      <sheetName val="Domestic Enq."/>
      <sheetName val="EHS"/>
      <sheetName val="NSF"/>
      <sheetName val="Royalty Calculation (2)"/>
      <sheetName val="Retainer Ship"/>
      <sheetName val="ESI Cases"/>
      <sheetName val="Land Tax"/>
      <sheetName val="Rates &amp; Tax Labour"/>
      <sheetName val="Legal &amp; Local Freight"/>
      <sheetName val="LTA PROV Aug.09_FMGIL"/>
      <sheetName val="Leave En Contr"/>
      <sheetName val="Bonus Contr"/>
      <sheetName val="MBO 2009 True Up"/>
      <sheetName val="MBO Dec08"/>
      <sheetName val="S.Tax Non Eligible Input"/>
      <sheetName val="Exgratia"/>
      <sheetName val="JM MEDICAL REIMB09-10"/>
      <sheetName val="Medical "/>
      <sheetName val="Med Reim Prov"/>
      <sheetName val="Petrol Reim. Exp."/>
      <sheetName val="Bonus_Emp. Prov."/>
      <sheetName val="Professional Fees"/>
      <sheetName val="GIL WORKMEN &amp; STAFF Sep'09"/>
      <sheetName val="old GIL WORKMEN &amp; STAFF Aug.09"/>
      <sheetName val="old Aug.09 Pending Serv. Bills"/>
      <sheetName val="Sr Bils_Oct.09"/>
      <sheetName val="Aug.09 Pending Serv. Bills"/>
      <sheetName val="Incentive Sep.09"/>
      <sheetName val="Hotel Air Ticket Drivers"/>
      <sheetName val="Freight Prov"/>
      <sheetName val="현대 해외진출업체"/>
      <sheetName val="해외 진출업체 업무FLOW "/>
      <sheetName val="TA JV"/>
      <sheetName val="major"/>
      <sheetName val="TB"/>
      <sheetName val="S5"/>
      <sheetName val="S7"/>
      <sheetName val="S8"/>
      <sheetName val="S9"/>
      <sheetName val="S10"/>
      <sheetName val="S11"/>
      <sheetName val="S12"/>
      <sheetName val="S13"/>
      <sheetName val="S14"/>
      <sheetName val="INVENT"/>
      <sheetName val="depot stk"/>
      <sheetName val="Charts "/>
      <sheetName val="Summary (US)"/>
      <sheetName val="Summary (Foreign) (2)"/>
      <sheetName val="Summary (Foreign)"/>
      <sheetName val="Pivot Summ"/>
      <sheetName val="Pivot Check"/>
      <sheetName val="CrossRef"/>
      <sheetName val="IMF"/>
      <sheetName val="Trends"/>
      <sheetName val="%Good"/>
      <sheetName val="GTP ASSETS"/>
      <sheetName val="Comp Depr"/>
      <sheetName val="Piston Status"/>
      <sheetName val="ZMIS2"/>
      <sheetName val="Piston"/>
      <sheetName val="Pin"/>
      <sheetName val="circlips"/>
      <sheetName val="Rings"/>
      <sheetName val="Shims"/>
      <sheetName val="SLPins"/>
      <sheetName val="Blanks"/>
      <sheetName val="S023"/>
      <sheetName val="S015"/>
      <sheetName val="SM02"/>
      <sheetName val="S005"/>
      <sheetName val="S029"/>
      <sheetName val="Rec.Pin"/>
      <sheetName val="Rec.Piston"/>
      <sheetName val="KIT J STOCK"/>
      <sheetName val="Kit MODVAT Stock"/>
      <sheetName val="Piston Modvat Stock"/>
      <sheetName val="Piston J-Stock"/>
      <sheetName val="Pin Modvat"/>
      <sheetName val="Pin J-Stock"/>
      <sheetName val="Circlips (2)"/>
      <sheetName val="USD"/>
      <sheetName val="INR"/>
      <sheetName val="INCOME -DET"/>
      <sheetName val="LEAD04 (2)"/>
      <sheetName val="LEAD04"/>
      <sheetName val="NAR-PIN"/>
      <sheetName val="NAR-PISTON"/>
      <sheetName val="SCRAP-PIN"/>
      <sheetName val="KEYPIN"/>
      <sheetName val="NSV-PPCR"/>
      <sheetName val="compenents"/>
      <sheetName val="CHIPS SUMM."/>
      <sheetName val="SCRAP-PISTON"/>
      <sheetName val="KEY-(PIS)2003"/>
      <sheetName val="목차"/>
      <sheetName val="formula sheet"/>
      <sheetName val="scrap rate calclation (fdy) (2)"/>
      <sheetName val="scrap rate calclation (fdy)"/>
      <sheetName val="scrap rate calclation(Mshop)_"/>
      <sheetName val="2004-05 TARGET"/>
      <sheetName val="NAR-PIN (3)"/>
      <sheetName val="NAR-Pistons (2)"/>
      <sheetName val="CHIPS MELTING .04"/>
      <sheetName val="BUD SCRAP PISTON FDY"/>
      <sheetName val="NSV-Roylty (2)"/>
      <sheetName val="Rc Tractor pip"/>
      <sheetName val="FINISH WT"/>
      <sheetName val="MSHOP-SCARP"/>
      <sheetName val="budget 2006-07"/>
      <sheetName val="wip-blank "/>
      <sheetName val="newstoresum (2)"/>
      <sheetName val="newstoresum-TEMP"/>
      <sheetName val="Weighted  Avg Cost-fm %"/>
      <sheetName val="liners PRICE (2)-13.07."/>
      <sheetName val="Apr 07"/>
      <sheetName val="May07"/>
      <sheetName val="dept-Power (2)"/>
      <sheetName val="dept-Power"/>
      <sheetName val="Power-jan  (3)"/>
      <sheetName val="26.02.2007"/>
      <sheetName val="2005-06 power "/>
      <sheetName val="Power-jan "/>
      <sheetName val="EB"/>
      <sheetName val="malden"/>
      <sheetName val="Strat Plan"/>
      <sheetName val="GRING"/>
      <sheetName val="RM"/>
      <sheetName val="ZBILL12 (1)"/>
      <sheetName val="GTP"/>
      <sheetName val="O.INCOME"/>
      <sheetName val="NAR-Pistons"/>
      <sheetName val="Compenent"/>
      <sheetName val="HO-RM FORMAT"/>
      <sheetName val="CAP (2)"/>
      <sheetName val="454-272 Cost Summ"/>
      <sheetName val="newstoresum"/>
      <sheetName val="ploss-03-04"/>
      <sheetName val="bonding ALLOY CAL"/>
      <sheetName val=" scrp-pip"/>
      <sheetName val="BUD2004-05"/>
      <sheetName val="repiars"/>
      <sheetName val="common"/>
      <sheetName val="PIP"/>
      <sheetName val="2006-07 power-RATE"/>
      <sheetName val="Roylty"/>
      <sheetName val="Power -Sarbjeet"/>
      <sheetName val="Packing c"/>
      <sheetName val="Directors"/>
      <sheetName val="Page1"/>
      <sheetName val="recos"/>
      <sheetName val="cap gains"/>
      <sheetName val="CARRY-FORWARD"/>
      <sheetName val="general info"/>
      <sheetName val="ifhp"/>
      <sheetName val="pgbp"/>
      <sheetName val="ifos"/>
      <sheetName val="brought forward"/>
      <sheetName val="MAT INCOME"/>
      <sheetName val="ST.TAXES"/>
      <sheetName val="b&amp;p info"/>
      <sheetName val="exempt."/>
      <sheetName val="Ack1"/>
      <sheetName val="Ack2"/>
      <sheetName val="1997"/>
      <sheetName val="FCAST96"/>
      <sheetName val="party"/>
      <sheetName val="bank"/>
      <sheetName val="bnc"/>
      <sheetName val="Legal"/>
      <sheetName val="CURING DEATAILS "/>
      <sheetName val="CURING AMR CR. TO PARTY AC"/>
      <sheetName val="other credits"/>
      <sheetName val="bnc-OTHER"/>
      <sheetName val="Missing PDC"/>
      <sheetName val="DEUCH BANK -coll"/>
      <sheetName val="DB-BNC"/>
      <sheetName val="Missign PDC- details to WGE"/>
      <sheetName val="Details for WGE"/>
      <sheetName val="DAT DETAILS"/>
      <sheetName val="Other BNC"/>
      <sheetName val="DEUCH BANK "/>
      <sheetName val="FA reco"/>
      <sheetName val="FA REcon-Details"/>
      <sheetName val="DTA new method "/>
      <sheetName val="it-dep"/>
      <sheetName val="asst-deletion"/>
      <sheetName val="FA_SchV-31122003"/>
      <sheetName val="asst-deletion sep"/>
      <sheetName val="Leased Assets"/>
      <sheetName val="Owned-Add"/>
      <sheetName val="Owned-Retire."/>
      <sheetName val="New Lease-Dec-03"/>
      <sheetName val="Taken on Lease"/>
      <sheetName val="Dec-03 TB..ver1"/>
      <sheetName val="2003 Dec. Working"/>
      <sheetName val="23450new"/>
      <sheetName val="EAST"/>
      <sheetName val="SOUTH"/>
      <sheetName val="west"/>
      <sheetName val="north"/>
      <sheetName val="MAR-03-MM"/>
      <sheetName val="24037-mar03"/>
      <sheetName val="24037-apr03"/>
      <sheetName val="apr03"/>
      <sheetName val="mar03"/>
      <sheetName val="feb-03"/>
      <sheetName val="southgl-8thmar"/>
      <sheetName val="westgl-8thmar"/>
      <sheetName val="northgl-8th mar"/>
      <sheetName val="New Lease-mar04"/>
      <sheetName val="Unexpired income"/>
      <sheetName val="dma"/>
      <sheetName val="Provision details"/>
      <sheetName val="Deliquent income"/>
      <sheetName val="Trial-Sub"/>
      <sheetName val="Invesment-019500001&amp;019500004"/>
      <sheetName val="Deff Reve Exp-122001004.0201"/>
      <sheetName val="Dfault AP-122005001.0099"/>
      <sheetName val=" Adv 122008003-0201"/>
      <sheetName val="Off Loan-122008003-0202"/>
      <sheetName val="Chart of Future Loan Repayment"/>
      <sheetName val="SAL ADVANCE122008003-0203"/>
      <sheetName val="Emp Advances 122003001-0060"/>
      <sheetName val="122003001.0060"/>
      <sheetName val="122008003.0204 PREPID EXP UPDAT"/>
      <sheetName val="Secu Depo 122008003.0205"/>
      <sheetName val="Secu Depo 122008003-0205"/>
      <sheetName val="Rent Adv-122008003-0206"/>
      <sheetName val="Corpus Contri-122008003-0212"/>
      <sheetName val=" Adv For exp-122008003-0213 "/>
      <sheetName val="AS-19 Liability 306003005.0012"/>
      <sheetName val="Gratuity- 307099001-0011"/>
      <sheetName val="Accounts Payable"/>
      <sheetName val="Rev Prov-307099001.0015"/>
      <sheetName val="ACC.Payable-307099001.0010"/>
      <sheetName val="GECSI-307099001.0242"/>
      <sheetName val="GECIS 307099001-0243"/>
      <sheetName val="CW-307099001.0244"/>
      <sheetName val="GEBPMS 307099001.0247"/>
      <sheetName val="ACCRUED PAYROLL-320004001.0000"/>
      <sheetName val="PF-320005001.0001"/>
      <sheetName val="PF"/>
      <sheetName val=" PF"/>
      <sheetName val="SAF-320005001.0002"/>
      <sheetName val="SAF"/>
      <sheetName val="HLWF-320005001.0003"/>
      <sheetName val="307099001.0249"/>
      <sheetName val="307099001.0250"/>
      <sheetName val="P.Tax-309007001.0054"/>
      <sheetName val="P.Tax"/>
      <sheetName val="452530001"/>
      <sheetName val="999999004&amp;999999034"/>
      <sheetName val="999999018"/>
      <sheetName val="999999032"/>
      <sheetName val="999999033"/>
      <sheetName val="Invesment-019500001 &amp; 01950004"/>
      <sheetName val="317200004.0202-FMO"/>
      <sheetName val="OFA"/>
      <sheetName val="FX"/>
      <sheetName val="Control"/>
      <sheetName val="CDR"/>
      <sheetName val="STAT"/>
      <sheetName val="Write Offs"/>
      <sheetName val="Snap shot - Guideline value"/>
      <sheetName val="WT_Laibility"/>
      <sheetName val="AIWO"/>
      <sheetName val="HTHL"/>
      <sheetName val="HPDEL"/>
      <sheetName val="S.N"/>
      <sheetName val="SBAPL"/>
      <sheetName val="SHMPL"/>
      <sheetName val="SCL(corrected)"/>
      <sheetName val="SVL"/>
      <sheetName val="SAPPL"/>
      <sheetName val="SAPPPL"/>
      <sheetName val="SCLM"/>
      <sheetName val="SFHL"/>
      <sheetName val="SIHL"/>
      <sheetName val="sihl (2)"/>
      <sheetName val="SLPPL"/>
      <sheetName val="SSPl"/>
      <sheetName val="VRPL"/>
      <sheetName val="VSN"/>
      <sheetName val="Senthil Product"/>
      <sheetName val="Siva Telesat"/>
      <sheetName val="Hi Tech Traders"/>
      <sheetName val="SCL"/>
      <sheetName val="**_x0000__x0000_"/>
      <sheetName val="Labor abs-PW"/>
      <sheetName val="Labor abs-NMR"/>
      <sheetName val="7 Other Costs"/>
      <sheetName val="CCTV_EST1"/>
      <sheetName val="Service Function"/>
      <sheetName val="lineby line consolidation"/>
      <sheetName val="_x0004_ _x0003__x0004__x0016_ _x0004_"/>
      <sheetName val="TBAL9697  grotp wise 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/>
      <sheetData sheetId="426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/>
      <sheetData sheetId="4276" refreshError="1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 refreshError="1"/>
      <sheetData sheetId="4286" refreshError="1"/>
      <sheetData sheetId="4287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 refreshError="1"/>
      <sheetData sheetId="4347" refreshError="1"/>
      <sheetData sheetId="4348" refreshError="1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 refreshError="1"/>
      <sheetData sheetId="4358" refreshError="1"/>
      <sheetData sheetId="4359"/>
      <sheetData sheetId="4360" refreshError="1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/>
      <sheetData sheetId="4373" refreshError="1"/>
      <sheetData sheetId="4374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/>
      <sheetData sheetId="4492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/>
      <sheetData sheetId="4503"/>
      <sheetData sheetId="4504" refreshError="1"/>
      <sheetData sheetId="4505" refreshError="1"/>
      <sheetData sheetId="4506"/>
      <sheetData sheetId="4507"/>
      <sheetData sheetId="4508"/>
      <sheetData sheetId="4509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/>
      <sheetData sheetId="5103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/>
      <sheetData sheetId="5113"/>
      <sheetData sheetId="5114" refreshError="1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 refreshError="1"/>
      <sheetData sheetId="5147" refreshError="1"/>
      <sheetData sheetId="5148"/>
      <sheetData sheetId="5149"/>
      <sheetData sheetId="5150" refreshError="1"/>
      <sheetData sheetId="5151" refreshError="1"/>
      <sheetData sheetId="5152"/>
      <sheetData sheetId="5153" refreshError="1"/>
      <sheetData sheetId="5154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 refreshError="1"/>
      <sheetData sheetId="5183"/>
      <sheetData sheetId="5184"/>
      <sheetData sheetId="5185"/>
      <sheetData sheetId="5186"/>
      <sheetData sheetId="5187"/>
      <sheetData sheetId="5188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/>
      <sheetData sheetId="5197"/>
      <sheetData sheetId="5198"/>
      <sheetData sheetId="5199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/>
      <sheetData sheetId="5223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 refreshError="1"/>
      <sheetData sheetId="5259"/>
      <sheetData sheetId="5260" refreshError="1"/>
      <sheetData sheetId="5261" refreshError="1"/>
      <sheetData sheetId="5262" refreshError="1"/>
      <sheetData sheetId="5263"/>
      <sheetData sheetId="5264"/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/>
      <sheetData sheetId="5272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 refreshError="1"/>
      <sheetData sheetId="5430" refreshError="1"/>
      <sheetData sheetId="5431" refreshError="1"/>
      <sheetData sheetId="5432" refreshError="1"/>
      <sheetData sheetId="5433"/>
      <sheetData sheetId="5434" refreshError="1"/>
      <sheetData sheetId="5435" refreshError="1"/>
      <sheetData sheetId="5436" refreshError="1"/>
      <sheetData sheetId="5437"/>
      <sheetData sheetId="5438"/>
      <sheetData sheetId="5439"/>
      <sheetData sheetId="5440"/>
      <sheetData sheetId="5441" refreshError="1"/>
      <sheetData sheetId="5442" refreshError="1"/>
      <sheetData sheetId="5443" refreshError="1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 refreshError="1"/>
      <sheetData sheetId="5508" refreshError="1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 refreshError="1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/>
      <sheetData sheetId="5678"/>
      <sheetData sheetId="5679"/>
      <sheetData sheetId="5680"/>
      <sheetData sheetId="5681"/>
      <sheetData sheetId="5682"/>
      <sheetData sheetId="5683"/>
      <sheetData sheetId="5684" refreshError="1"/>
      <sheetData sheetId="5685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 refreshError="1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/>
      <sheetData sheetId="5898"/>
      <sheetData sheetId="5899"/>
      <sheetData sheetId="5900"/>
      <sheetData sheetId="5901"/>
      <sheetData sheetId="5902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 refreshError="1"/>
      <sheetData sheetId="5952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/>
      <sheetData sheetId="5986" refreshError="1"/>
      <sheetData sheetId="5987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 refreshError="1"/>
      <sheetData sheetId="6132" refreshError="1"/>
      <sheetData sheetId="6133" refreshError="1"/>
      <sheetData sheetId="6134" refreshError="1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 refreshError="1"/>
      <sheetData sheetId="6200" refreshError="1"/>
      <sheetData sheetId="620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 refreshError="1"/>
      <sheetData sheetId="6293" refreshError="1"/>
      <sheetData sheetId="6294"/>
      <sheetData sheetId="6295"/>
      <sheetData sheetId="6296"/>
      <sheetData sheetId="6297"/>
      <sheetData sheetId="6298" refreshError="1"/>
      <sheetData sheetId="6299" refreshError="1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 refreshError="1"/>
      <sheetData sheetId="6424" refreshError="1"/>
      <sheetData sheetId="6425" refreshError="1"/>
      <sheetData sheetId="6426" refreshError="1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/>
      <sheetData sheetId="651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Micro"/>
      <sheetName val="Macro"/>
      <sheetName val="Scaff-Rose"/>
      <sheetName val="Notes"/>
      <sheetName val="final abstract"/>
      <sheetName val="Rate analysis"/>
      <sheetName val="Structure Bills Qty"/>
      <sheetName val="beam-reinft"/>
      <sheetName val="sept-plan"/>
      <sheetName val="Civil Boq"/>
      <sheetName val="Delhi"/>
      <sheetName val="TBAL9697 -group wise  sdpl"/>
      <sheetName val="Main-Material"/>
      <sheetName val="Design"/>
      <sheetName val="Approved MTD Proj #'s"/>
      <sheetName val="CABLE DATA"/>
      <sheetName val="RES-PLANNING"/>
      <sheetName val="RA-markate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final_abstract"/>
      <sheetName val="Rate_analysis"/>
      <sheetName val="Structure_Bills_Qty"/>
      <sheetName val="Civil_Boq"/>
      <sheetName val="TBAL9697_-group_wise__sdpl"/>
      <sheetName val="Approved_MTD_Proj_#'s"/>
      <sheetName val="CABLE_DATA"/>
      <sheetName val="Detailed Summary (5)"/>
      <sheetName val="factors"/>
      <sheetName val="Analy_7-10"/>
      <sheetName val="monitoring-breakup Feb02"/>
      <sheetName val="Input"/>
      <sheetName val="BOQ"/>
      <sheetName val="switch"/>
      <sheetName val="wordsdata"/>
      <sheetName val="유통망계획"/>
      <sheetName val="Abstract Sheet"/>
      <sheetName val="AK-Offertstammblatt"/>
      <sheetName val="7 Other Costs"/>
      <sheetName val="Labor abs-NMR"/>
      <sheetName val="Settings"/>
      <sheetName val="COLUMN"/>
      <sheetName val="b.s.-p.l.-sch."/>
      <sheetName val="21"/>
      <sheetName val="Orig SG&amp;A Corp"/>
      <sheetName val="CFForecast detail"/>
      <sheetName val="Lead"/>
      <sheetName val="fa"/>
      <sheetName val="Income Statement"/>
      <sheetName val="Field Values"/>
      <sheetName val="Legend"/>
      <sheetName val="Plant Cost"/>
      <sheetName val="Fill this out first..."/>
      <sheetName val="Basement Budget"/>
      <sheetName val="PCC"/>
      <sheetName val="concrete"/>
      <sheetName val="MASTER WORK SHEET - ESTIMATE HI"/>
      <sheetName val="BS, PL, SCH 96"/>
      <sheetName val="trial flow sheet"/>
      <sheetName val="SBI(Siliguri)"/>
      <sheetName val="Data sheet"/>
      <sheetName val="tables"/>
      <sheetName val="Summary year Plan"/>
      <sheetName val="MASTER%20WORK%20SHEET%20-%20EST"/>
      <sheetName val="#REF"/>
      <sheetName val="XREF"/>
      <sheetName val="BOQ_Direct_selling cost"/>
      <sheetName val="est"/>
      <sheetName val="149"/>
      <sheetName val="Aseet1998"/>
      <sheetName val="Summary"/>
      <sheetName val="Tender Summary"/>
      <sheetName val="Calc_ISC"/>
      <sheetName val="Staff Forecast spread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final_abstract6"/>
      <sheetName val="Rate_analysis6"/>
      <sheetName val="Structure_Bills_Qty6"/>
      <sheetName val="Civil_Boq6"/>
      <sheetName val="TBAL9697_-group_wise__sdpl6"/>
      <sheetName val="Approved_MTD_Proj_#'s6"/>
      <sheetName val="CABLE_DATA6"/>
      <sheetName val="Detailed_Summary_(5)5"/>
      <sheetName val="monitoring-breakup_Feb025"/>
      <sheetName val="Abstract_Sheet5"/>
      <sheetName val="7_Other_Costs5"/>
      <sheetName val="Labor_abs-NMR5"/>
      <sheetName val="b_s_-p_l_-sch_5"/>
      <sheetName val="Orig_SG&amp;A_Corp5"/>
      <sheetName val="CFForecast_detail5"/>
      <sheetName val="Income_Statement5"/>
      <sheetName val="Field_Values5"/>
      <sheetName val="Plant_Cost5"/>
      <sheetName val="Fill_this_out_first___5"/>
      <sheetName val="Basement_Budget5"/>
      <sheetName val="MASTER_WORK_SHEET_-_ESTIMATE_H5"/>
      <sheetName val="BS,_PL,_SCH_965"/>
      <sheetName val="trial_flow_sheet5"/>
      <sheetName val="Data_sheet5"/>
      <sheetName val="Summary_year_Plan5"/>
      <sheetName val="BOQ_Direct_selling_co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final_abstract4"/>
      <sheetName val="Rate_analysis4"/>
      <sheetName val="Structure_Bills_Qty4"/>
      <sheetName val="Civil_Boq4"/>
      <sheetName val="TBAL9697_-group_wise__sdpl4"/>
      <sheetName val="Approved_MTD_Proj_#'s4"/>
      <sheetName val="CABLE_DATA4"/>
      <sheetName val="Detailed_Summary_(5)3"/>
      <sheetName val="monitoring-breakup_Feb023"/>
      <sheetName val="Abstract_Sheet3"/>
      <sheetName val="7_Other_Costs3"/>
      <sheetName val="Labor_abs-NMR3"/>
      <sheetName val="b_s_-p_l_-sch_3"/>
      <sheetName val="Orig_SG&amp;A_Corp3"/>
      <sheetName val="CFForecast_detail3"/>
      <sheetName val="Income_Statement3"/>
      <sheetName val="Field_Values3"/>
      <sheetName val="Plant_Cost3"/>
      <sheetName val="Fill_this_out_first___3"/>
      <sheetName val="Basement_Budget3"/>
      <sheetName val="MASTER_WORK_SHEET_-_ESTIMATE_H3"/>
      <sheetName val="BS,_PL,_SCH_963"/>
      <sheetName val="trial_flow_sheet3"/>
      <sheetName val="Data_sheet3"/>
      <sheetName val="Summary_year_Plan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final_abstract3"/>
      <sheetName val="Rate_analysis3"/>
      <sheetName val="Structure_Bills_Qty3"/>
      <sheetName val="Civil_Boq3"/>
      <sheetName val="TBAL9697_-group_wise__sdpl3"/>
      <sheetName val="Approved_MTD_Proj_#'s3"/>
      <sheetName val="CABLE_DATA3"/>
      <sheetName val="Detailed_Summary_(5)2"/>
      <sheetName val="monitoring-breakup_Feb022"/>
      <sheetName val="Abstract_Sheet2"/>
      <sheetName val="7_Other_Costs2"/>
      <sheetName val="Labor_abs-NMR2"/>
      <sheetName val="b_s_-p_l_-sch_2"/>
      <sheetName val="Orig_SG&amp;A_Corp2"/>
      <sheetName val="CFForecast_detail2"/>
      <sheetName val="Income_Statement2"/>
      <sheetName val="Field_Values2"/>
      <sheetName val="Plant_Cost2"/>
      <sheetName val="Fill_this_out_first___2"/>
      <sheetName val="Basement_Budget2"/>
      <sheetName val="MASTER_WORK_SHEET_-_ESTIMATE_H2"/>
      <sheetName val="BS,_PL,_SCH_962"/>
      <sheetName val="trial_flow_sheet2"/>
      <sheetName val="Data_sheet2"/>
      <sheetName val="Summary_year_Plan2"/>
      <sheetName val="BOQ_Direct_selling_cost2"/>
      <sheetName val="Tender_Summary2"/>
      <sheetName val="Staff_Forecast_spread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final_abstract1"/>
      <sheetName val="Rate_analysis1"/>
      <sheetName val="Structure_Bills_Qty1"/>
      <sheetName val="Civil_Boq1"/>
      <sheetName val="TBAL9697_-group_wise__sdpl1"/>
      <sheetName val="Approved_MTD_Proj_#'s1"/>
      <sheetName val="CABLE_DATA1"/>
      <sheetName val="Detailed_Summary_(5)"/>
      <sheetName val="monitoring-breakup_Feb02"/>
      <sheetName val="Abstract_Sheet"/>
      <sheetName val="7_Other_Costs"/>
      <sheetName val="Labor_abs-NMR"/>
      <sheetName val="b_s_-p_l_-sch_"/>
      <sheetName val="Orig_SG&amp;A_Corp"/>
      <sheetName val="CFForecast_detail"/>
      <sheetName val="Income_Statement"/>
      <sheetName val="Field_Values"/>
      <sheetName val="Plant_Cost"/>
      <sheetName val="Fill_this_out_first___"/>
      <sheetName val="Basement_Budget"/>
      <sheetName val="MASTER_WORK_SHEET_-_ESTIMATE_HI"/>
      <sheetName val="BS,_PL,_SCH_96"/>
      <sheetName val="trial_flow_sheet"/>
      <sheetName val="Data_sheet"/>
      <sheetName val="Summary_year_Plan"/>
      <sheetName val="BOQ_Direct_selling_cost"/>
      <sheetName val="Tender_Summary"/>
      <sheetName val="Staff_Forecast_spread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final_abstract2"/>
      <sheetName val="Rate_analysis2"/>
      <sheetName val="Structure_Bills_Qty2"/>
      <sheetName val="Civil_Boq2"/>
      <sheetName val="TBAL9697_-group_wise__sdpl2"/>
      <sheetName val="Approved_MTD_Proj_#'s2"/>
      <sheetName val="CABLE_DATA2"/>
      <sheetName val="Detailed_Summary_(5)1"/>
      <sheetName val="monitoring-breakup_Feb021"/>
      <sheetName val="Abstract_Sheet1"/>
      <sheetName val="7_Other_Costs1"/>
      <sheetName val="Labor_abs-NMR1"/>
      <sheetName val="b_s_-p_l_-sch_1"/>
      <sheetName val="Orig_SG&amp;A_Corp1"/>
      <sheetName val="CFForecast_detail1"/>
      <sheetName val="Income_Statement1"/>
      <sheetName val="Field_Values1"/>
      <sheetName val="Plant_Cost1"/>
      <sheetName val="Fill_this_out_first___1"/>
      <sheetName val="Basement_Budget1"/>
      <sheetName val="MASTER_WORK_SHEET_-_ESTIMATE_H1"/>
      <sheetName val="BS,_PL,_SCH_961"/>
      <sheetName val="trial_flow_sheet1"/>
      <sheetName val="Data_sheet1"/>
      <sheetName val="Summary_year_Plan1"/>
      <sheetName val="BOQ_Direct_selling_cost1"/>
      <sheetName val="Tender_Summary1"/>
      <sheetName val="Staff_Forecast_spread1"/>
      <sheetName val="BOQ_Direct_selling_co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final_abstract5"/>
      <sheetName val="Rate_analysis5"/>
      <sheetName val="Structure_Bills_Qty5"/>
      <sheetName val="Civil_Boq5"/>
      <sheetName val="TBAL9697_-group_wise__sdpl5"/>
      <sheetName val="Approved_MTD_Proj_#'s5"/>
      <sheetName val="CABLE_DATA5"/>
      <sheetName val="Detailed_Summary_(5)4"/>
      <sheetName val="monitoring-breakup_Feb024"/>
      <sheetName val="Abstract_Sheet4"/>
      <sheetName val="7_Other_Costs4"/>
      <sheetName val="Labor_abs-NMR4"/>
      <sheetName val="b_s_-p_l_-sch_4"/>
      <sheetName val="Orig_SG&amp;A_Corp4"/>
      <sheetName val="CFForecast_detail4"/>
      <sheetName val="Income_Statement4"/>
      <sheetName val="Field_Values4"/>
      <sheetName val="Plant_Cost4"/>
      <sheetName val="Fill_this_out_first___4"/>
      <sheetName val="Basement_Budget4"/>
      <sheetName val="MASTER_WORK_SHEET_-_ESTIMATE_H4"/>
      <sheetName val="BS,_PL,_SCH_964"/>
      <sheetName val="trial_flow_sheet4"/>
      <sheetName val="Data_sheet4"/>
      <sheetName val="Summary_year_Plan4"/>
      <sheetName val="BOQ_Direct_selling_cost4"/>
      <sheetName val="Tender_Summary3"/>
      <sheetName val="Staff_Forecast_spread3"/>
      <sheetName val="Tender_Summary4"/>
      <sheetName val="Staff_Forecast_spread4"/>
      <sheetName val="Slab Blk-02"/>
      <sheetName val="Quote Sheet"/>
      <sheetName val="GM &amp; TA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final_abstract7"/>
      <sheetName val="Rate_analysis7"/>
      <sheetName val="Structure_Bills_Qty7"/>
      <sheetName val="Civil_Boq7"/>
      <sheetName val="TBAL9697_-group_wise__sdpl7"/>
      <sheetName val="Approved_MTD_Proj_#'s7"/>
      <sheetName val="CABLE_DATA7"/>
      <sheetName val="Detailed_Summary_(5)6"/>
      <sheetName val="monitoring-breakup_Feb026"/>
      <sheetName val="Abstract_Sheet6"/>
      <sheetName val="7_Other_Costs6"/>
      <sheetName val="Labor_abs-NMR6"/>
      <sheetName val="b_s_-p_l_-sch_6"/>
      <sheetName val="Orig_SG&amp;A_Corp6"/>
      <sheetName val="CFForecast_detail6"/>
      <sheetName val="Income_Statement6"/>
      <sheetName val="Field_Values6"/>
      <sheetName val="Plant_Cost6"/>
      <sheetName val="Fill_this_out_first___6"/>
      <sheetName val="Basement_Budget6"/>
      <sheetName val="MASTER_WORK_SHEET_-_ESTIMATE_H6"/>
      <sheetName val="BS,_PL,_SCH_966"/>
      <sheetName val="trial_flow_sheet6"/>
      <sheetName val="Data_sheet6"/>
      <sheetName val="Summary_year_Plan6"/>
      <sheetName val="BOQ_Direct_selling_cost6"/>
      <sheetName val="Tender_Summary5"/>
      <sheetName val="Staff_Forecast_spread5"/>
      <sheetName val="Slab_Blk-02"/>
      <sheetName val="Quote_Sheet"/>
      <sheetName val="GM_&amp;_TA"/>
      <sheetName val="PURCHASING SCHEDULE"/>
      <sheetName val="Mar Roster"/>
      <sheetName val="p&amp;m"/>
      <sheetName val="dummy"/>
      <sheetName val="d-safe DELUXE"/>
      <sheetName val="allocation"/>
      <sheetName val="ORDER BOOKING"/>
      <sheetName val="Sheet2"/>
      <sheetName val="IBASE"/>
      <sheetName val="Electrical"/>
      <sheetName val="Fin Sum"/>
      <sheetName val="定额"/>
      <sheetName val="建筑定额"/>
      <sheetName val="Estimate"/>
      <sheetName val="std.wt."/>
      <sheetName val="purpose&amp;input"/>
      <sheetName val="Unit cost- Drain-Protection-2"/>
      <sheetName val="Unit cost- Drain-Protection-1 "/>
      <sheetName val="PointNo.5"/>
      <sheetName val="Labour"/>
      <sheetName val="cubes_M20"/>
      <sheetName val="Legal Risk Analysis"/>
      <sheetName val="nglrpt042964858"/>
      <sheetName val="Pile cap"/>
      <sheetName val="factor"/>
      <sheetName val="A.O.R."/>
      <sheetName val="Sheet3 (2)"/>
      <sheetName val="ACS(1)"/>
      <sheetName val="COST"/>
      <sheetName val="Controls"/>
      <sheetName val="기계내역서"/>
      <sheetName val="steam outlet"/>
      <sheetName val="NON-TOWER WATER TANK"/>
      <sheetName val="FCCB "/>
      <sheetName val="RECAPITULATION"/>
      <sheetName val="ICO_budzet_97"/>
      <sheetName val="InputPO_Del"/>
      <sheetName val="master"/>
      <sheetName val="19-PERF"/>
      <sheetName val="BOQ Distribution"/>
      <sheetName val="대외공문"/>
      <sheetName val="TCS_IBMS_R2 2016 08 31"/>
      <sheetName val="PC Master List"/>
      <sheetName val="Data"/>
      <sheetName val="seT"/>
      <sheetName val="Master Info"/>
      <sheetName val="SALE"/>
      <sheetName val="Ref"/>
      <sheetName val="Staff Acco."/>
      <sheetName val="Consolidated"/>
      <sheetName val="GD"/>
      <sheetName val="경비공통"/>
      <sheetName val="99 조정금액"/>
      <sheetName val="HARGA MATERIAL"/>
      <sheetName val="Sheet3"/>
      <sheetName val="Costing"/>
      <sheetName val="PLAN_FEB97"/>
      <sheetName val="Load Details(B1)"/>
      <sheetName val="Menu"/>
      <sheetName val="electr_ work CA "/>
      <sheetName val="Window"/>
      <sheetName val="THK"/>
      <sheetName val="1.01 (a)"/>
      <sheetName val="keyword"/>
      <sheetName val="PURCHASE REQUISITION STATUS"/>
      <sheetName val="Ave.wtd.rates"/>
      <sheetName val="Material "/>
      <sheetName val="Labour &amp; Plant"/>
      <sheetName val="LEVEL SHEET"/>
      <sheetName val="B1"/>
      <sheetName val="Detail"/>
      <sheetName val="Footings"/>
      <sheetName val="RA_MKT_QUOTE"/>
      <sheetName val="RA_markate"/>
      <sheetName val="PURCHASING_SCHEDULE"/>
      <sheetName val="d-safe_DELUXE"/>
      <sheetName val="std_wt_"/>
      <sheetName val="PURCHASING_SCHEDULE1"/>
      <sheetName val="d-safe_DELUXE1"/>
      <sheetName val="GM_&amp;_TA1"/>
      <sheetName val="std_wt_1"/>
      <sheetName val="macros"/>
      <sheetName val="Boq - Flats"/>
      <sheetName val="Lookup Tables"/>
      <sheetName val="Design of Isolated Footing"/>
      <sheetName val="Drawing status-1"/>
      <sheetName val="inWords"/>
      <sheetName val="細目"/>
      <sheetName val="                               "/>
      <sheetName val="Cover"/>
      <sheetName val="conc-foot-gradeslab"/>
      <sheetName val="Area Statement_BHUB_Consultant"/>
      <sheetName val="ridgewood"/>
      <sheetName val="Totowa commitment"/>
      <sheetName val="Ward areas"/>
      <sheetName val="Mat.-Rates"/>
      <sheetName val="Doors"/>
      <sheetName val="labour coeff"/>
      <sheetName val="Weightage-Sub Sht"/>
      <sheetName val="Drawing status"/>
      <sheetName val="Catch Basin "/>
      <sheetName val="PT - B1 - Pour 1"/>
      <sheetName val="Cement Recon"/>
      <sheetName val="COL 2nd F - 3rd F"/>
      <sheetName val="Col 4F to 5F"/>
      <sheetName val="Column - B1 to GF"/>
      <sheetName val="Column - B2 to B1"/>
      <sheetName val="Core FF-5F "/>
      <sheetName val="CW &amp; SW - B1-GF"/>
      <sheetName val="RCC,Ret. Wall"/>
      <sheetName val="Debits as on 12.04.08"/>
      <sheetName val="Server Conf By Name"/>
      <sheetName val="품의서(TL)"/>
      <sheetName val="RMR"/>
      <sheetName val="Mar_Roster"/>
      <sheetName val="ORDER_BOOKING"/>
      <sheetName val="TCS_IBMS_R2_2016_08_31"/>
      <sheetName val="Fin_Sum"/>
      <sheetName val="Pile_cap"/>
      <sheetName val="Master_Info"/>
      <sheetName val="steam_outlet"/>
      <sheetName val="Unit_cost-_Drain-Protection-2"/>
      <sheetName val="Unit_cost-_Drain-Protection-1_"/>
      <sheetName val="PointNo_5"/>
      <sheetName val="Legal_Risk_Analysis"/>
      <sheetName val="7.0 CLIENT TEMPLATE CAPEX"/>
      <sheetName val="VCH-SLC"/>
      <sheetName val="Supplier"/>
      <sheetName val="Performance Report"/>
      <sheetName val="Mar03Atp"/>
      <sheetName val="Quote_Sheet1"/>
      <sheetName val="Mar_Roster1"/>
      <sheetName val="ORDER_BOOKING1"/>
      <sheetName val="Virtified Wooden Tiles"/>
      <sheetName val="GUT"/>
      <sheetName val="Basis"/>
      <sheetName val="Branch Power"/>
      <sheetName val="Distrib"/>
      <sheetName val="Emergency"/>
      <sheetName val="Equipment"/>
      <sheetName val="Lighting"/>
      <sheetName val="Intro"/>
      <sheetName val="Wag&amp;Sal"/>
      <sheetName val="A"/>
      <sheetName val="d-safe specs"/>
      <sheetName val="GE"/>
      <sheetName val="ABB"/>
      <sheetName val="10. &amp; 11. Rate Code &amp; BQ"/>
      <sheetName val="VAL"/>
      <sheetName val="Project Budget Worksheet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Introduction"/>
      <sheetName val="Opdata (2)"/>
      <sheetName val="p1-costg"/>
      <sheetName val="Register"/>
      <sheetName val="ABBR"/>
      <sheetName val="PRICE COMP"/>
      <sheetName val="9. Package split - Cost "/>
      <sheetName val="Price Comparison"/>
      <sheetName val="Leg 1-1"/>
      <sheetName val="PriceSummary"/>
      <sheetName val="Cable-data"/>
      <sheetName val="List Content"/>
      <sheetName val="ELECT"/>
      <sheetName val="Area Ananlysis(v1)"/>
      <sheetName val="Page 2"/>
      <sheetName val="Civil Meas"/>
      <sheetName val="pol-60"/>
      <sheetName val="Allg. Angaben"/>
      <sheetName val="Auswahl"/>
      <sheetName val="RateAnalysis"/>
      <sheetName val="1"/>
      <sheetName val="Markup"/>
      <sheetName val="BLK2"/>
      <sheetName val="BLK3"/>
      <sheetName val="SUmmary-RMZ"/>
      <sheetName val="Parametry"/>
      <sheetName val="CASHFLOWS"/>
      <sheetName val="Headings"/>
      <sheetName val="Fee Rate Summary"/>
      <sheetName val="Default Values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Basic Rates"/>
      <sheetName val="13. Steel - Ratio"/>
      <sheetName val="zone-2"/>
      <sheetName val="Publicbuilding"/>
      <sheetName val="GF Columns"/>
      <sheetName val="FITZ MORT 94"/>
      <sheetName val="&quot;S&quot; Curve"/>
      <sheetName val="NEWtrn"/>
      <sheetName val="Trend"/>
      <sheetName val="WPC"/>
      <sheetName val=""/>
      <sheetName val="Steel"/>
      <sheetName val="ETC Plant Cost"/>
      <sheetName val="MTTR-Headend"/>
      <sheetName val="PM_Action "/>
      <sheetName val="Headend Provisioning Report"/>
      <sheetName val="PE Status"/>
      <sheetName val="Inventory"/>
      <sheetName val="Crtitical Issues"/>
      <sheetName val="RIP"/>
      <sheetName val="Fault Statistics"/>
      <sheetName val="SA faults-Headend "/>
      <sheetName val="Ageing_Pending_ CLeared"/>
      <sheetName val="Fault Cleared After 24Hrs"/>
      <sheetName val="OST_DATA"/>
      <sheetName val="Diawise steel abstract"/>
      <sheetName val="Anlysis"/>
      <sheetName val="Pur"/>
      <sheetName val="Rate An"/>
      <sheetName val="Query Results ALL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0"/>
      <sheetName val="final_abstract10"/>
      <sheetName val="Rate_analysis10"/>
      <sheetName val="Structure_Bills_Qty10"/>
      <sheetName val="Civil_Boq10"/>
      <sheetName val="Abstract_Sheet9"/>
      <sheetName val="7_Other_Costs9"/>
      <sheetName val="Labor_abs-NMR9"/>
      <sheetName val="Approved_MTD_Proj_#'s10"/>
      <sheetName val="TBAL9697_-group_wise__sdpl10"/>
      <sheetName val="CABLE_DATA10"/>
      <sheetName val="Fill_this_out_first___9"/>
      <sheetName val="b_s_-p_l_-sch_9"/>
      <sheetName val="Orig_SG&amp;A_Corp9"/>
      <sheetName val="CFForecast_detail9"/>
      <sheetName val="Income_Statement9"/>
      <sheetName val="Field_Values9"/>
      <sheetName val="Plant_Cost9"/>
      <sheetName val="Basement_Budget9"/>
      <sheetName val="MASTER_WORK_SHEET_-_ESTIMATE_H9"/>
      <sheetName val="BS,_PL,_SCH_969"/>
      <sheetName val="trial_flow_sheet9"/>
      <sheetName val="Data_sheet9"/>
      <sheetName val="Summary_year_Plan9"/>
      <sheetName val="monitoring-breakup_Feb029"/>
      <sheetName val="Tender_Summary8"/>
      <sheetName val="Staff_Forecast_spread8"/>
      <sheetName val="Detailed_Summary_(5)9"/>
      <sheetName val="Quote_Sheet4"/>
      <sheetName val="GM_&amp;_TA4"/>
      <sheetName val="PURCHASING_SCHEDULE4"/>
      <sheetName val="Fin_Sum3"/>
      <sheetName val="BOQ_Direct_selling_cost9"/>
      <sheetName val="Mar_Roster4"/>
      <sheetName val="ORDER_BOOKING4"/>
      <sheetName val="d-safe_DELUXE4"/>
      <sheetName val="std_wt_4"/>
      <sheetName val="Unit_cost-_Drain-Protection-23"/>
      <sheetName val="Unit_cost-_Drain-Protection-1_3"/>
      <sheetName val="PointNo_53"/>
      <sheetName val="steam_outlet3"/>
      <sheetName val="Pile_cap3"/>
      <sheetName val="TCS_IBMS_R2_2016_08_313"/>
      <sheetName val="Master_Info3"/>
      <sheetName val="A_O_R_2"/>
      <sheetName val="Sheet3_(2)2"/>
      <sheetName val="99_조정금액2"/>
      <sheetName val="HARGA_MATERIAL2"/>
      <sheetName val="Legal_Risk_Analysis3"/>
      <sheetName val="Staff_Acco_2"/>
      <sheetName val="Slab_Blk-023"/>
      <sheetName val="Load_Details(B1)2"/>
      <sheetName val="1_01_(a)2"/>
      <sheetName val="PURCHASE_REQUISITION_STATUS2"/>
      <sheetName val="electr__work_CA_2"/>
      <sheetName val="NON-TOWER_WATER_TANK2"/>
      <sheetName val="FCCB_2"/>
      <sheetName val="______________________________2"/>
      <sheetName val="Area_Statement_BHUB_Consultant2"/>
      <sheetName val="BOQ_Distribution2"/>
      <sheetName val="PC_Master_List2"/>
      <sheetName val="Ave_wtd_rates2"/>
      <sheetName val="Material_2"/>
      <sheetName val="Labour_&amp;_Plant2"/>
      <sheetName val="LEVEL_SHEET2"/>
      <sheetName val="Boq_-_Flats2"/>
      <sheetName val="Lookup_Tables2"/>
      <sheetName val="Design_of_Isolated_Footing2"/>
      <sheetName val="Drawing_status-12"/>
      <sheetName val="Totowa_commitment2"/>
      <sheetName val="Ward_areas2"/>
      <sheetName val="Mat_-Rates2"/>
      <sheetName val="labour_coeff2"/>
      <sheetName val="Weightage-Sub_Sht2"/>
      <sheetName val="Drawing_status2"/>
      <sheetName val="Catch_Basin_2"/>
      <sheetName val="PT_-_B1_-_Pour_12"/>
      <sheetName val="Cement_Recon2"/>
      <sheetName val="COL_2nd_F_-_3rd_F2"/>
      <sheetName val="Col_4F_to_5F2"/>
      <sheetName val="Column_-_B1_to_GF2"/>
      <sheetName val="Column_-_B2_to_B12"/>
      <sheetName val="Core_FF-5F_2"/>
      <sheetName val="CW_&amp;_SW_-_B1-GF2"/>
      <sheetName val="RCC,Ret__Wall2"/>
      <sheetName val="Debits_as_on_12_04_082"/>
      <sheetName val="Server_Conf_By_Name2"/>
      <sheetName val="7_0_CLIENT_TEMPLATE_CAPEX2"/>
      <sheetName val="Performance_Report2"/>
      <sheetName val="Virtified_Wooden_Tiles2"/>
      <sheetName val="Branch_Power2"/>
      <sheetName val="d-safe_specs2"/>
      <sheetName val="10__&amp;_11__Rate_Code_&amp;_BQ2"/>
      <sheetName val="Project_Budget_Worksheet2"/>
      <sheetName val="List_Content2"/>
      <sheetName val="Opdata_(2)2"/>
      <sheetName val="Area_Ananlysis(v1)2"/>
      <sheetName val="Page_22"/>
      <sheetName val="Civil_Meas2"/>
      <sheetName val="Fee_Rate_Summary2"/>
      <sheetName val="Default_Values2"/>
      <sheetName val="Basic_Rates2"/>
      <sheetName val="13__Steel_-_Ratio2"/>
      <sheetName val="GF_Columns2"/>
      <sheetName val="PRICE_COMP2"/>
      <sheetName val="9__Package_split_-_Cost_2"/>
      <sheetName val="Price_Comparison2"/>
      <sheetName val="Leg_1-12"/>
      <sheetName val="FITZ_MORT_942"/>
      <sheetName val="&quot;S&quot;_Curve2"/>
      <sheetName val="Allg__Angaben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9"/>
      <sheetName val="final_abstract9"/>
      <sheetName val="Rate_analysis9"/>
      <sheetName val="Structure_Bills_Qty9"/>
      <sheetName val="Civil_Boq9"/>
      <sheetName val="TBAL9697_-group_wise__sdpl9"/>
      <sheetName val="Approved_MTD_Proj_#'s9"/>
      <sheetName val="CABLE_DATA9"/>
      <sheetName val="Detailed_Summary_(5)8"/>
      <sheetName val="monitoring-breakup_Feb028"/>
      <sheetName val="Abstract_Sheet8"/>
      <sheetName val="7_Other_Costs8"/>
      <sheetName val="Labor_abs-NMR8"/>
      <sheetName val="b_s_-p_l_-sch_8"/>
      <sheetName val="Orig_SG&amp;A_Corp8"/>
      <sheetName val="CFForecast_detail8"/>
      <sheetName val="Income_Statement8"/>
      <sheetName val="Field_Values8"/>
      <sheetName val="Plant_Cost8"/>
      <sheetName val="Fill_this_out_first___8"/>
      <sheetName val="Basement_Budget8"/>
      <sheetName val="MASTER_WORK_SHEET_-_ESTIMATE_H8"/>
      <sheetName val="BS,_PL,_SCH_968"/>
      <sheetName val="trial_flow_sheet8"/>
      <sheetName val="Data_sheet8"/>
      <sheetName val="Summary_year_Plan8"/>
      <sheetName val="BOQ_Direct_selling_cost8"/>
      <sheetName val="Tender_Summary7"/>
      <sheetName val="Staff_Forecast_spread7"/>
      <sheetName val="Slab_Blk-022"/>
      <sheetName val="Quote_Sheet3"/>
      <sheetName val="GM_&amp;_TA3"/>
      <sheetName val="PURCHASING_SCHEDULE3"/>
      <sheetName val="Mar_Roster3"/>
      <sheetName val="d-safe_DELUXE3"/>
      <sheetName val="ORDER_BOOKING3"/>
      <sheetName val="Fin_Sum2"/>
      <sheetName val="std_wt_3"/>
      <sheetName val="Unit_cost-_Drain-Protection-22"/>
      <sheetName val="Unit_cost-_Drain-Protection-1_2"/>
      <sheetName val="PointNo_52"/>
      <sheetName val="steam_outlet2"/>
      <sheetName val="NON-TOWER_WATER_TANK1"/>
      <sheetName val="FCCB_1"/>
      <sheetName val="Legal_Risk_Analysis2"/>
      <sheetName val="Pile_cap2"/>
      <sheetName val="A_O_R_1"/>
      <sheetName val="Sheet3_(2)1"/>
      <sheetName val="BOQ_Distribution1"/>
      <sheetName val="TCS_IBMS_R2_2016_08_312"/>
      <sheetName val="PC_Master_List1"/>
      <sheetName val="Master_Info2"/>
      <sheetName val="Staff_Acco_1"/>
      <sheetName val="99_조정금액1"/>
      <sheetName val="HARGA_MATERIAL1"/>
      <sheetName val="Load_Details(B1)1"/>
      <sheetName val="electr__work_CA_1"/>
      <sheetName val="1_01_(a)1"/>
      <sheetName val="PURCHASE_REQUISITION_STATUS1"/>
      <sheetName val="Ave_wtd_rates1"/>
      <sheetName val="Material_1"/>
      <sheetName val="Labour_&amp;_Plant1"/>
      <sheetName val="LEVEL_SHEET1"/>
      <sheetName val="Boq_-_Flats1"/>
      <sheetName val="Lookup_Tables1"/>
      <sheetName val="Design_of_Isolated_Footing1"/>
      <sheetName val="Drawing_status-11"/>
      <sheetName val="______________________________1"/>
      <sheetName val="Area_Statement_BHUB_Consultant1"/>
      <sheetName val="Totowa_commitment1"/>
      <sheetName val="Ward_areas1"/>
      <sheetName val="Mat_-Rates1"/>
      <sheetName val="labour_coeff1"/>
      <sheetName val="Weightage-Sub_Sht1"/>
      <sheetName val="Drawing_status1"/>
      <sheetName val="Catch_Basin_1"/>
      <sheetName val="PT_-_B1_-_Pour_11"/>
      <sheetName val="Cement_Recon1"/>
      <sheetName val="COL_2nd_F_-_3rd_F1"/>
      <sheetName val="Col_4F_to_5F1"/>
      <sheetName val="Column_-_B1_to_GF1"/>
      <sheetName val="Column_-_B2_to_B11"/>
      <sheetName val="Core_FF-5F_1"/>
      <sheetName val="CW_&amp;_SW_-_B1-GF1"/>
      <sheetName val="RCC,Ret__Wall1"/>
      <sheetName val="Debits_as_on_12_04_081"/>
      <sheetName val="Server_Conf_By_Name1"/>
      <sheetName val="7_0_CLIENT_TEMPLATE_CAPEX1"/>
      <sheetName val="Performance_Report1"/>
      <sheetName val="Virtified_Wooden_Tiles1"/>
      <sheetName val="Branch_Power1"/>
      <sheetName val="d-safe_specs1"/>
      <sheetName val="10__&amp;_11__Rate_Code_&amp;_BQ1"/>
      <sheetName val="Project_Budget_Worksheet1"/>
      <sheetName val="List_Content1"/>
      <sheetName val="Opdata_(2)1"/>
      <sheetName val="Area_Ananlysis(v1)1"/>
      <sheetName val="Page_21"/>
      <sheetName val="Civil_Meas1"/>
      <sheetName val="Fee_Rate_Summary1"/>
      <sheetName val="Default_Values1"/>
      <sheetName val="Basic_Rates1"/>
      <sheetName val="13__Steel_-_Ratio1"/>
      <sheetName val="GF_Columns1"/>
      <sheetName val="PRICE_COMP1"/>
      <sheetName val="9__Package_split_-_Cost_1"/>
      <sheetName val="Price_Comparison1"/>
      <sheetName val="Leg_1-11"/>
      <sheetName val="FITZ_MORT_941"/>
      <sheetName val="&quot;S&quot;_Curve1"/>
      <sheetName val="Allg__Angaben1"/>
      <sheetName val="ETC_Plant_Cost1"/>
      <sheetName val="PM_Action_1"/>
      <sheetName val="Headend_Provisioning_Report1"/>
      <sheetName val="PE_Status1"/>
      <sheetName val="Crtitical_Issues1"/>
      <sheetName val="Fault_Statistics1"/>
      <sheetName val="SA_faults-Headend_1"/>
      <sheetName val="Ageing_Pending__CLeared1"/>
      <sheetName val="Fault_Cleared_After_24Hrs1"/>
      <sheetName val="Diawise_steel_abstract1"/>
      <sheetName val="Rate_An1"/>
      <sheetName val="Query_Results_ALL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8"/>
      <sheetName val="final_abstract8"/>
      <sheetName val="Rate_analysis8"/>
      <sheetName val="Structure_Bills_Qty8"/>
      <sheetName val="Civil_Boq8"/>
      <sheetName val="TBAL9697_-group_wise__sdpl8"/>
      <sheetName val="Approved_MTD_Proj_#'s8"/>
      <sheetName val="CABLE_DATA8"/>
      <sheetName val="Detailed_Summary_(5)7"/>
      <sheetName val="monitoring-breakup_Feb027"/>
      <sheetName val="Abstract_Sheet7"/>
      <sheetName val="7_Other_Costs7"/>
      <sheetName val="Labor_abs-NMR7"/>
      <sheetName val="b_s_-p_l_-sch_7"/>
      <sheetName val="Orig_SG&amp;A_Corp7"/>
      <sheetName val="CFForecast_detail7"/>
      <sheetName val="Income_Statement7"/>
      <sheetName val="Field_Values7"/>
      <sheetName val="Plant_Cost7"/>
      <sheetName val="Fill_this_out_first___7"/>
      <sheetName val="Basement_Budget7"/>
      <sheetName val="MASTER_WORK_SHEET_-_ESTIMATE_H7"/>
      <sheetName val="BS,_PL,_SCH_967"/>
      <sheetName val="trial_flow_sheet7"/>
      <sheetName val="Data_sheet7"/>
      <sheetName val="Summary_year_Plan7"/>
      <sheetName val="BOQ_Direct_selling_cost7"/>
      <sheetName val="Tender_Summary6"/>
      <sheetName val="Staff_Forecast_spread6"/>
      <sheetName val="Slab_Blk-021"/>
      <sheetName val="Quote_Sheet2"/>
      <sheetName val="GM_&amp;_TA2"/>
      <sheetName val="PURCHASING_SCHEDULE2"/>
      <sheetName val="Mar_Roster2"/>
      <sheetName val="d-safe_DELUXE2"/>
      <sheetName val="ORDER_BOOKING2"/>
      <sheetName val="Fin_Sum1"/>
      <sheetName val="std_wt_2"/>
      <sheetName val="Unit_cost-_Drain-Protection-21"/>
      <sheetName val="Unit_cost-_Drain-Protection-1_1"/>
      <sheetName val="PointNo_51"/>
      <sheetName val="steam_outlet1"/>
      <sheetName val="NON-TOWER_WATER_TANK"/>
      <sheetName val="FCCB_"/>
      <sheetName val="Legal_Risk_Analysis1"/>
      <sheetName val="Pile_cap1"/>
      <sheetName val="A_O_R_"/>
      <sheetName val="Sheet3_(2)"/>
      <sheetName val="BOQ_Distribution"/>
      <sheetName val="TCS_IBMS_R2_2016_08_311"/>
      <sheetName val="PC_Master_List"/>
      <sheetName val="Master_Info1"/>
      <sheetName val="Staff_Acco_"/>
      <sheetName val="99_조정금액"/>
      <sheetName val="HARGA_MATERIAL"/>
      <sheetName val="Load_Details(B1)"/>
      <sheetName val="electr__work_CA_"/>
      <sheetName val="1_01_(a)"/>
      <sheetName val="PURCHASE_REQUISITION_STATUS"/>
      <sheetName val="Ave_wtd_rates"/>
      <sheetName val="Material_"/>
      <sheetName val="Labour_&amp;_Plant"/>
      <sheetName val="LEVEL_SHEET"/>
      <sheetName val="Boq_-_Flats"/>
      <sheetName val="Lookup_Tables"/>
      <sheetName val="Design_of_Isolated_Footing"/>
      <sheetName val="Drawing_status-1"/>
      <sheetName val="_______________________________"/>
      <sheetName val="Area_Statement_BHUB_Consultant"/>
      <sheetName val="Totowa_commitment"/>
      <sheetName val="Ward_areas"/>
      <sheetName val="Mat_-Rates"/>
      <sheetName val="labour_coeff"/>
      <sheetName val="Weightage-Sub_Sht"/>
      <sheetName val="Drawing_status"/>
      <sheetName val="Catch_Basin_"/>
      <sheetName val="PT_-_B1_-_Pour_1"/>
      <sheetName val="Cement_Recon"/>
      <sheetName val="COL_2nd_F_-_3rd_F"/>
      <sheetName val="Col_4F_to_5F"/>
      <sheetName val="Column_-_B1_to_GF"/>
      <sheetName val="Column_-_B2_to_B1"/>
      <sheetName val="Core_FF-5F_"/>
      <sheetName val="CW_&amp;_SW_-_B1-GF"/>
      <sheetName val="RCC,Ret__Wall"/>
      <sheetName val="Debits_as_on_12_04_08"/>
      <sheetName val="Server_Conf_By_Name"/>
      <sheetName val="7_0_CLIENT_TEMPLATE_CAPEX"/>
      <sheetName val="Performance_Report"/>
      <sheetName val="Virtified_Wooden_Tiles"/>
      <sheetName val="Branch_Power"/>
      <sheetName val="d-safe_specs"/>
      <sheetName val="10__&amp;_11__Rate_Code_&amp;_BQ"/>
      <sheetName val="Project_Budget_Worksheet"/>
      <sheetName val="List_Content"/>
      <sheetName val="Opdata_(2)"/>
      <sheetName val="Area_Ananlysis(v1)"/>
      <sheetName val="Page_2"/>
      <sheetName val="Civil_Meas"/>
      <sheetName val="Fee_Rate_Summary"/>
      <sheetName val="Default_Values"/>
      <sheetName val="Basic_Rates"/>
      <sheetName val="13__Steel_-_Ratio"/>
      <sheetName val="GF_Columns"/>
      <sheetName val="PRICE_COMP"/>
      <sheetName val="9__Package_split_-_Cost_"/>
      <sheetName val="Price_Comparison"/>
      <sheetName val="Leg_1-1"/>
      <sheetName val="FITZ_MORT_94"/>
      <sheetName val="&quot;S&quot;_Curve"/>
      <sheetName val="Allg__Angaben"/>
      <sheetName val="ETC_Plant_Cost"/>
      <sheetName val="PM_Action_"/>
      <sheetName val="Headend_Provisioning_Report"/>
      <sheetName val="PE_Status"/>
      <sheetName val="Crtitical_Issues"/>
      <sheetName val="Fault_Statistics"/>
      <sheetName val="SA_faults-Headend_"/>
      <sheetName val="Ageing_Pending__CLeared"/>
      <sheetName val="Fault_Cleared_After_24Hrs"/>
      <sheetName val="Diawise_steel_abstract"/>
      <sheetName val="Rate_An"/>
      <sheetName val="Query_Results_ALL"/>
      <sheetName val="Futura"/>
      <sheetName val="2nd "/>
      <sheetName val="Operating Statis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budget"/>
      <sheetName val="149"/>
      <sheetName val="Sheet2"/>
      <sheetName val="Sheet3"/>
      <sheetName val="Boq"/>
      <sheetName val="Break up Sheet"/>
      <sheetName val="Break_up_Sheet"/>
      <sheetName val="Notes"/>
      <sheetName val="RA-markate"/>
      <sheetName val="COLUMN"/>
      <sheetName val="149K"/>
      <sheetName val="Supplier"/>
      <sheetName val="Break_up_Sheet6"/>
      <sheetName val="Break_up_Sheet4"/>
      <sheetName val="Break_up_Sheet3"/>
      <sheetName val="Break_up_Sheet1"/>
      <sheetName val="Break_up_Sheet2"/>
      <sheetName val="Break_up_Sheet5"/>
      <sheetName val="Break_up_Sheet7"/>
      <sheetName val="nglrpt042964858"/>
      <sheetName val="intr stool brkup"/>
      <sheetName val="2 &amp; 3 CG 78 V"/>
      <sheetName val="1-Excavation"/>
      <sheetName val="2-Substructure"/>
      <sheetName val="3-Concrete"/>
      <sheetName val="4-Masonry"/>
      <sheetName val="5-Thermal &amp; Moisture"/>
      <sheetName val="EATON SUMMARY"/>
      <sheetName val="final abstract"/>
      <sheetName val="Rate analysis"/>
      <sheetName val="Assumptions"/>
      <sheetName val="Pg.1 Marketing Info"/>
      <sheetName val="sept-plan"/>
      <sheetName val="d-safe DELUXE"/>
      <sheetName val="Break_up_Sheet8"/>
      <sheetName val="intr_stool_brkup"/>
      <sheetName val="2_&amp;_3_CG_78_V"/>
      <sheetName val="5-Thermal_&amp;_Moisture"/>
      <sheetName val="EATON_SUMMARY"/>
      <sheetName val="final_abstract"/>
      <sheetName val="Rate_analysis"/>
      <sheetName val="Pg_1_Marketing_Info"/>
      <sheetName val="Break_up_Sheet11"/>
      <sheetName val="intr_stool_brkup3"/>
      <sheetName val="2_&amp;_3_CG_78_V3"/>
      <sheetName val="5-Thermal_&amp;_Moisture3"/>
      <sheetName val="EATON_SUMMARY3"/>
      <sheetName val="final_abstract3"/>
      <sheetName val="Rate_analysis3"/>
      <sheetName val="Pg_1_Marketing_Info3"/>
      <sheetName val="d-safe_DELUXE2"/>
      <sheetName val="Break_up_Sheet10"/>
      <sheetName val="intr_stool_brkup2"/>
      <sheetName val="2_&amp;_3_CG_78_V2"/>
      <sheetName val="5-Thermal_&amp;_Moisture2"/>
      <sheetName val="EATON_SUMMARY2"/>
      <sheetName val="final_abstract2"/>
      <sheetName val="Rate_analysis2"/>
      <sheetName val="Pg_1_Marketing_Info2"/>
      <sheetName val="d-safe_DELUXE1"/>
      <sheetName val="Break_up_Sheet9"/>
      <sheetName val="intr_stool_brkup1"/>
      <sheetName val="2_&amp;_3_CG_78_V1"/>
      <sheetName val="5-Thermal_&amp;_Moisture1"/>
      <sheetName val="EATON_SUMMARY1"/>
      <sheetName val="final_abstract1"/>
      <sheetName val="Rate_analysis1"/>
      <sheetName val="Pg_1_Marketing_Info1"/>
      <sheetName val="d-safe_DELUX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SPT vs PHI"/>
      <sheetName val="149"/>
      <sheetName val="ANALYSIS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Break up Sheet"/>
      <sheetName val="std.wt."/>
      <sheetName val="RA-markate"/>
      <sheetName val="Material "/>
      <sheetName val="Pur"/>
      <sheetName val="Design"/>
      <sheetName val="Notes"/>
      <sheetName val="floor slab-RS2"/>
      <sheetName val="COLUMN"/>
      <sheetName val="Pile cap"/>
      <sheetName val="moments-table(tri)"/>
      <sheetName val="conc-foot-gradeslab"/>
      <sheetName val="Abstract Sheet"/>
      <sheetName val="Legal Risk Analysis"/>
      <sheetName val="sept-plan"/>
      <sheetName val="switch"/>
      <sheetName val="THK"/>
      <sheetName val="BOQ_Direct_selling cost"/>
      <sheetName val="dummy"/>
      <sheetName val="Staff Forecast spread"/>
      <sheetName val="E1"/>
      <sheetName val="PIpe Pushing"/>
      <sheetName val="Civil_Boq"/>
      <sheetName val="d-safe specs"/>
      <sheetName val="General Summary"/>
      <sheetName val="+X &amp; -X DIR PRE"/>
      <sheetName val="RES-PLANNING"/>
      <sheetName val="Pay_Sep06"/>
      <sheetName val="Sheet4"/>
      <sheetName val="Main-Material"/>
      <sheetName val="Civil_Boq1"/>
      <sheetName val="SPT_vs_PHI"/>
      <sheetName val="std_wt_"/>
      <sheetName val="Pile_cap"/>
      <sheetName val="Material_"/>
      <sheetName val="Chandrawal_-1"/>
      <sheetName val="Guide_VAT_ED_Credit"/>
      <sheetName val="AMC_&amp;_O&amp;M"/>
      <sheetName val="JTS_Costing"/>
      <sheetName val="d-safe DELUXE"/>
      <sheetName val="PRECAST lightconc-II"/>
      <sheetName val="13. Steel - Ratio"/>
      <sheetName val="girder"/>
      <sheetName val="WPR-IV"/>
      <sheetName val="Labour productivity"/>
      <sheetName val="Footings"/>
      <sheetName val="Supplier"/>
      <sheetName val="CABLE DATA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UNIT2"/>
      <sheetName val="V.O.4 - PCC Qty"/>
      <sheetName val="TBAL9697 -group wise  sdpl"/>
      <sheetName val="Field Values"/>
      <sheetName val="p&amp;m"/>
      <sheetName val="organi synthesis lab"/>
      <sheetName val="Fin Su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DETAIL SHEET"/>
      <sheetName val="Detail"/>
      <sheetName val="PointNo.5"/>
      <sheetName val="Sheet1"/>
      <sheetName val="1.01 (a)"/>
      <sheetName val="T1037 Entire School"/>
      <sheetName val="RMZ Summary"/>
      <sheetName val="Balance sheet"/>
      <sheetName val="MainSheet"/>
      <sheetName val="Employee List"/>
      <sheetName val="RCC,Ret. Wall"/>
      <sheetName val="BOQ fire proofing"/>
      <sheetName val="Input"/>
      <sheetName val="STAFFSCHED "/>
      <sheetName val="dBase"/>
      <sheetName val="PRECAST lightconc_II"/>
      <sheetName val="Voucher"/>
      <sheetName val="Basement Budget"/>
      <sheetName val="IO LIST"/>
      <sheetName val="LABOUR"/>
      <sheetName val="Plant Cost"/>
      <sheetName val="spool"/>
      <sheetName val="foot"/>
      <sheetName val="3-3(750)"/>
      <sheetName val="Storage"/>
      <sheetName val="RECAPITULATION"/>
      <sheetName val="cubes_M20"/>
      <sheetName val="Aseet1998"/>
      <sheetName val="PC Master List"/>
      <sheetName val="P&amp;L-BDMC"/>
      <sheetName val="WWR"/>
      <sheetName val="Calc1"/>
      <sheetName val="Equipment"/>
      <sheetName val="ORDER BOOKING"/>
      <sheetName val="Vehicles"/>
      <sheetName val="VCH-SLC"/>
      <sheetName val="except wiring"/>
      <sheetName val="3cd Annexure"/>
      <sheetName val="AOR"/>
      <sheetName val="Costing"/>
      <sheetName val="Electrical"/>
      <sheetName val=" "/>
      <sheetName val="Build-up"/>
      <sheetName val="x-items"/>
      <sheetName val="BOQ_Direct_selling_cost"/>
      <sheetName val="Staff_Forecast_spread"/>
      <sheetName val="floor_slab-RS2"/>
      <sheetName val="PRECAST_lightconc-II"/>
      <sheetName val="PIpe_Pushing"/>
      <sheetName val="d-safe_specs"/>
      <sheetName val="Labour_productivity"/>
      <sheetName val="BOQ (2)"/>
      <sheetName val="main"/>
      <sheetName val="COST"/>
      <sheetName val="Site Dev BOQ"/>
      <sheetName val="Calc_ISC"/>
      <sheetName val="labour coeff"/>
      <sheetName val="Cal"/>
      <sheetName val="Data"/>
      <sheetName val="Boiler&amp;TG"/>
      <sheetName val="Macro1"/>
      <sheetName val="Names&amp;Cases"/>
      <sheetName val="Construction"/>
      <sheetName val="tower"/>
      <sheetName val="10. &amp; 11. Rate Code &amp; BQ"/>
      <sheetName val="analysis-superstructure"/>
      <sheetName val="loadcal"/>
      <sheetName val="Scope Reconciliation"/>
      <sheetName val="Sheet2"/>
      <sheetName val="Current Bill MB ref"/>
      <sheetName val="NT LBH"/>
      <sheetName val="Desgn(zone I)"/>
      <sheetName val="AK-Offertstammblatt"/>
      <sheetName val="1st and 4th flight"/>
      <sheetName val="Cover sheet"/>
      <sheetName val="Site wise NADs"/>
      <sheetName val="Sheet3"/>
      <sheetName val="LANGUAGE"/>
      <sheetName val="Summary_Bank"/>
      <sheetName val="Non-Factory"/>
      <sheetName val="INPUT_SHEET"/>
      <sheetName val="purpose&amp;input"/>
      <sheetName val="Mat_Cost"/>
      <sheetName val="Wire"/>
      <sheetName val="1_Project_Profile"/>
      <sheetName val="@Risk Inputs"/>
      <sheetName val="Depreciation Calc"/>
      <sheetName val="b.s.-p.l.-sch."/>
      <sheetName val="Factors"/>
      <sheetName val="AR"/>
      <sheetName val="Tender Summary"/>
      <sheetName val="Publicbuilding"/>
      <sheetName val="Project Details.."/>
      <sheetName val="Top Line - WWW"/>
      <sheetName val="BOQ_SERENO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.S."/>
      <sheetName val="Summary year Plan"/>
      <sheetName val="Staff Acco."/>
      <sheetName val="Invoice"/>
      <sheetName val="POI_MASTER_1"/>
      <sheetName val="BOQ "/>
      <sheetName val="Flooring"/>
      <sheetName val="ELEC_BOQ"/>
      <sheetName val="Fee Rate Summary"/>
      <sheetName val="beam-reinft"/>
      <sheetName val="Rate analysis"/>
      <sheetName val="T&amp;M"/>
      <sheetName val="BOQ Distribution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Risk &amp; Opportunities"/>
      <sheetName val="Block A - BOQ"/>
      <sheetName val="CFForecast detail"/>
      <sheetName val="lookups"/>
      <sheetName val="월선수금"/>
      <sheetName val="OHT_Abs"/>
      <sheetName val="radar"/>
      <sheetName val="E &amp; R"/>
      <sheetName val="Approved MTD Proj #'s"/>
      <sheetName val="final abstract"/>
      <sheetName val="Calc"/>
      <sheetName val="master"/>
      <sheetName val="SC revtrgt"/>
      <sheetName val="BS Schdl- 1 &amp; 2"/>
      <sheetName val=" WORKING"/>
      <sheetName val="RA_EIL"/>
      <sheetName val="RA_MKT_QUOTE"/>
      <sheetName val="Mat &amp; Lab Rate"/>
      <sheetName val="Assmpns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Intro."/>
      <sheetName val="Cul_detail"/>
      <sheetName val="Section Catalogue"/>
      <sheetName val="Purlin(7m)"/>
      <sheetName val="IS3370"/>
      <sheetName val="IS456"/>
      <sheetName val="Table10"/>
      <sheetName val="Table11"/>
      <sheetName val="Table12"/>
      <sheetName val="Table9"/>
      <sheetName val="nglrpt042964858"/>
      <sheetName val="Trial Bal"/>
      <sheetName val="DG3285"/>
      <sheetName val="Cashflow projection"/>
      <sheetName val="keyword"/>
      <sheetName val="目录"/>
      <sheetName val="Detailed Summary (5)"/>
      <sheetName val="Final Summary"/>
      <sheetName val="Sub-str."/>
      <sheetName val="Sheet 1"/>
      <sheetName val="CLform"/>
      <sheetName val="RateAnalysis"/>
      <sheetName val="Variation Statement"/>
      <sheetName val="Abstract - Single Line"/>
      <sheetName val="L3"/>
      <sheetName val="st"/>
      <sheetName val="HEAD"/>
      <sheetName val="inWords"/>
      <sheetName val="sq ftg detail"/>
      <sheetName val="lookup"/>
      <sheetName val="Database"/>
      <sheetName val="Civil_Boq2"/>
      <sheetName val="SPT_vs_PHI2"/>
      <sheetName val="Chandrawal_-12"/>
      <sheetName val="Guide_VAT_ED_Credit2"/>
      <sheetName val="AMC_&amp;_O&amp;M2"/>
      <sheetName val="JTS_Costing2"/>
      <sheetName val="Break_up_Sheet"/>
      <sheetName val="std_wt_2"/>
      <sheetName val="Material_2"/>
      <sheetName val="floor_slab-RS21"/>
      <sheetName val="Pile_cap2"/>
      <sheetName val="Abstract_Sheet"/>
      <sheetName val="Legal_Risk_Analysis"/>
      <sheetName val="BOQ_Direct_selling_cost1"/>
      <sheetName val="Staff_Forecast_spread1"/>
      <sheetName val="PIpe_Pushing1"/>
      <sheetName val="d-safe_specs2"/>
      <sheetName val="General_Summary"/>
      <sheetName val="+X_&amp;_-X_DIR_PRE"/>
      <sheetName val="d-safe_DELUXE"/>
      <sheetName val="PRECAST_lightconc-II1"/>
      <sheetName val="13__Steel_-_Ratio"/>
      <sheetName val="Labour_productivity1"/>
      <sheetName val="CABLE_DATA1"/>
      <sheetName val="INPUT_SHEET1"/>
      <sheetName val="Extra_Item"/>
      <sheetName val="Fill_this_out_first___"/>
      <sheetName val="Labour_&amp;_Plant"/>
      <sheetName val="Project_Budget_Worksheet"/>
      <sheetName val="TASKRSRC_(2)"/>
      <sheetName val="V_O_4_-_PCC_Qty"/>
      <sheetName val="TBAL9697_-group_wise__sdpl"/>
      <sheetName val="Field_Values"/>
      <sheetName val="organi_synthesis_lab"/>
      <sheetName val="Fin_Sum"/>
      <sheetName val="BOQ_-II_ph_2"/>
      <sheetName val="2_1_受電設備棟"/>
      <sheetName val="2_2_受・防火水槽"/>
      <sheetName val="2_3_排水処理設備棟"/>
      <sheetName val="2_4_倉庫棟"/>
      <sheetName val="2_5_守衛棟"/>
      <sheetName val="DETAIL_SHEET"/>
      <sheetName val="PointNo_5"/>
      <sheetName val="1_01_(a)"/>
      <sheetName val="T1037_Entire_School"/>
      <sheetName val="RMZ_Summary"/>
      <sheetName val="Balance_sheet"/>
      <sheetName val="Employee_List"/>
      <sheetName val="RCC,Ret__Wall"/>
      <sheetName val="BOQ_fire_proofing"/>
      <sheetName val="STAFFSCHED_"/>
      <sheetName val="PRECAST_lightconc_II"/>
      <sheetName val="Basement_Budget"/>
      <sheetName val="IO_LIST"/>
      <sheetName val="Plant_Cost"/>
      <sheetName val="PC_Master_List"/>
      <sheetName val="ORDER_BOOKING"/>
      <sheetName val="except_wiring"/>
      <sheetName val="3cd_Annexure"/>
      <sheetName val="_"/>
      <sheetName val="BOQ_(2)"/>
      <sheetName val="Site_Dev_BOQ"/>
      <sheetName val="labour_coeff"/>
      <sheetName val="10__&amp;_11__Rate_Code_&amp;_BQ"/>
      <sheetName val="Scope_Reconciliation"/>
      <sheetName val="Current_Bill_MB_ref"/>
      <sheetName val="NT_LBH"/>
      <sheetName val="Desgn(zone_I)"/>
      <sheetName val="1st_and_4th_flight"/>
      <sheetName val="Cover_sheet"/>
      <sheetName val="Site_wise_NADs"/>
      <sheetName val="@Risk_Inputs"/>
      <sheetName val="Depreciation_Calc"/>
      <sheetName val="b_s_-p_l_-sch_"/>
      <sheetName val="Tender_Summary"/>
      <sheetName val="Project_Details__"/>
      <sheetName val="Top_Line_-_WWW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M_S_"/>
      <sheetName val="Summary_year_Plan"/>
      <sheetName val="Staff_Acco_"/>
      <sheetName val="BOQ_"/>
      <sheetName val="Fee_Rate_Summary"/>
      <sheetName val="Rate_analysis"/>
      <sheetName val="BOQ_Distribution"/>
      <sheetName val="Risk_&amp;_Opportunities"/>
      <sheetName val="Block_A_-_BOQ"/>
      <sheetName val="CFForecast_detail"/>
      <sheetName val="E_&amp;_R"/>
      <sheetName val="Approved_MTD_Proj_#'s"/>
      <sheetName val="final_abstract"/>
      <sheetName val="SC_revtrgt"/>
      <sheetName val="BS_Schdl-_1_&amp;_2"/>
      <sheetName val="_WORKING"/>
      <sheetName val="Mat_&amp;_Lab_Rate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Intro_"/>
      <sheetName val="Section_Catalogue"/>
      <sheetName val="Trial_Bal"/>
      <sheetName val="Cashflow_projection"/>
      <sheetName val="Detailed_Summary_(5)"/>
      <sheetName val="Final_Summary"/>
      <sheetName val="Sub-str_"/>
      <sheetName val="Sheet_1"/>
      <sheetName val="Variation_Statement"/>
      <sheetName val="Abstract_-_Single_Line"/>
      <sheetName val="sq_ftg_detail"/>
      <sheetName val="RFP002"/>
      <sheetName val="Material Rate"/>
      <sheetName val="Assumptions"/>
      <sheetName val="rev 01"/>
      <sheetName val="3"/>
      <sheetName val="M.R.List (2)"/>
      <sheetName val="FORM-W3"/>
      <sheetName val="Global factors"/>
      <sheetName val="Basic Resources"/>
      <sheetName val="Micro"/>
      <sheetName val="Macro"/>
      <sheetName val="Scaff-Rose"/>
      <sheetName val="wordsdata"/>
      <sheetName val="mem-property"/>
      <sheetName val="Final Bill of Material"/>
      <sheetName val="GUT"/>
      <sheetName val="Controls"/>
      <sheetName val="Analy_7-10"/>
      <sheetName val="Data-Month"/>
      <sheetName val="Column Bracket"/>
      <sheetName val="Sqn_Abs _G_1"/>
      <sheetName val="Inter unit set off"/>
      <sheetName val="Cor_01Br6_8"/>
      <sheetName val="Equip Codes"/>
      <sheetName val="India F&amp;S Template"/>
      <sheetName val="BOQ-Part1"/>
      <sheetName val="9. Package split - Cost "/>
      <sheetName val="Civil_Boq3"/>
      <sheetName val="SPT_vs_PHI3"/>
      <sheetName val="std_wt_3"/>
      <sheetName val="Material_3"/>
      <sheetName val="Chandrawal_-13"/>
      <sheetName val="Guide_VAT_ED_Credit3"/>
      <sheetName val="AMC_&amp;_O&amp;M3"/>
      <sheetName val="JTS_Costing3"/>
      <sheetName val="Pile_cap3"/>
      <sheetName val="BOQ_Direct_selling_cost2"/>
      <sheetName val="Staff_Forecast_spread2"/>
      <sheetName val="floor_slab-RS22"/>
      <sheetName val="General_Summary1"/>
      <sheetName val="+X_&amp;_-X_DIR_PRE1"/>
      <sheetName val="PIpe_Pushing2"/>
      <sheetName val="d-safe_specs3"/>
      <sheetName val="Break_up_Sheet1"/>
      <sheetName val="13__Steel_-_Ratio1"/>
      <sheetName val="PRECAST_lightconc-II2"/>
      <sheetName val="Labour_productivity2"/>
      <sheetName val="TASKRSRC_(2)1"/>
      <sheetName val="CABLE_DATA2"/>
      <sheetName val="INPUT_SHEET2"/>
      <sheetName val="Extra_Item1"/>
      <sheetName val="Fill_this_out_first___1"/>
      <sheetName val="Labour_&amp;_Plant1"/>
      <sheetName val="Project_Budget_Worksheet1"/>
      <sheetName val="Abstract_Sheet1"/>
      <sheetName val="Legal_Risk_Analysis1"/>
      <sheetName val="V_O_4_-_PCC_Qty1"/>
      <sheetName val="Field_Values1"/>
      <sheetName val="TBAL9697_-group_wise__sdpl1"/>
      <sheetName val="BOQ_-II_ph_21"/>
      <sheetName val="DETAIL_SHEET1"/>
      <sheetName val="organi_synthesis_lab1"/>
      <sheetName val="Fin_Sum1"/>
      <sheetName val="2_1_受電設備棟1"/>
      <sheetName val="2_2_受・防火水槽1"/>
      <sheetName val="2_3_排水処理設備棟1"/>
      <sheetName val="2_4_倉庫棟1"/>
      <sheetName val="2_5_守衛棟1"/>
      <sheetName val="PointNo_51"/>
      <sheetName val="1_01_(a)1"/>
      <sheetName val="T1037_Entire_School1"/>
      <sheetName val="RMZ_Summary1"/>
      <sheetName val="d-safe_DELUXE1"/>
      <sheetName val="Employee_List1"/>
      <sheetName val="Balance_sheet1"/>
      <sheetName val="BOQ_fire_proofing1"/>
      <sheetName val="RCC,Ret__Wall1"/>
      <sheetName val="Plant_Cost1"/>
      <sheetName val="STAFFSCHED_1"/>
      <sheetName val="PRECAST_lightconc_II1"/>
      <sheetName val="Basement_Budget1"/>
      <sheetName val="IO_LIST1"/>
      <sheetName val="PC_Master_List1"/>
      <sheetName val="ORDER_BOOKING1"/>
      <sheetName val="except_wiring1"/>
      <sheetName val="3cd_Annexure1"/>
      <sheetName val="labour_coeff1"/>
      <sheetName val="10__&amp;_11__Rate_Code_&amp;_BQ1"/>
      <sheetName val="Scope_Reconciliation1"/>
      <sheetName val="_1"/>
      <sheetName val="BOQ_(2)1"/>
      <sheetName val="Site_Dev_BOQ1"/>
      <sheetName val="Current_Bill_MB_ref1"/>
      <sheetName val="NT_LBH1"/>
      <sheetName val="Desgn(zone_I)1"/>
      <sheetName val="1st_and_4th_flight1"/>
      <sheetName val="Cover_sheet1"/>
      <sheetName val="Site_wise_NADs1"/>
      <sheetName val="Tender_Summary1"/>
      <sheetName val="Depreciation_Calc1"/>
      <sheetName val="Project_Details__1"/>
      <sheetName val="Top_Line_-_WWW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taff_Acco_1"/>
      <sheetName val="Block_A_-_BOQ1"/>
      <sheetName val="b_s_-p_l_-sch_1"/>
      <sheetName val="M_S_1"/>
      <sheetName val="Rate_analysis1"/>
      <sheetName val="Fee_Rate_Summary1"/>
      <sheetName val="@Risk_Inputs1"/>
      <sheetName val="final_abstract1"/>
      <sheetName val="BS_Schdl-_1_&amp;_21"/>
      <sheetName val="Summary_year_Plan1"/>
      <sheetName val="SC_revtrgt1"/>
      <sheetName val="PM_Action_1"/>
      <sheetName val="PE_Status1"/>
      <sheetName val="Major_Events_1"/>
      <sheetName val="Crtitical_Issues1"/>
      <sheetName val="Fault_Statistics1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Trial_Bal1"/>
      <sheetName val="Detailed_Summary_(5)1"/>
      <sheetName val="Final_Summary1"/>
      <sheetName val="sq_ftg_detail1"/>
      <sheetName val="Sheet_11"/>
      <sheetName val="Civil_Boq4"/>
      <sheetName val="SPT_vs_PHI4"/>
      <sheetName val="std_wt_4"/>
      <sheetName val="Material_4"/>
      <sheetName val="Chandrawal_-14"/>
      <sheetName val="Guide_VAT_ED_Credit4"/>
      <sheetName val="AMC_&amp;_O&amp;M4"/>
      <sheetName val="JTS_Costing4"/>
      <sheetName val="Pile_cap4"/>
      <sheetName val="BOQ_Direct_selling_cost3"/>
      <sheetName val="Staff_Forecast_spread3"/>
      <sheetName val="floor_slab-RS23"/>
      <sheetName val="General_Summary2"/>
      <sheetName val="+X_&amp;_-X_DIR_PRE2"/>
      <sheetName val="PIpe_Pushing3"/>
      <sheetName val="d-safe_specs4"/>
      <sheetName val="Break_up_Sheet2"/>
      <sheetName val="13__Steel_-_Ratio2"/>
      <sheetName val="PRECAST_lightconc-II3"/>
      <sheetName val="Labour_productivity3"/>
      <sheetName val="TASKRSRC_(2)2"/>
      <sheetName val="CABLE_DATA3"/>
      <sheetName val="INPUT_SHEET3"/>
      <sheetName val="Extra_Item2"/>
      <sheetName val="Fill_this_out_first___2"/>
      <sheetName val="Labour_&amp;_Plant2"/>
      <sheetName val="Project_Budget_Worksheet2"/>
      <sheetName val="Abstract_Sheet2"/>
      <sheetName val="Legal_Risk_Analysis2"/>
      <sheetName val="V_O_4_-_PCC_Qty2"/>
      <sheetName val="Field_Values2"/>
      <sheetName val="TBAL9697_-group_wise__sdpl2"/>
      <sheetName val="BOQ_-II_ph_22"/>
      <sheetName val="DETAIL_SHEET2"/>
      <sheetName val="organi_synthesis_lab2"/>
      <sheetName val="Fin_Sum2"/>
      <sheetName val="2_1_受電設備棟2"/>
      <sheetName val="2_2_受・防火水槽2"/>
      <sheetName val="2_3_排水処理設備棟2"/>
      <sheetName val="2_4_倉庫棟2"/>
      <sheetName val="2_5_守衛棟2"/>
      <sheetName val="PointNo_52"/>
      <sheetName val="1_01_(a)2"/>
      <sheetName val="T1037_Entire_School2"/>
      <sheetName val="RMZ_Summary2"/>
      <sheetName val="d-safe_DELUXE2"/>
      <sheetName val="Employee_List2"/>
      <sheetName val="Balance_sheet2"/>
      <sheetName val="BOQ_fire_proofing2"/>
      <sheetName val="RCC,Ret__Wall2"/>
      <sheetName val="Plant_Cost2"/>
      <sheetName val="STAFFSCHED_2"/>
      <sheetName val="PRECAST_lightconc_II2"/>
      <sheetName val="Basement_Budget2"/>
      <sheetName val="IO_LIST2"/>
      <sheetName val="PC_Master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Site_wise_NADs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Rate_analysis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Civil_Boq5"/>
      <sheetName val="SPT_vs_PHI5"/>
      <sheetName val="std_wt_5"/>
      <sheetName val="Material_5"/>
      <sheetName val="Chandrawal_-15"/>
      <sheetName val="Guide_VAT_ED_Credit5"/>
      <sheetName val="AMC_&amp;_O&amp;M5"/>
      <sheetName val="JTS_Costing5"/>
      <sheetName val="Pile_cap5"/>
      <sheetName val="BOQ_Direct_selling_cost4"/>
      <sheetName val="Staff_Forecast_spread4"/>
      <sheetName val="floor_slab-RS24"/>
      <sheetName val="General_Summary3"/>
      <sheetName val="+X_&amp;_-X_DIR_PRE3"/>
      <sheetName val="PIpe_Pushing4"/>
      <sheetName val="d-safe_specs5"/>
      <sheetName val="Break_up_Sheet3"/>
      <sheetName val="13__Steel_-_Ratio3"/>
      <sheetName val="PRECAST_lightconc-II4"/>
      <sheetName val="Labour_productivity4"/>
      <sheetName val="TASKRSRC_(2)3"/>
      <sheetName val="CABLE_DATA4"/>
      <sheetName val="INPUT_SHEET4"/>
      <sheetName val="Extra_Item3"/>
      <sheetName val="Fill_this_out_first___3"/>
      <sheetName val="Labour_&amp;_Plant3"/>
      <sheetName val="Project_Budget_Worksheet3"/>
      <sheetName val="Abstract_Sheet3"/>
      <sheetName val="Legal_Risk_Analysis3"/>
      <sheetName val="V_O_4_-_PCC_Qty3"/>
      <sheetName val="Field_Values3"/>
      <sheetName val="TBAL9697_-group_wise__sdpl3"/>
      <sheetName val="BOQ_-II_ph_23"/>
      <sheetName val="DETAIL_SHEET3"/>
      <sheetName val="organi_synthesis_lab3"/>
      <sheetName val="Fin_Sum3"/>
      <sheetName val="2_1_受電設備棟3"/>
      <sheetName val="2_2_受・防火水槽3"/>
      <sheetName val="2_3_排水処理設備棟3"/>
      <sheetName val="2_4_倉庫棟3"/>
      <sheetName val="2_5_守衛棟3"/>
      <sheetName val="PointNo_53"/>
      <sheetName val="1_01_(a)3"/>
      <sheetName val="T1037_Entire_School3"/>
      <sheetName val="RMZ_Summary3"/>
      <sheetName val="d-safe_DELUXE3"/>
      <sheetName val="Employee_List3"/>
      <sheetName val="Balance_sheet3"/>
      <sheetName val="BOQ_fire_proofing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Rate_analysis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환율"/>
      <sheetName val="Register"/>
      <sheetName val="Civil_Boq6"/>
      <sheetName val="SPT_vs_PHI6"/>
      <sheetName val="std_wt_6"/>
      <sheetName val="Material_6"/>
      <sheetName val="Chandrawal_-16"/>
      <sheetName val="Guide_VAT_ED_Credit6"/>
      <sheetName val="AMC_&amp;_O&amp;M6"/>
      <sheetName val="JTS_Costing6"/>
      <sheetName val="Pile_cap6"/>
      <sheetName val="BOQ_Direct_selling_cost5"/>
      <sheetName val="Staff_Forecast_spread5"/>
      <sheetName val="floor_slab-RS25"/>
      <sheetName val="General_Summary4"/>
      <sheetName val="+X_&amp;_-X_DIR_PRE4"/>
      <sheetName val="PIpe_Pushing5"/>
      <sheetName val="d-safe_specs6"/>
      <sheetName val="Break_up_Sheet4"/>
      <sheetName val="13__Steel_-_Ratio4"/>
      <sheetName val="PRECAST_lightconc-II5"/>
      <sheetName val="Labour_productivity5"/>
      <sheetName val="TASKRSRC_(2)4"/>
      <sheetName val="CABLE_DATA5"/>
      <sheetName val="INPUT_SHEET5"/>
      <sheetName val="Extra_Item4"/>
      <sheetName val="Fill_this_out_first___4"/>
      <sheetName val="Labour_&amp;_Plant4"/>
      <sheetName val="Project_Budget_Worksheet4"/>
      <sheetName val="Abstract_Sheet4"/>
      <sheetName val="Legal_Risk_Analysis4"/>
      <sheetName val="V_O_4_-_PCC_Qty4"/>
      <sheetName val="Field_Values4"/>
      <sheetName val="TBAL9697_-group_wise__sdpl4"/>
      <sheetName val="BOQ_-II_ph_24"/>
      <sheetName val="DETAIL_SHEET4"/>
      <sheetName val="organi_synthesis_lab4"/>
      <sheetName val="Fin_Sum4"/>
      <sheetName val="2_1_受電設備棟4"/>
      <sheetName val="2_2_受・防火水槽4"/>
      <sheetName val="2_3_排水処理設備棟4"/>
      <sheetName val="2_4_倉庫棟4"/>
      <sheetName val="2_5_守衛棟4"/>
      <sheetName val="PointNo_54"/>
      <sheetName val="1_01_(a)4"/>
      <sheetName val="T1037_Entire_School4"/>
      <sheetName val="RMZ_Summary4"/>
      <sheetName val="d-safe_DELUXE4"/>
      <sheetName val="Employee_List4"/>
      <sheetName val="Balance_sheet4"/>
      <sheetName val="BOQ_fire_proofing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Rate_analysis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M_R_List_(2)"/>
      <sheetName val="Final_Bill_of_Material"/>
      <sheetName val="Civil_Boq7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General_Summary5"/>
      <sheetName val="+X_&amp;_-X_DIR_PRE5"/>
      <sheetName val="PIpe_Pushing6"/>
      <sheetName val="d-safe_specs7"/>
      <sheetName val="Break_up_Sheet5"/>
      <sheetName val="13__Steel_-_Ratio5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Abstract_Sheet5"/>
      <sheetName val="Legal_Risk_Analysis5"/>
      <sheetName val="V_O_4_-_PCC_Qty5"/>
      <sheetName val="Field_Values5"/>
      <sheetName val="TBAL9697_-group_wise__sdpl5"/>
      <sheetName val="BOQ_-II_ph_25"/>
      <sheetName val="DETAIL_SHEET5"/>
      <sheetName val="organi_synthesis_lab5"/>
      <sheetName val="Fin_Sum5"/>
      <sheetName val="2_1_受電設備棟5"/>
      <sheetName val="2_2_受・防火水槽5"/>
      <sheetName val="2_3_排水処理設備棟5"/>
      <sheetName val="2_4_倉庫棟5"/>
      <sheetName val="2_5_守衛棟5"/>
      <sheetName val="PointNo_55"/>
      <sheetName val="1_01_(a)5"/>
      <sheetName val="T1037_Entire_School5"/>
      <sheetName val="RMZ_Summary5"/>
      <sheetName val="d-safe_DELUXE5"/>
      <sheetName val="Employee_List5"/>
      <sheetName val="Balance_sheet5"/>
      <sheetName val="BOQ_fire_proofing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Rate_analysis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OVER HEADS"/>
      <sheetName val="Summary 0506"/>
      <sheetName val="Summary 0607- 31.MAR"/>
      <sheetName val="Abstract"/>
      <sheetName val="Performance Report"/>
      <sheetName val="Generic Sum"/>
      <sheetName val="Equpt"/>
      <sheetName val="civil"/>
      <sheetName val="Cd"/>
      <sheetName val="Cs"/>
      <sheetName val="CPIPE"/>
      <sheetName val="CPIPE 1"/>
      <sheetName val="KH-Q1,Q2,01"/>
      <sheetName val="PurchGroup"/>
      <sheetName val="Rob. elektr."/>
      <sheetName val="COMP WALL"/>
      <sheetName val="SSR _ NSSR Market final"/>
      <sheetName val="RANGE"/>
      <sheetName val="Pay Rec"/>
      <sheetName val="Certificate"/>
      <sheetName val="Advice"/>
      <sheetName val="Int(Ho con &amp; LH)"/>
      <sheetName val="syndicate codes"/>
      <sheetName val="LTG-STG"/>
      <sheetName val="calcul"/>
      <sheetName val="Variables"/>
      <sheetName val="UNIT WT LIST"/>
      <sheetName val="Sheet7"/>
      <sheetName val="horizontal"/>
      <sheetName val="SALIENT"/>
      <sheetName val="CASH-FLOW"/>
      <sheetName val="ABB"/>
      <sheetName val="Tie Beams "/>
      <sheetName val="Builtup Area"/>
      <sheetName val="Linked Lead"/>
      <sheetName val="Lead (Final)"/>
      <sheetName val="Formulas"/>
      <sheetName val="R.A"/>
      <sheetName val="Indices"/>
      <sheetName val="Rising Main"/>
      <sheetName val="SILICATE"/>
      <sheetName val="Form 6"/>
      <sheetName val="parametry"/>
      <sheetName val="office"/>
      <sheetName val="Lab"/>
      <sheetName val="Material&amp;equipment"/>
      <sheetName val="Control"/>
      <sheetName val="Headings"/>
      <sheetName val="FITZ MORT 94"/>
      <sheetName val="S0"/>
      <sheetName val="seT"/>
      <sheetName val="Basis"/>
      <sheetName val="Rev. 00 - 20.07.04"/>
      <sheetName val="Labor abs-NMR"/>
      <sheetName val="rev_01"/>
      <sheetName val="Global_factors"/>
      <sheetName val="R_A"/>
      <sheetName val="Rate An"/>
      <sheetName val="A"/>
      <sheetName val="INTSHEET"/>
      <sheetName val="INTSHEET3"/>
      <sheetName val="strand"/>
      <sheetName val="Corbel"/>
      <sheetName val="CIF COST ITEM"/>
      <sheetName val="Measur"/>
      <sheetName val="30-3"/>
      <sheetName val="Back_Cal_for OMC"/>
      <sheetName val="schedule nos"/>
      <sheetName val="Model"/>
      <sheetName val="Basic Rates"/>
      <sheetName val="sum-all"/>
      <sheetName val="Direct cost shed A-2 "/>
      <sheetName val="Legend"/>
      <sheetName val="WP Financial Summary"/>
      <sheetName val="BACKUP DATA"/>
      <sheetName val="Index"/>
      <sheetName val="upa"/>
      <sheetName val="intr stool brkup"/>
      <sheetName val="vb 9&amp;10"/>
      <sheetName val="#REF"/>
      <sheetName val="Sanitary_BOQ"/>
      <sheetName val="SSR &amp; NSSR Market final"/>
      <sheetName val="MA"/>
      <sheetName val="PCS DATA"/>
      <sheetName val="gen"/>
      <sheetName val="GM &amp; TA"/>
      <sheetName val="Working"/>
      <sheetName val="Mktg"/>
      <sheetName val="concrete"/>
      <sheetName val="Story Drift-Part 2"/>
      <sheetName val="Rates"/>
      <sheetName val="INV"/>
      <sheetName val="DB_ET200(R. A)"/>
      <sheetName val="SIZING"/>
      <sheetName val="Testing"/>
      <sheetName val="손익현황"/>
      <sheetName val="현황CODE"/>
      <sheetName val="SP&amp;ST 제출가"/>
      <sheetName val="石炭性状"/>
      <sheetName val="가격분석@1100(990104)"/>
      <sheetName val="Escalation"/>
      <sheetName val="NCCALC11"/>
      <sheetName val="공정율 기초 Data"/>
      <sheetName val="제출계산서"/>
      <sheetName val="공사내역"/>
      <sheetName val=" Pricing_110512.xlsx"/>
      <sheetName val="당초"/>
      <sheetName val="BQ"/>
      <sheetName val="POWER"/>
      <sheetName val="Sheet1 (2)"/>
      <sheetName val="cul-invSUBMITTED"/>
      <sheetName val="PEDESB"/>
      <sheetName val="Civil_Boq14"/>
      <sheetName val="SPT_vs_PHI14"/>
      <sheetName val="Chandrawal_-114"/>
      <sheetName val="Guide_VAT_ED_Credit14"/>
      <sheetName val="AMC_&amp;_O&amp;M14"/>
      <sheetName val="JTS_Costing14"/>
      <sheetName val="Break_up_Sheet12"/>
      <sheetName val="std_wt_14"/>
      <sheetName val="Material_14"/>
      <sheetName val="floor_slab-RS213"/>
      <sheetName val="Pile_cap14"/>
      <sheetName val="Abstract_Sheet12"/>
      <sheetName val="Legal_Risk_Analysis12"/>
      <sheetName val="BOQ_Direct_selling_cost13"/>
      <sheetName val="Staff_Forecast_spread13"/>
      <sheetName val="PIpe_Pushing13"/>
      <sheetName val="d-safe_specs14"/>
      <sheetName val="General_Summary12"/>
      <sheetName val="+X_&amp;_-X_DIR_PRE12"/>
      <sheetName val="PRECAST_lightconc-II13"/>
      <sheetName val="13__Steel_-_Ratio12"/>
      <sheetName val="Labour_productivity13"/>
      <sheetName val="CABLE_DATA13"/>
      <sheetName val="INPUT_SHEET13"/>
      <sheetName val="Extra_Item12"/>
      <sheetName val="Fill_this_out_first___12"/>
      <sheetName val="Labour_&amp;_Plant12"/>
      <sheetName val="Project_Budget_Worksheet12"/>
      <sheetName val="TASKRSRC_(2)12"/>
      <sheetName val="V_O_4_-_PCC_Qty12"/>
      <sheetName val="TBAL9697_-group_wise__sdpl12"/>
      <sheetName val="Field_Values12"/>
      <sheetName val="organi_synthesis_lab12"/>
      <sheetName val="Fin_Sum12"/>
      <sheetName val="BOQ_-II_ph_212"/>
      <sheetName val="2_1_受電設備棟12"/>
      <sheetName val="2_2_受・防火水槽12"/>
      <sheetName val="2_3_排水処理設備棟12"/>
      <sheetName val="2_4_倉庫棟12"/>
      <sheetName val="2_5_守衛棟12"/>
      <sheetName val="d-safe_DELUXE12"/>
      <sheetName val="DETAIL_SHEET12"/>
      <sheetName val="PointNo_512"/>
      <sheetName val="1_01_(a)12"/>
      <sheetName val="T1037_Entire_School12"/>
      <sheetName val="RMZ_Summary12"/>
      <sheetName val="Balance_sheet12"/>
      <sheetName val="Employee_List12"/>
      <sheetName val="RCC,Ret__Wall12"/>
      <sheetName val="BOQ_fire_proofing12"/>
      <sheetName val="STAFFSCHED_12"/>
      <sheetName val="PRECAST_lightconc_II12"/>
      <sheetName val="Basement_Budget12"/>
      <sheetName val="IO_LIST12"/>
      <sheetName val="Plant_Cost12"/>
      <sheetName val="PC_Master_List12"/>
      <sheetName val="_12"/>
      <sheetName val="BOQ_(2)12"/>
      <sheetName val="Site_Dev_BOQ12"/>
      <sheetName val="ORDER_BOOKING12"/>
      <sheetName val="except_wiring12"/>
      <sheetName val="3cd_Annexure12"/>
      <sheetName val="labour_coeff12"/>
      <sheetName val="10__&amp;_11__Rate_Code_&amp;_BQ12"/>
      <sheetName val="Scope_Reconciliation12"/>
      <sheetName val="NT_LBH12"/>
      <sheetName val="Current_Bill_MB_ref12"/>
      <sheetName val="Desgn(zone_I)12"/>
      <sheetName val="1st_and_4th_flight12"/>
      <sheetName val="Cover_sheet12"/>
      <sheetName val="Site_wise_NADs12"/>
      <sheetName val="@Risk_Inputs12"/>
      <sheetName val="Depreciation_Calc12"/>
      <sheetName val="b_s_-p_l_-sch_12"/>
      <sheetName val="Tender_Summary12"/>
      <sheetName val="Project_Details__12"/>
      <sheetName val="Top_Line_-_WWW12"/>
      <sheetName val="Activity_Costing_Breakup12"/>
      <sheetName val="Unit_Rate(CIS)12"/>
      <sheetName val="Conc_Analysis12"/>
      <sheetName val="Basic_12"/>
      <sheetName val="Back-UP_IRA_(CIS)12"/>
      <sheetName val="Precast_IRA12"/>
      <sheetName val="Precast_IRA_Backup12"/>
      <sheetName val="Precast_RA12"/>
      <sheetName val="M_S_12"/>
      <sheetName val="Summary_year_Plan12"/>
      <sheetName val="Staff_Acco_12"/>
      <sheetName val="BOQ_12"/>
      <sheetName val="Fee_Rate_Summary12"/>
      <sheetName val="Rate_analysis12"/>
      <sheetName val="BOQ_Distribution12"/>
      <sheetName val="Risk_&amp;_Opportunities12"/>
      <sheetName val="Block_A_-_BOQ12"/>
      <sheetName val="CFForecast_detail12"/>
      <sheetName val="E_&amp;_R12"/>
      <sheetName val="Approved_MTD_Proj_#'s6"/>
      <sheetName val="final_abstract12"/>
      <sheetName val="SC_revtrgt12"/>
      <sheetName val="BS_Schdl-_1_&amp;_212"/>
      <sheetName val="_WORKING6"/>
      <sheetName val="Mat_&amp;_Lab_Rate12"/>
      <sheetName val="PM_Action_12"/>
      <sheetName val="PE_Status12"/>
      <sheetName val="Major_Events_12"/>
      <sheetName val="Crtitical_Issues12"/>
      <sheetName val="Fault_Statistics12"/>
      <sheetName val="Ageing_Pending__CLeared12"/>
      <sheetName val="Fault_Cleared_After_24Hrs12"/>
      <sheetName val="Intro_12"/>
      <sheetName val="Section_Catalogue8"/>
      <sheetName val="Trial_Bal12"/>
      <sheetName val="Cashflow_projection6"/>
      <sheetName val="Detailed_Summary_(5)12"/>
      <sheetName val="Final_Summary12"/>
      <sheetName val="Sub-str_6"/>
      <sheetName val="Sheet_112"/>
      <sheetName val="Variation_Statement6"/>
      <sheetName val="Abstract_-_Single_Line8"/>
      <sheetName val="sq_ftg_detail12"/>
      <sheetName val="Material_Rate5"/>
      <sheetName val="rev_016"/>
      <sheetName val="M_R_List_(2)8"/>
      <sheetName val="Global_factors6"/>
      <sheetName val="Basic_Resources5"/>
      <sheetName val="Final_Bill_of_Material8"/>
      <sheetName val="Column_Bracket5"/>
      <sheetName val="Sqn_Abs__G_15"/>
      <sheetName val="Inter_unit_set_off5"/>
      <sheetName val="Equip_Codes5"/>
      <sheetName val="India_F&amp;S_Template5"/>
      <sheetName val="9__Package_split_-_Cost_5"/>
      <sheetName val="Summary_05065"/>
      <sheetName val="Civil_Boq12"/>
      <sheetName val="SPT_vs_PHI12"/>
      <sheetName val="Chandrawal_-112"/>
      <sheetName val="Guide_VAT_ED_Credit12"/>
      <sheetName val="AMC_&amp;_O&amp;M12"/>
      <sheetName val="JTS_Costing12"/>
      <sheetName val="Break_up_Sheet10"/>
      <sheetName val="std_wt_12"/>
      <sheetName val="Material_12"/>
      <sheetName val="floor_slab-RS211"/>
      <sheetName val="Pile_cap12"/>
      <sheetName val="Abstract_Sheet10"/>
      <sheetName val="Legal_Risk_Analysis10"/>
      <sheetName val="BOQ_Direct_selling_cost11"/>
      <sheetName val="Staff_Forecast_spread11"/>
      <sheetName val="PIpe_Pushing11"/>
      <sheetName val="d-safe_specs12"/>
      <sheetName val="General_Summary10"/>
      <sheetName val="+X_&amp;_-X_DIR_PRE10"/>
      <sheetName val="PRECAST_lightconc-II11"/>
      <sheetName val="13__Steel_-_Ratio10"/>
      <sheetName val="Labour_productivity11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TASKRSRC_(2)10"/>
      <sheetName val="V_O_4_-_PCC_Qty10"/>
      <sheetName val="TBAL9697_-group_wise__sdpl10"/>
      <sheetName val="Field_Values10"/>
      <sheetName val="organi_synthesis_lab10"/>
      <sheetName val="Fin_Sum10"/>
      <sheetName val="BOQ_-II_ph_210"/>
      <sheetName val="2_1_受電設備棟10"/>
      <sheetName val="2_2_受・防火水槽10"/>
      <sheetName val="2_3_排水処理設備棟10"/>
      <sheetName val="2_4_倉庫棟10"/>
      <sheetName val="2_5_守衛棟10"/>
      <sheetName val="d-safe_DELUXE10"/>
      <sheetName val="DETAIL_SHEET10"/>
      <sheetName val="PointNo_510"/>
      <sheetName val="1_01_(a)10"/>
      <sheetName val="T1037_Entire_School10"/>
      <sheetName val="RMZ_Summary10"/>
      <sheetName val="Balance_sheet10"/>
      <sheetName val="Employee_List10"/>
      <sheetName val="RCC,Ret__Wall10"/>
      <sheetName val="BOQ_fire_proofing10"/>
      <sheetName val="STAFFSCHED_10"/>
      <sheetName val="PRECAST_lightconc_II10"/>
      <sheetName val="Basement_Budget10"/>
      <sheetName val="IO_LIST10"/>
      <sheetName val="Plant_Cost10"/>
      <sheetName val="PC_Master_List10"/>
      <sheetName val="ORDER_BOOKING10"/>
      <sheetName val="except_wiring10"/>
      <sheetName val="3cd_Annexure10"/>
      <sheetName val="_10"/>
      <sheetName val="BOQ_(2)10"/>
      <sheetName val="Site_Dev_BOQ10"/>
      <sheetName val="labour_coeff10"/>
      <sheetName val="10__&amp;_11__Rate_Code_&amp;_BQ10"/>
      <sheetName val="Scope_Reconciliation10"/>
      <sheetName val="Current_Bill_MB_ref10"/>
      <sheetName val="NT_LBH10"/>
      <sheetName val="Desgn(zone_I)10"/>
      <sheetName val="1st_and_4th_flight10"/>
      <sheetName val="Cover_sheet10"/>
      <sheetName val="Site_wise_NADs10"/>
      <sheetName val="@Risk_Inputs10"/>
      <sheetName val="Depreciation_Calc10"/>
      <sheetName val="b_s_-p_l_-sch_10"/>
      <sheetName val="Tender_Summary10"/>
      <sheetName val="Project_Details__10"/>
      <sheetName val="Top_Line_-_WWW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M_S_10"/>
      <sheetName val="Summary_year_Plan10"/>
      <sheetName val="Staff_Acco_10"/>
      <sheetName val="BOQ_10"/>
      <sheetName val="Fee_Rate_Summary10"/>
      <sheetName val="Rate_analysis10"/>
      <sheetName val="BOQ_Distribution10"/>
      <sheetName val="Risk_&amp;_Opportunities10"/>
      <sheetName val="Block_A_-_BOQ10"/>
      <sheetName val="CFForecast_detail10"/>
      <sheetName val="E_&amp;_R10"/>
      <sheetName val="Approved_MTD_Proj_#'s4"/>
      <sheetName val="final_abstract10"/>
      <sheetName val="SC_revtrgt10"/>
      <sheetName val="BS_Schdl-_1_&amp;_210"/>
      <sheetName val="_WORKING4"/>
      <sheetName val="Mat_&amp;_Lab_Rate10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Intro_10"/>
      <sheetName val="Section_Catalogue6"/>
      <sheetName val="Trial_Bal10"/>
      <sheetName val="Cashflow_projection4"/>
      <sheetName val="Detailed_Summary_(5)10"/>
      <sheetName val="Final_Summary10"/>
      <sheetName val="Sub-str_4"/>
      <sheetName val="Sheet_110"/>
      <sheetName val="Variation_Statement4"/>
      <sheetName val="Abstract_-_Single_Line6"/>
      <sheetName val="sq_ftg_detail10"/>
      <sheetName val="Material_Rate3"/>
      <sheetName val="rev_014"/>
      <sheetName val="M_R_List_(2)6"/>
      <sheetName val="Global_factors4"/>
      <sheetName val="Basic_Resources3"/>
      <sheetName val="Final_Bill_of_Material6"/>
      <sheetName val="Column_Bracket3"/>
      <sheetName val="Sqn_Abs__G_13"/>
      <sheetName val="Inter_unit_set_off3"/>
      <sheetName val="Equip_Codes3"/>
      <sheetName val="India_F&amp;S_Template3"/>
      <sheetName val="9__Package_split_-_Cost_3"/>
      <sheetName val="OVER_HEADS3"/>
      <sheetName val="Summary_05063"/>
      <sheetName val="Summary_0607-_31_MAR3"/>
      <sheetName val="Civil_Boq11"/>
      <sheetName val="SPT_vs_PHI11"/>
      <sheetName val="Chandrawal_-111"/>
      <sheetName val="Guide_VAT_ED_Credit11"/>
      <sheetName val="AMC_&amp;_O&amp;M11"/>
      <sheetName val="JTS_Costing11"/>
      <sheetName val="Break_up_Sheet9"/>
      <sheetName val="std_wt_11"/>
      <sheetName val="Material_11"/>
      <sheetName val="floor_slab-RS210"/>
      <sheetName val="Pile_cap11"/>
      <sheetName val="Abstract_Sheet9"/>
      <sheetName val="Legal_Risk_Analysis9"/>
      <sheetName val="BOQ_Direct_selling_cost10"/>
      <sheetName val="Staff_Forecast_spread10"/>
      <sheetName val="PIpe_Pushing10"/>
      <sheetName val="d-safe_specs11"/>
      <sheetName val="General_Summary9"/>
      <sheetName val="+X_&amp;_-X_DIR_PRE9"/>
      <sheetName val="PRECAST_lightconc-II10"/>
      <sheetName val="13__Steel_-_Ratio9"/>
      <sheetName val="Labour_productivity10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TASKRSRC_(2)9"/>
      <sheetName val="V_O_4_-_PCC_Qty9"/>
      <sheetName val="TBAL9697_-group_wise__sdpl9"/>
      <sheetName val="Field_Values9"/>
      <sheetName val="organi_synthesis_lab9"/>
      <sheetName val="Fin_Sum9"/>
      <sheetName val="BOQ_-II_ph_29"/>
      <sheetName val="2_1_受電設備棟9"/>
      <sheetName val="2_2_受・防火水槽9"/>
      <sheetName val="2_3_排水処理設備棟9"/>
      <sheetName val="2_4_倉庫棟9"/>
      <sheetName val="2_5_守衛棟9"/>
      <sheetName val="d-safe_DELUXE9"/>
      <sheetName val="DETAIL_SHEET9"/>
      <sheetName val="PointNo_59"/>
      <sheetName val="1_01_(a)9"/>
      <sheetName val="T1037_Entire_School9"/>
      <sheetName val="RMZ_Summary9"/>
      <sheetName val="Balance_sheet9"/>
      <sheetName val="Employee_List9"/>
      <sheetName val="RCC,Ret__Wall9"/>
      <sheetName val="BOQ_fire_proofing9"/>
      <sheetName val="STAFFSCHED_9"/>
      <sheetName val="PRECAST_lightconc_II9"/>
      <sheetName val="Basement_Budget9"/>
      <sheetName val="IO_LIST9"/>
      <sheetName val="Plant_Cost9"/>
      <sheetName val="PC_Master_List9"/>
      <sheetName val="ORDER_BOOKING9"/>
      <sheetName val="except_wiring9"/>
      <sheetName val="3cd_Annexure9"/>
      <sheetName val="_9"/>
      <sheetName val="BOQ_(2)9"/>
      <sheetName val="Site_Dev_BOQ9"/>
      <sheetName val="labour_coeff9"/>
      <sheetName val="10__&amp;_11__Rate_Code_&amp;_BQ9"/>
      <sheetName val="Scope_Reconciliation9"/>
      <sheetName val="Current_Bill_MB_ref9"/>
      <sheetName val="NT_LBH9"/>
      <sheetName val="Desgn(zone_I)9"/>
      <sheetName val="1st_and_4th_flight9"/>
      <sheetName val="Cover_sheet9"/>
      <sheetName val="Site_wise_NADs9"/>
      <sheetName val="@Risk_Inputs9"/>
      <sheetName val="Depreciation_Calc9"/>
      <sheetName val="b_s_-p_l_-sch_9"/>
      <sheetName val="Tender_Summary9"/>
      <sheetName val="Project_Details__9"/>
      <sheetName val="Top_Line_-_WWW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M_S_9"/>
      <sheetName val="Summary_year_Plan9"/>
      <sheetName val="Staff_Acco_9"/>
      <sheetName val="BOQ_9"/>
      <sheetName val="Fee_Rate_Summary9"/>
      <sheetName val="Rate_analysis9"/>
      <sheetName val="BOQ_Distribution9"/>
      <sheetName val="Risk_&amp;_Opportunities9"/>
      <sheetName val="Block_A_-_BOQ9"/>
      <sheetName val="CFForecast_detail9"/>
      <sheetName val="E_&amp;_R9"/>
      <sheetName val="Approved_MTD_Proj_#'s3"/>
      <sheetName val="final_abstract9"/>
      <sheetName val="SC_revtrgt9"/>
      <sheetName val="BS_Schdl-_1_&amp;_29"/>
      <sheetName val="_WORKING3"/>
      <sheetName val="Mat_&amp;_Lab_Rate9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Intro_9"/>
      <sheetName val="Section_Catalogue5"/>
      <sheetName val="Trial_Bal9"/>
      <sheetName val="Cashflow_projection3"/>
      <sheetName val="Detailed_Summary_(5)9"/>
      <sheetName val="Final_Summary9"/>
      <sheetName val="Sub-str_3"/>
      <sheetName val="Sheet_19"/>
      <sheetName val="Variation_Statement3"/>
      <sheetName val="Abstract_-_Single_Line5"/>
      <sheetName val="sq_ftg_detail9"/>
      <sheetName val="Material_Rate2"/>
      <sheetName val="rev_013"/>
      <sheetName val="M_R_List_(2)5"/>
      <sheetName val="Global_factors3"/>
      <sheetName val="Basic_Resources2"/>
      <sheetName val="Final_Bill_of_Material5"/>
      <sheetName val="Column_Bracket2"/>
      <sheetName val="Sqn_Abs__G_12"/>
      <sheetName val="Inter_unit_set_off2"/>
      <sheetName val="Equip_Codes2"/>
      <sheetName val="India_F&amp;S_Template2"/>
      <sheetName val="9__Package_split_-_Cost_2"/>
      <sheetName val="Summary_05062"/>
      <sheetName val="Civil_Boq9"/>
      <sheetName val="SPT_vs_PHI9"/>
      <sheetName val="Chandrawal_-19"/>
      <sheetName val="Guide_VAT_ED_Credit9"/>
      <sheetName val="AMC_&amp;_O&amp;M9"/>
      <sheetName val="JTS_Costing9"/>
      <sheetName val="Break_up_Sheet7"/>
      <sheetName val="std_wt_9"/>
      <sheetName val="Material_9"/>
      <sheetName val="floor_slab-RS28"/>
      <sheetName val="Pile_cap9"/>
      <sheetName val="Abstract_Sheet7"/>
      <sheetName val="Legal_Risk_Analysis7"/>
      <sheetName val="BOQ_Direct_selling_cost8"/>
      <sheetName val="Staff_Forecast_spread8"/>
      <sheetName val="PIpe_Pushing8"/>
      <sheetName val="d-safe_specs9"/>
      <sheetName val="General_Summary7"/>
      <sheetName val="+X_&amp;_-X_DIR_PRE7"/>
      <sheetName val="PRECAST_lightconc-II8"/>
      <sheetName val="13__Steel_-_Ratio7"/>
      <sheetName val="Labour_productivity8"/>
      <sheetName val="CABLE_DATA8"/>
      <sheetName val="INPUT_SHEET8"/>
      <sheetName val="Extra_Item7"/>
      <sheetName val="Fill_this_out_first___7"/>
      <sheetName val="Labour_&amp;_Plant7"/>
      <sheetName val="Project_Budget_Worksheet7"/>
      <sheetName val="TASKRSRC_(2)7"/>
      <sheetName val="V_O_4_-_PCC_Qty7"/>
      <sheetName val="TBAL9697_-group_wise__sdpl7"/>
      <sheetName val="Field_Values7"/>
      <sheetName val="organi_synthesis_lab7"/>
      <sheetName val="Fin_Sum7"/>
      <sheetName val="BOQ_-II_ph_27"/>
      <sheetName val="2_1_受電設備棟7"/>
      <sheetName val="2_2_受・防火水槽7"/>
      <sheetName val="2_3_排水処理設備棟7"/>
      <sheetName val="2_4_倉庫棟7"/>
      <sheetName val="2_5_守衛棟7"/>
      <sheetName val="d-safe_DELUXE7"/>
      <sheetName val="DETAIL_SHEET7"/>
      <sheetName val="PointNo_57"/>
      <sheetName val="1_01_(a)7"/>
      <sheetName val="T1037_Entire_School7"/>
      <sheetName val="RMZ_Summary7"/>
      <sheetName val="Balance_sheet7"/>
      <sheetName val="Employee_List7"/>
      <sheetName val="RCC,Ret__Wall7"/>
      <sheetName val="BOQ_fire_proofing7"/>
      <sheetName val="STAFFSCHED_7"/>
      <sheetName val="PRECAST_lightconc_II7"/>
      <sheetName val="Basement_Budget7"/>
      <sheetName val="IO_LIST7"/>
      <sheetName val="Plant_Cost7"/>
      <sheetName val="PC_Master_List7"/>
      <sheetName val="ORDER_BOOKING7"/>
      <sheetName val="except_wiring7"/>
      <sheetName val="3cd_Annexure7"/>
      <sheetName val="_7"/>
      <sheetName val="BOQ_(2)7"/>
      <sheetName val="Site_Dev_BOQ7"/>
      <sheetName val="labour_coeff7"/>
      <sheetName val="10__&amp;_11__Rate_Code_&amp;_BQ7"/>
      <sheetName val="Scope_Reconciliation7"/>
      <sheetName val="Current_Bill_MB_ref7"/>
      <sheetName val="NT_LBH7"/>
      <sheetName val="Desgn(zone_I)7"/>
      <sheetName val="1st_and_4th_flight7"/>
      <sheetName val="Cover_sheet7"/>
      <sheetName val="Site_wise_NADs7"/>
      <sheetName val="@Risk_Inputs7"/>
      <sheetName val="Depreciation_Calc7"/>
      <sheetName val="b_s_-p_l_-sch_7"/>
      <sheetName val="Tender_Summary7"/>
      <sheetName val="Project_Details__7"/>
      <sheetName val="Top_Line_-_WWW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M_S_7"/>
      <sheetName val="Summary_year_Plan7"/>
      <sheetName val="Staff_Acco_7"/>
      <sheetName val="BOQ_7"/>
      <sheetName val="Fee_Rate_Summary7"/>
      <sheetName val="Rate_analysis7"/>
      <sheetName val="BOQ_Distribution7"/>
      <sheetName val="Risk_&amp;_Opportunities7"/>
      <sheetName val="Block_A_-_BOQ7"/>
      <sheetName val="CFForecast_detail7"/>
      <sheetName val="E_&amp;_R7"/>
      <sheetName val="Approved_MTD_Proj_#'s1"/>
      <sheetName val="final_abstract7"/>
      <sheetName val="SC_revtrgt7"/>
      <sheetName val="BS_Schdl-_1_&amp;_27"/>
      <sheetName val="_WORKING1"/>
      <sheetName val="Mat_&amp;_Lab_Rate7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Intro_7"/>
      <sheetName val="Section_Catalogue3"/>
      <sheetName val="Trial_Bal7"/>
      <sheetName val="Cashflow_projection1"/>
      <sheetName val="Detailed_Summary_(5)7"/>
      <sheetName val="Final_Summary7"/>
      <sheetName val="Sub-str_1"/>
      <sheetName val="Sheet_17"/>
      <sheetName val="Variation_Statement1"/>
      <sheetName val="Abstract_-_Single_Line3"/>
      <sheetName val="sq_ftg_detail7"/>
      <sheetName val="Material_Rate"/>
      <sheetName val="rev_011"/>
      <sheetName val="M_R_List_(2)3"/>
      <sheetName val="Global_factors1"/>
      <sheetName val="Basic_Resources"/>
      <sheetName val="Final_Bill_of_Material3"/>
      <sheetName val="Column_Bracket"/>
      <sheetName val="Sqn_Abs__G_1"/>
      <sheetName val="Inter_unit_set_off"/>
      <sheetName val="Equip_Codes"/>
      <sheetName val="India_F&amp;S_Template"/>
      <sheetName val="9__Package_split_-_Cost_"/>
      <sheetName val="Summary_0506"/>
      <sheetName val="OVER_HEADS"/>
      <sheetName val="Summary_0607-_31_MAR"/>
      <sheetName val="Performance_Report"/>
      <sheetName val="Generic_Sum"/>
      <sheetName val="CPIPE_1"/>
      <sheetName val="Rob__elektr_"/>
      <sheetName val="COMP_WALL"/>
      <sheetName val="SSR___NSSR_Market_final"/>
      <sheetName val="Pay_Rec"/>
      <sheetName val="Int(Ho_con_&amp;_LH)"/>
      <sheetName val="syndicate_codes"/>
      <sheetName val="UNIT_WT_LIST"/>
      <sheetName val="Tie_Beams_"/>
      <sheetName val="Builtup_Area"/>
      <sheetName val="Linked_Lead"/>
      <sheetName val="Lead_(Final)"/>
      <sheetName val="R_A1"/>
      <sheetName val="Rising_Main"/>
      <sheetName val="Form_6"/>
      <sheetName val="FITZ_MORT_94"/>
      <sheetName val="Rev__00_-_20_07_04"/>
      <sheetName val="Labor_abs-NMR"/>
      <sheetName val="Rate_An"/>
      <sheetName val="intr_stool_brkup"/>
      <sheetName val="vb_9&amp;10"/>
      <sheetName val="CIF_COST_ITEM"/>
      <sheetName val="schedule_nos"/>
      <sheetName val="Back_Cal_for_OMC"/>
      <sheetName val="Basic_Rates"/>
      <sheetName val="Direct_cost_shed_A-2_"/>
      <sheetName val="WP_Financial_Summary"/>
      <sheetName val="BACKUP_DATA"/>
      <sheetName val="Civil_Boq10"/>
      <sheetName val="SPT_vs_PHI10"/>
      <sheetName val="Chandrawal_-110"/>
      <sheetName val="Guide_VAT_ED_Credit10"/>
      <sheetName val="AMC_&amp;_O&amp;M10"/>
      <sheetName val="JTS_Costing10"/>
      <sheetName val="Break_up_Sheet8"/>
      <sheetName val="std_wt_10"/>
      <sheetName val="Material_10"/>
      <sheetName val="floor_slab-RS29"/>
      <sheetName val="Pile_cap10"/>
      <sheetName val="Abstract_Sheet8"/>
      <sheetName val="Legal_Risk_Analysis8"/>
      <sheetName val="BOQ_Direct_selling_cost9"/>
      <sheetName val="Staff_Forecast_spread9"/>
      <sheetName val="PIpe_Pushing9"/>
      <sheetName val="d-safe_specs10"/>
      <sheetName val="General_Summary8"/>
      <sheetName val="+X_&amp;_-X_DIR_PRE8"/>
      <sheetName val="PRECAST_lightconc-II9"/>
      <sheetName val="13__Steel_-_Ratio8"/>
      <sheetName val="Labour_productivity9"/>
      <sheetName val="CABLE_DATA9"/>
      <sheetName val="INPUT_SHEET9"/>
      <sheetName val="Extra_Item8"/>
      <sheetName val="Fill_this_out_first___8"/>
      <sheetName val="Labour_&amp;_Plant8"/>
      <sheetName val="Project_Budget_Worksheet8"/>
      <sheetName val="TASKRSRC_(2)8"/>
      <sheetName val="V_O_4_-_PCC_Qty8"/>
      <sheetName val="TBAL9697_-group_wise__sdpl8"/>
      <sheetName val="Field_Values8"/>
      <sheetName val="organi_synthesis_lab8"/>
      <sheetName val="Fin_Sum8"/>
      <sheetName val="BOQ_-II_ph_28"/>
      <sheetName val="2_1_受電設備棟8"/>
      <sheetName val="2_2_受・防火水槽8"/>
      <sheetName val="2_3_排水処理設備棟8"/>
      <sheetName val="2_4_倉庫棟8"/>
      <sheetName val="2_5_守衛棟8"/>
      <sheetName val="d-safe_DELUXE8"/>
      <sheetName val="DETAIL_SHEET8"/>
      <sheetName val="PointNo_58"/>
      <sheetName val="1_01_(a)8"/>
      <sheetName val="T1037_Entire_School8"/>
      <sheetName val="RMZ_Summary8"/>
      <sheetName val="Balance_sheet8"/>
      <sheetName val="Employee_List8"/>
      <sheetName val="RCC,Ret__Wall8"/>
      <sheetName val="BOQ_fire_proofing8"/>
      <sheetName val="STAFFSCHED_8"/>
      <sheetName val="PRECAST_lightconc_II8"/>
      <sheetName val="Basement_Budget8"/>
      <sheetName val="IO_LIST8"/>
      <sheetName val="Plant_Cost8"/>
      <sheetName val="PC_Master_List8"/>
      <sheetName val="ORDER_BOOKING8"/>
      <sheetName val="except_wiring8"/>
      <sheetName val="3cd_Annexure8"/>
      <sheetName val="_8"/>
      <sheetName val="BOQ_(2)8"/>
      <sheetName val="Site_Dev_BOQ8"/>
      <sheetName val="labour_coeff8"/>
      <sheetName val="10__&amp;_11__Rate_Code_&amp;_BQ8"/>
      <sheetName val="Scope_Reconciliation8"/>
      <sheetName val="Current_Bill_MB_ref8"/>
      <sheetName val="NT_LBH8"/>
      <sheetName val="Desgn(zone_I)8"/>
      <sheetName val="1st_and_4th_flight8"/>
      <sheetName val="Cover_sheet8"/>
      <sheetName val="Site_wise_NADs8"/>
      <sheetName val="@Risk_Inputs8"/>
      <sheetName val="Depreciation_Calc8"/>
      <sheetName val="b_s_-p_l_-sch_8"/>
      <sheetName val="Tender_Summary8"/>
      <sheetName val="Project_Details__8"/>
      <sheetName val="Top_Line_-_WWW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M_S_8"/>
      <sheetName val="Summary_year_Plan8"/>
      <sheetName val="Staff_Acco_8"/>
      <sheetName val="BOQ_8"/>
      <sheetName val="Fee_Rate_Summary8"/>
      <sheetName val="Rate_analysis8"/>
      <sheetName val="BOQ_Distribution8"/>
      <sheetName val="Risk_&amp;_Opportunities8"/>
      <sheetName val="Block_A_-_BOQ8"/>
      <sheetName val="CFForecast_detail8"/>
      <sheetName val="E_&amp;_R8"/>
      <sheetName val="Approved_MTD_Proj_#'s2"/>
      <sheetName val="final_abstract8"/>
      <sheetName val="SC_revtrgt8"/>
      <sheetName val="BS_Schdl-_1_&amp;_28"/>
      <sheetName val="_WORKING2"/>
      <sheetName val="Mat_&amp;_Lab_Rate8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Intro_8"/>
      <sheetName val="Section_Catalogue4"/>
      <sheetName val="Trial_Bal8"/>
      <sheetName val="Cashflow_projection2"/>
      <sheetName val="Detailed_Summary_(5)8"/>
      <sheetName val="Final_Summary8"/>
      <sheetName val="Sub-str_2"/>
      <sheetName val="Sheet_18"/>
      <sheetName val="Variation_Statement2"/>
      <sheetName val="Abstract_-_Single_Line4"/>
      <sheetName val="sq_ftg_detail8"/>
      <sheetName val="Material_Rate1"/>
      <sheetName val="rev_012"/>
      <sheetName val="M_R_List_(2)4"/>
      <sheetName val="Global_factors2"/>
      <sheetName val="Basic_Resources1"/>
      <sheetName val="Final_Bill_of_Material4"/>
      <sheetName val="Column_Bracket1"/>
      <sheetName val="Sqn_Abs__G_11"/>
      <sheetName val="Inter_unit_set_off1"/>
      <sheetName val="Equip_Codes1"/>
      <sheetName val="India_F&amp;S_Template1"/>
      <sheetName val="9__Package_split_-_Cost_1"/>
      <sheetName val="Summary_05061"/>
      <sheetName val="OVER_HEADS1"/>
      <sheetName val="Summary_0607-_31_MAR1"/>
      <sheetName val="Performance_Report1"/>
      <sheetName val="Generic_Sum1"/>
      <sheetName val="CPIPE_11"/>
      <sheetName val="Rob__elektr_1"/>
      <sheetName val="COMP_WALL1"/>
      <sheetName val="SSR___NSSR_Market_final1"/>
      <sheetName val="Pay_Rec1"/>
      <sheetName val="Int(Ho_con_&amp;_LH)1"/>
      <sheetName val="syndicate_codes1"/>
      <sheetName val="UNIT_WT_LIST1"/>
      <sheetName val="Tie_Beams_1"/>
      <sheetName val="Builtup_Area1"/>
      <sheetName val="Linked_Lead1"/>
      <sheetName val="Lead_(Final)1"/>
      <sheetName val="R_A2"/>
      <sheetName val="Rising_Main1"/>
      <sheetName val="Form_61"/>
      <sheetName val="FITZ_MORT_941"/>
      <sheetName val="Rev__00_-_20_07_041"/>
      <sheetName val="Labor_abs-NMR1"/>
      <sheetName val="Rate_An1"/>
      <sheetName val="intr_stool_brkup1"/>
      <sheetName val="vb_9&amp;101"/>
      <sheetName val="CIF_COST_ITEM1"/>
      <sheetName val="schedule_nos1"/>
      <sheetName val="Back_Cal_for_OMC1"/>
      <sheetName val="Basic_Rates1"/>
      <sheetName val="Direct_cost_shed_A-2_1"/>
      <sheetName val="WP_Financial_Summary1"/>
      <sheetName val="BACKUP_DATA1"/>
      <sheetName val="OVER_HEADS2"/>
      <sheetName val="Summary_0607-_31_MAR2"/>
      <sheetName val="Performance_Report2"/>
      <sheetName val="Generic_Sum2"/>
      <sheetName val="CPIPE_12"/>
      <sheetName val="Rob__elektr_2"/>
      <sheetName val="COMP_WALL2"/>
      <sheetName val="SSR___NSSR_Market_final2"/>
      <sheetName val="Pay_Rec2"/>
      <sheetName val="Int(Ho_con_&amp;_LH)2"/>
      <sheetName val="syndicate_codes2"/>
      <sheetName val="UNIT_WT_LIST2"/>
      <sheetName val="Tie_Beams_2"/>
      <sheetName val="Builtup_Area2"/>
      <sheetName val="Linked_Lead2"/>
      <sheetName val="Lead_(Final)2"/>
      <sheetName val="R_A3"/>
      <sheetName val="Rising_Main2"/>
      <sheetName val="Form_62"/>
      <sheetName val="FITZ_MORT_942"/>
      <sheetName val="Rev__00_-_20_07_042"/>
      <sheetName val="Labor_abs-NMR2"/>
      <sheetName val="Rate_An2"/>
      <sheetName val="intr_stool_brkup2"/>
      <sheetName val="vb_9&amp;102"/>
      <sheetName val="CIF_COST_ITEM2"/>
      <sheetName val="schedule_nos2"/>
      <sheetName val="Back_Cal_for_OMC2"/>
      <sheetName val="Basic_Rates2"/>
      <sheetName val="Direct_cost_shed_A-2_2"/>
      <sheetName val="WP_Financial_Summary2"/>
      <sheetName val="BACKUP_DATA2"/>
      <sheetName val="Civil_Boq13"/>
      <sheetName val="SPT_vs_PHI13"/>
      <sheetName val="Chandrawal_-113"/>
      <sheetName val="Guide_VAT_ED_Credit13"/>
      <sheetName val="AMC_&amp;_O&amp;M13"/>
      <sheetName val="JTS_Costing13"/>
      <sheetName val="Break_up_Sheet11"/>
      <sheetName val="std_wt_13"/>
      <sheetName val="Material_13"/>
      <sheetName val="floor_slab-RS212"/>
      <sheetName val="Pile_cap13"/>
      <sheetName val="Abstract_Sheet11"/>
      <sheetName val="Legal_Risk_Analysis11"/>
      <sheetName val="BOQ_Direct_selling_cost12"/>
      <sheetName val="Staff_Forecast_spread12"/>
      <sheetName val="PIpe_Pushing12"/>
      <sheetName val="d-safe_specs13"/>
      <sheetName val="General_Summary11"/>
      <sheetName val="+X_&amp;_-X_DIR_PRE11"/>
      <sheetName val="PRECAST_lightconc-II12"/>
      <sheetName val="13__Steel_-_Ratio11"/>
      <sheetName val="Labour_productivity12"/>
      <sheetName val="CABLE_DATA12"/>
      <sheetName val="INPUT_SHEET12"/>
      <sheetName val="Extra_Item11"/>
      <sheetName val="Fill_this_out_first___11"/>
      <sheetName val="Labour_&amp;_Plant11"/>
      <sheetName val="Project_Budget_Worksheet11"/>
      <sheetName val="TASKRSRC_(2)11"/>
      <sheetName val="V_O_4_-_PCC_Qty11"/>
      <sheetName val="TBAL9697_-group_wise__sdpl11"/>
      <sheetName val="Field_Values11"/>
      <sheetName val="organi_synthesis_lab11"/>
      <sheetName val="Fin_Sum11"/>
      <sheetName val="BOQ_-II_ph_211"/>
      <sheetName val="2_1_受電設備棟11"/>
      <sheetName val="2_2_受・防火水槽11"/>
      <sheetName val="2_3_排水処理設備棟11"/>
      <sheetName val="2_4_倉庫棟11"/>
      <sheetName val="2_5_守衛棟11"/>
      <sheetName val="d-safe_DELUXE11"/>
      <sheetName val="DETAIL_SHEET11"/>
      <sheetName val="PointNo_511"/>
      <sheetName val="1_01_(a)11"/>
      <sheetName val="T1037_Entire_School11"/>
      <sheetName val="RMZ_Summary11"/>
      <sheetName val="Balance_sheet11"/>
      <sheetName val="Employee_List11"/>
      <sheetName val="RCC,Ret__Wall11"/>
      <sheetName val="BOQ_fire_proofing11"/>
      <sheetName val="STAFFSCHED_11"/>
      <sheetName val="PRECAST_lightconc_II11"/>
      <sheetName val="Basement_Budget11"/>
      <sheetName val="IO_LIST11"/>
      <sheetName val="Plant_Cost11"/>
      <sheetName val="PC_Master_List11"/>
      <sheetName val="ORDER_BOOKING11"/>
      <sheetName val="except_wiring11"/>
      <sheetName val="3cd_Annexure11"/>
      <sheetName val="_11"/>
      <sheetName val="BOQ_(2)11"/>
      <sheetName val="Site_Dev_BOQ11"/>
      <sheetName val="labour_coeff11"/>
      <sheetName val="10__&amp;_11__Rate_Code_&amp;_BQ11"/>
      <sheetName val="Scope_Reconciliation11"/>
      <sheetName val="Current_Bill_MB_ref11"/>
      <sheetName val="NT_LBH11"/>
      <sheetName val="Desgn(zone_I)11"/>
      <sheetName val="1st_and_4th_flight11"/>
      <sheetName val="Cover_sheet11"/>
      <sheetName val="Site_wise_NADs11"/>
      <sheetName val="@Risk_Inputs11"/>
      <sheetName val="Depreciation_Calc11"/>
      <sheetName val="b_s_-p_l_-sch_11"/>
      <sheetName val="Tender_Summary11"/>
      <sheetName val="Project_Details__11"/>
      <sheetName val="Top_Line_-_WWW11"/>
      <sheetName val="Activity_Costing_Breakup11"/>
      <sheetName val="Unit_Rate(CIS)11"/>
      <sheetName val="Conc_Analysis11"/>
      <sheetName val="Basic_11"/>
      <sheetName val="Back-UP_IRA_(CIS)11"/>
      <sheetName val="Precast_IRA11"/>
      <sheetName val="Precast_IRA_Backup11"/>
      <sheetName val="Precast_RA11"/>
      <sheetName val="M_S_11"/>
      <sheetName val="Summary_year_Plan11"/>
      <sheetName val="Staff_Acco_11"/>
      <sheetName val="BOQ_11"/>
      <sheetName val="Fee_Rate_Summary11"/>
      <sheetName val="Rate_analysis11"/>
      <sheetName val="BOQ_Distribution11"/>
      <sheetName val="Risk_&amp;_Opportunities11"/>
      <sheetName val="Block_A_-_BOQ11"/>
      <sheetName val="CFForecast_detail11"/>
      <sheetName val="E_&amp;_R11"/>
      <sheetName val="Approved_MTD_Proj_#'s5"/>
      <sheetName val="final_abstract11"/>
      <sheetName val="SC_revtrgt11"/>
      <sheetName val="BS_Schdl-_1_&amp;_211"/>
      <sheetName val="_WORKING5"/>
      <sheetName val="Mat_&amp;_Lab_Rate11"/>
      <sheetName val="PM_Action_11"/>
      <sheetName val="PE_Status11"/>
      <sheetName val="Major_Events_11"/>
      <sheetName val="Crtitical_Issues11"/>
      <sheetName val="Fault_Statistics11"/>
      <sheetName val="Ageing_Pending__CLeared11"/>
      <sheetName val="Fault_Cleared_After_24Hrs11"/>
      <sheetName val="Intro_11"/>
      <sheetName val="Section_Catalogue7"/>
      <sheetName val="Trial_Bal11"/>
      <sheetName val="Cashflow_projection5"/>
      <sheetName val="Detailed_Summary_(5)11"/>
      <sheetName val="Final_Summary11"/>
      <sheetName val="Sub-str_5"/>
      <sheetName val="Sheet_111"/>
      <sheetName val="Variation_Statement5"/>
      <sheetName val="Abstract_-_Single_Line7"/>
      <sheetName val="sq_ftg_detail11"/>
      <sheetName val="Material_Rate4"/>
      <sheetName val="rev_015"/>
      <sheetName val="M_R_List_(2)7"/>
      <sheetName val="Global_factors5"/>
      <sheetName val="Basic_Resources4"/>
      <sheetName val="Final_Bill_of_Material7"/>
      <sheetName val="Column_Bracket4"/>
      <sheetName val="Sqn_Abs__G_14"/>
      <sheetName val="Inter_unit_set_off4"/>
      <sheetName val="Equip_Codes4"/>
      <sheetName val="India_F&amp;S_Template4"/>
      <sheetName val="9__Package_split_-_Cost_4"/>
      <sheetName val="Summary_05064"/>
      <sheetName val="계정"/>
      <sheetName val="AREAS"/>
      <sheetName val="Beam at Ground flr lvl(Steel)"/>
      <sheetName val="BASIS -DEC 08"/>
      <sheetName val="Proposal"/>
      <sheetName val="Delhi"/>
      <sheetName val="Struct"/>
      <sheetName val="Code"/>
      <sheetName val="num-word"/>
      <sheetName val="B7- Col. Sch"/>
      <sheetName val="BM"/>
      <sheetName val="leads"/>
      <sheetName val="Actuals"/>
      <sheetName val="DETAILED  BOQ"/>
      <sheetName val="Leg!l Risk Analysis"/>
      <sheetName val="Background"/>
      <sheetName val="inter"/>
      <sheetName val="steam outlet"/>
      <sheetName val="sand"/>
      <sheetName val="stone"/>
      <sheetName val="#REF!"/>
      <sheetName val="Sheet5"/>
      <sheetName val="NOPAT_VDF"/>
      <sheetName val="Invested capital_VDF"/>
      <sheetName val="Input1"/>
      <sheetName val="S1BOQ"/>
      <sheetName val="Basement  Works"/>
      <sheetName val="Data Base"/>
      <sheetName val="FT-05-02IsoBOM"/>
      <sheetName val="Cable-data"/>
      <sheetName val="Financials"/>
      <sheetName val="Cover"/>
      <sheetName val="p1-costg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WORK TABLE"/>
      <sheetName val="Name List"/>
      <sheetName val="Budget-Breakup"/>
      <sheetName val="datas"/>
      <sheetName val="ICO_budzet_97"/>
      <sheetName val="Estimate"/>
      <sheetName val="Civil_Boq15"/>
      <sheetName val="SPT_vs_PHI15"/>
      <sheetName val="Chandrawal_-115"/>
      <sheetName val="Guide_VAT_ED_Credit15"/>
      <sheetName val="AMC_&amp;_O&amp;M15"/>
      <sheetName val="JTS_Costing15"/>
      <sheetName val="Break_up_Sheet13"/>
      <sheetName val="std_wt_15"/>
      <sheetName val="Material_15"/>
      <sheetName val="floor_slab-RS214"/>
      <sheetName val="Pile_cap15"/>
      <sheetName val="BOQ_Direct_selling_cost14"/>
      <sheetName val="Abstract_Sheet13"/>
      <sheetName val="Legal_Risk_Analysis13"/>
      <sheetName val="Staff_Forecast_spread14"/>
      <sheetName val="PIpe_Pushing14"/>
      <sheetName val="d-safe_specs15"/>
      <sheetName val="General_Summary13"/>
      <sheetName val="+X_&amp;_-X_DIR_PRE13"/>
      <sheetName val="d-safe_DELUXE13"/>
      <sheetName val="13__Steel_-_Ratio13"/>
      <sheetName val="PRECAST_lightconc-II14"/>
      <sheetName val="Labour_productivity14"/>
      <sheetName val="CABLE_DATA14"/>
      <sheetName val="organi_synthesis_lab13"/>
      <sheetName val="INPUT_SHEET14"/>
      <sheetName val="Extra_Item13"/>
      <sheetName val="Fill_this_out_first___13"/>
      <sheetName val="Labour_&amp;_Plant13"/>
      <sheetName val="Project_Budget_Worksheet13"/>
      <sheetName val="TASKRSRC_(2)13"/>
      <sheetName val="Fin_Sum13"/>
      <sheetName val="V_O_4_-_PCC_Qty13"/>
      <sheetName val="TBAL9697_-group_wise__sdpl13"/>
      <sheetName val="Field_Values13"/>
      <sheetName val="BOQ_-II_ph_213"/>
      <sheetName val="2_1_受電設備棟13"/>
      <sheetName val="2_2_受・防火水槽13"/>
      <sheetName val="2_3_排水処理設備棟13"/>
      <sheetName val="2_4_倉庫棟13"/>
      <sheetName val="2_5_守衛棟13"/>
      <sheetName val="DETAIL_SHEET13"/>
      <sheetName val="PointNo_513"/>
      <sheetName val="1_01_(a)13"/>
      <sheetName val="T1037_Entire_School13"/>
      <sheetName val="RMZ_Summary13"/>
      <sheetName val="Balance_sheet13"/>
      <sheetName val="Employee_List13"/>
      <sheetName val="RCC,Ret__Wall13"/>
      <sheetName val="BOQ_fire_proofing13"/>
      <sheetName val="STAFFSCHED_13"/>
      <sheetName val="PRECAST_lightconc_II13"/>
      <sheetName val="Basement_Budget13"/>
      <sheetName val="IO_LIST13"/>
      <sheetName val="Plant_Cost13"/>
      <sheetName val="PC_Master_List13"/>
      <sheetName val="_13"/>
      <sheetName val="BOQ_(2)13"/>
      <sheetName val="Site_Dev_BOQ13"/>
      <sheetName val="ORDER_BOOKING13"/>
      <sheetName val="except_wiring13"/>
      <sheetName val="3cd_Annexure13"/>
      <sheetName val="labour_coeff13"/>
      <sheetName val="10__&amp;_11__Rate_Code_&amp;_BQ13"/>
      <sheetName val="Scope_Reconciliation13"/>
      <sheetName val="Current_Bill_MB_ref13"/>
      <sheetName val="NT_LBH13"/>
      <sheetName val="Desgn(zone_I)13"/>
      <sheetName val="1st_and_4th_flight13"/>
      <sheetName val="Cover_sheet13"/>
      <sheetName val="Site_wise_NADs13"/>
      <sheetName val="@Risk_Inputs13"/>
      <sheetName val="Depreciation_Calc13"/>
      <sheetName val="b_s_-p_l_-sch_13"/>
      <sheetName val="Tender_Summary13"/>
      <sheetName val="Project_Details__13"/>
      <sheetName val="Top_Line_-_WWW13"/>
      <sheetName val="Activity_Costing_Breakup13"/>
      <sheetName val="Unit_Rate(CIS)13"/>
      <sheetName val="Conc_Analysis13"/>
      <sheetName val="Basic_13"/>
      <sheetName val="Back-UP_IRA_(CIS)13"/>
      <sheetName val="Precast_IRA13"/>
      <sheetName val="Precast_IRA_Backup13"/>
      <sheetName val="Precast_RA13"/>
      <sheetName val="M_S_13"/>
      <sheetName val="Summary_year_Plan13"/>
      <sheetName val="Staff_Acco_13"/>
      <sheetName val="BOQ_13"/>
      <sheetName val="Fee_Rate_Summary13"/>
      <sheetName val="Rate_analysis13"/>
      <sheetName val="BOQ_Distribution13"/>
      <sheetName val="Risk_&amp;_Opportunities13"/>
      <sheetName val="Block_A_-_BOQ13"/>
      <sheetName val="CFForecast_detail13"/>
      <sheetName val="E_&amp;_R13"/>
      <sheetName val="Approved_MTD_Proj_#'s7"/>
      <sheetName val="final_abstract13"/>
      <sheetName val="SC_revtrgt13"/>
      <sheetName val="BS_Schdl-_1_&amp;_213"/>
      <sheetName val="_WORKING7"/>
      <sheetName val="Mat_&amp;_Lab_Rate13"/>
      <sheetName val="PM_Action_13"/>
      <sheetName val="PE_Status13"/>
      <sheetName val="Major_Events_13"/>
      <sheetName val="Crtitical_Issues13"/>
      <sheetName val="Fault_Statistics13"/>
      <sheetName val="Ageing_Pending__CLeared13"/>
      <sheetName val="Fault_Cleared_After_24Hrs13"/>
      <sheetName val="Intro_13"/>
      <sheetName val="Section_Catalogue9"/>
      <sheetName val="Trial_Bal13"/>
      <sheetName val="Cashflow_projection7"/>
      <sheetName val="Detailed_Summary_(5)13"/>
      <sheetName val="Final_Summary13"/>
      <sheetName val="Sub-str_7"/>
      <sheetName val="Sheet_113"/>
      <sheetName val="Variation_Statement7"/>
      <sheetName val="Abstract_-_Single_Line9"/>
      <sheetName val="sq_ftg_detail13"/>
      <sheetName val="Material_Rate6"/>
      <sheetName val="rev_017"/>
      <sheetName val="M_R_List_(2)9"/>
      <sheetName val="Global_factors7"/>
      <sheetName val="Basic_Resources6"/>
      <sheetName val="Final_Bill_of_Material9"/>
      <sheetName val="Column_Bracket6"/>
      <sheetName val="Sqn_Abs__G_16"/>
      <sheetName val="Inter_unit_set_off6"/>
      <sheetName val="Equip_Codes6"/>
      <sheetName val="India_F&amp;S_Template6"/>
      <sheetName val="9__Package_split_-_Cost_6"/>
      <sheetName val="Summary_05066"/>
      <sheetName val="OVER_HEADS4"/>
      <sheetName val="Summary_0607-_31_MAR4"/>
      <sheetName val="Performance_Report3"/>
      <sheetName val="Generic_Sum3"/>
      <sheetName val="CPIPE_13"/>
      <sheetName val="Rob__elektr_3"/>
      <sheetName val="COMP_WALL3"/>
      <sheetName val="SSR___NSSR_Market_final3"/>
      <sheetName val="Pay_Rec3"/>
      <sheetName val="Int(Ho_con_&amp;_LH)3"/>
      <sheetName val="syndicate_codes3"/>
      <sheetName val="UNIT_WT_LIST3"/>
      <sheetName val="Tie_Beams_3"/>
      <sheetName val="Builtup_Area3"/>
      <sheetName val="Linked_Lead3"/>
      <sheetName val="Lead_(Final)3"/>
      <sheetName val="R_A4"/>
      <sheetName val="Rising_Main3"/>
      <sheetName val="Form_63"/>
      <sheetName val="FITZ_MORT_943"/>
      <sheetName val="Rev__00_-_20_07_043"/>
      <sheetName val="Labor_abs-NMR3"/>
      <sheetName val="Rate_An3"/>
      <sheetName val="intr_stool_brkup3"/>
      <sheetName val="vb_9&amp;103"/>
      <sheetName val="CIF_COST_ITEM3"/>
      <sheetName val="schedule_nos3"/>
      <sheetName val="Back_Cal_for_OMC3"/>
      <sheetName val="Basic_Rates3"/>
      <sheetName val="Direct_cost_shed_A-2_3"/>
      <sheetName val="WP_Financial_Summary3"/>
      <sheetName val="BACKUP_DATA3"/>
      <sheetName val="SSR_&amp;_NSSR_Market_final"/>
      <sheetName val="PCS_DATA"/>
      <sheetName val="GM_&amp;_TA"/>
      <sheetName val="Story_Drift-Part_2"/>
      <sheetName val="DB_ET200(R__A)"/>
      <sheetName val="SP&amp;ST_제출가"/>
      <sheetName val="공정율_기초_Data"/>
      <sheetName val="_Pricing_110512_xlsx"/>
      <sheetName val="Sheet1_(2)"/>
      <sheetName val="Back filling"/>
      <sheetName val="NT items summary"/>
      <sheetName val="dyes"/>
      <sheetName val="UTILITY"/>
      <sheetName val="SM DATA with National CBP price"/>
      <sheetName val="1612.01AL - INT AM&amp;NIEP"/>
      <sheetName val="s"/>
      <sheetName val="_x0008_匀敨瑥ㅟ਱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I-CO"/>
      <sheetName val="Statuses"/>
      <sheetName val="Accounts w Tax Ind"/>
      <sheetName val="Technology"/>
      <sheetName val="A-General"/>
      <sheetName val="2gii"/>
      <sheetName val="REL"/>
      <sheetName val="實際值-2006.02.06"/>
      <sheetName val="Quote Sheet"/>
      <sheetName val="works - quote sheet"/>
      <sheetName val="qtn-002(it)s"/>
      <sheetName val="NLD - Assum"/>
      <sheetName val="Civil Works"/>
      <sheetName val="Pivots"/>
      <sheetName val="Service Function"/>
      <sheetName val="BR2(5)"/>
      <sheetName val="TS-TC"/>
      <sheetName val="00 to 01 Column"/>
      <sheetName val="Sheet3 (2)"/>
      <sheetName val="prsch"/>
      <sheetName val="precast RC element"/>
      <sheetName val="Basement Works"/>
      <sheetName val="std_wt__x0010_"/>
      <sheetName val="beam-reinft-IIInd floor"/>
      <sheetName val="Structure Bills Qty"/>
      <sheetName val="chiet tinh"/>
      <sheetName val="TBM-T6+5S(Alt1)"/>
      <sheetName val="Loads"/>
      <sheetName val="Ave_wtd_rates"/>
      <sheetName val="EQT-ESTN"/>
      <sheetName val="PILE-C1"/>
      <sheetName val="ridgewood"/>
      <sheetName val="ancillary"/>
      <sheetName val="site fab&amp;ernstr"/>
      <sheetName val="PCC"/>
      <sheetName val="Area Statement_BHUB_Consultant"/>
      <sheetName val="MEP Cost- New"/>
      <sheetName val="Cost working - Building All"/>
      <sheetName val="ANNEX-2-SUMMARY OF SWGR &amp; CTRL "/>
      <sheetName val="MBQ"/>
      <sheetName val="R20_R30_work"/>
      <sheetName val="Pile and concrete qty details"/>
      <sheetName val="sof"/>
      <sheetName val="OST_DATA"/>
      <sheetName val="Joineries"/>
      <sheetName val="HPL"/>
      <sheetName val="section"/>
      <sheetName val="LOCAL RATES"/>
      <sheetName val="2A"/>
      <sheetName val="Estimation"/>
      <sheetName val="item"/>
      <sheetName val="VI Floor Beam "/>
      <sheetName val="Measurment"/>
      <sheetName val="Page 2"/>
      <sheetName val="STD"/>
      <sheetName val="sheeet7"/>
      <sheetName val="Basic Rate"/>
      <sheetName val="COSTPLAN"/>
      <sheetName val="M- Rate"/>
      <sheetName val="grid"/>
      <sheetName val=""/>
      <sheetName val="PLAN_FEB97"/>
      <sheetName val="500 kVA DG BOQ"/>
      <sheetName val="BLOCK WORK B2"/>
      <sheetName val="Ward areas"/>
      <sheetName val="Leg 1-1"/>
      <sheetName val="Lookup definitions"/>
      <sheetName val="BFS"/>
      <sheetName val="Subhead_IV"/>
      <sheetName val="SM_DATA_with_National_CBP_price"/>
      <sheetName val="DETAILED__BOQ"/>
      <sheetName val="Leg_1-1"/>
      <sheetName val="Lookup_definitions"/>
      <sheetName val="WORK_TABLE"/>
      <sheetName val="drg study"/>
      <sheetName val="RA"/>
      <sheetName val="basic"/>
      <sheetName val="block"/>
      <sheetName val="BP"/>
      <sheetName val="Technicla manpower"/>
      <sheetName val="Mixer"/>
      <sheetName val="ANALYSIS(CIVIL)"/>
      <sheetName val="GRAND SUMMARY"/>
      <sheetName val="ANa=Str"/>
      <sheetName val="Str.S &amp; Roofing"/>
      <sheetName val="Cashflow_projection8"/>
      <sheetName val="Design sheet"/>
      <sheetName val="GR.slab-reinft"/>
      <sheetName val="Start"/>
      <sheetName val="Labour Rate "/>
      <sheetName val="Material List "/>
      <sheetName val="rates - carpentry items"/>
      <sheetName val="Kristal Court"/>
      <sheetName val="RAJU ASSO"/>
      <sheetName val="Intake"/>
      <sheetName val="7 Other Costs"/>
      <sheetName val="RawMatCost"/>
      <sheetName val="1C Data"/>
      <sheetName val="Ref"/>
      <sheetName val="P.Well( RCC)"/>
      <sheetName val="Lowside"/>
      <sheetName val="ELECT"/>
      <sheetName val="CGL"/>
      <sheetName val="Area Statement"/>
      <sheetName val="sheet6"/>
      <sheetName val="Material"/>
      <sheetName val="Plant &amp;  Machinery"/>
      <sheetName val="top sheet CORRE"/>
      <sheetName val="March Analysts"/>
      <sheetName val="allocation"/>
      <sheetName val="Wing Wise Status"/>
      <sheetName val="Sheet18"/>
      <sheetName val="Occ, Other Rev, Exp, Dispo"/>
      <sheetName val="TABLE2"/>
      <sheetName val="Drop Down List"/>
      <sheetName val="DI-ESTI"/>
      <sheetName val="JAN"/>
      <sheetName val="Attributes"/>
      <sheetName val="Summary - Flr wise"/>
      <sheetName val="App Q"/>
      <sheetName val="LEVEL SHEET"/>
      <sheetName val="B1"/>
      <sheetName val="Main Building"/>
      <sheetName val="BOQ LT"/>
      <sheetName val="1st floor slab"/>
      <sheetName val="Column_Quantity"/>
      <sheetName val="Menu"/>
      <sheetName val="PCRPT01 341"/>
      <sheetName val="당진1,2호기전선관설치및접지4차공사내역서-을지"/>
      <sheetName val="MRATES"/>
      <sheetName val="TF"/>
      <sheetName val="Direction projet"/>
      <sheetName val="dlvoid"/>
      <sheetName val="INTRO"/>
      <sheetName val="Sales Report-Apr - Sept 08"/>
      <sheetName val="ABUT MASTER"/>
      <sheetName val="T"/>
      <sheetName val="HOC"/>
      <sheetName val="Mix Design"/>
      <sheetName val="std-rates"/>
      <sheetName val="2.Valuation"/>
      <sheetName val="15 july 16 to 12 Aug16"/>
      <sheetName val="2 May to 31 May 2017"/>
      <sheetName val="Trial Balance"/>
      <sheetName val="auto"/>
      <sheetName val="RA_markate"/>
      <sheetName val="Resource"/>
      <sheetName val="Monthly Challans"/>
      <sheetName val="DsnConcept"/>
      <sheetName val="PS1"/>
      <sheetName val="Detail-Singly"/>
      <sheetName val="Sales_Eur"/>
      <sheetName val="Rpr-Jan00"/>
      <sheetName val="head loss calc"/>
      <sheetName val="DATA - Summary"/>
      <sheetName val="DWTables"/>
      <sheetName val="Page_2"/>
      <sheetName val="Page_21"/>
      <sheetName val="DB_ET200(R__A)1"/>
      <sheetName val="SP&amp;ST_제출가1"/>
      <sheetName val="공정율_기초_Data1"/>
      <sheetName val="_Pricing_110512_xlsx1"/>
      <sheetName val="Sheet1_(2)1"/>
      <sheetName val="REFERANCE DATA"/>
      <sheetName val="BOQ_LT"/>
      <sheetName val="1612_01AL_-_INT_AM&amp;NIEP"/>
      <sheetName val="Beam_at_Ground_flr_lvl(Steel)"/>
      <sheetName val="BASIS_-DEC_08"/>
      <sheetName val="Hardware"/>
      <sheetName val="Meas.-Hotel Part"/>
      <sheetName val="PRICE COMP"/>
      <sheetName val="Price Comparison"/>
      <sheetName val="Internal Budget"/>
      <sheetName val="BHUB - Phase 1 areas"/>
      <sheetName val="MEP Cost "/>
      <sheetName val="BR Adj"/>
      <sheetName val="Cement Cons"/>
      <sheetName val="QS Name"/>
      <sheetName val="PRI-LS"/>
      <sheetName val="작성방법"/>
      <sheetName val="Accounts_w_Tax_Ind"/>
      <sheetName val="THA"/>
      <sheetName val="Supplier No."/>
      <sheetName val="Emp Details"/>
      <sheetName val="Ward_areas"/>
      <sheetName val="SCH99"/>
      <sheetName val="ASSET_99 "/>
      <sheetName val="DCF"/>
      <sheetName val="Definitions"/>
      <sheetName val="Enquire"/>
      <sheetName val="Heads"/>
      <sheetName val="DMUU Inputs"/>
      <sheetName val="UK P&amp;L"/>
      <sheetName val="Ire P&amp;L"/>
      <sheetName val="Fr P&amp;L"/>
      <sheetName val="ES P&amp;L"/>
      <sheetName val="GR P&amp;L"/>
      <sheetName val="PT P&amp;L"/>
      <sheetName val="fitoutconfcentre"/>
      <sheetName val="OVDDETAIL"/>
      <sheetName val="MB.Prod"/>
      <sheetName val="CrRajWMM"/>
      <sheetName val="Mahendra hills"/>
      <sheetName val="Side wall dsn Formula"/>
      <sheetName val="SW Formula"/>
      <sheetName val="3. Subcon Recon"/>
      <sheetName val="EDWise"/>
      <sheetName val="Manpower"/>
      <sheetName val="rdamdata"/>
      <sheetName val="ENCL9"/>
      <sheetName val="ETC Plant Cost"/>
      <sheetName val="Sales Tax"/>
      <sheetName val="TDS"/>
      <sheetName val="Consolidation _Rs"/>
      <sheetName val="Prod Proc Mix"/>
      <sheetName val="Completed applications"/>
      <sheetName val="Bs sch(S)"/>
      <sheetName val="Inc.St.-Link"/>
      <sheetName val="SCHEDULE"/>
      <sheetName val="para"/>
      <sheetName val="Load Details(B1)"/>
      <sheetName val="BORDGC"/>
      <sheetName val="1-Pop Proj"/>
      <sheetName val="Chennai"/>
      <sheetName val="Time Codes"/>
      <sheetName val="SITE OVERHEADS"/>
      <sheetName val="Precalculation"/>
      <sheetName val="Cashflow_projection9"/>
      <sheetName val="7_Other_Costs"/>
      <sheetName val="ABUT_MASTER"/>
      <sheetName val="head_loss_calc"/>
      <sheetName val="DATA_-_Summary"/>
      <sheetName val="Civil_Works"/>
      <sheetName val="DMUU_Inputs"/>
      <sheetName val="UK_P&amp;L"/>
      <sheetName val="Ire_P&amp;L"/>
      <sheetName val="Fr_P&amp;L"/>
      <sheetName val="ES_P&amp;L"/>
      <sheetName val="GR_P&amp;L"/>
      <sheetName val="PT_P&amp;L"/>
      <sheetName val="Trial_Balance"/>
      <sheetName val="BLOCK_WORK_B2"/>
      <sheetName val="Measurements"/>
      <sheetName val="Tables"/>
      <sheetName val="Ceilings"/>
      <sheetName val="ACAD Finishes"/>
      <sheetName val="Site Details"/>
      <sheetName val="Chair"/>
      <sheetName val="Site Area Statement"/>
      <sheetName val="Doors"/>
      <sheetName val="TBEAM"/>
      <sheetName val="9"/>
      <sheetName val="Staff"/>
      <sheetName val="MPR_PA_1"/>
      <sheetName val="Curve_Detail"/>
      <sheetName val="TCS Proposed"/>
      <sheetName val="BOQ-Road"/>
      <sheetName val=" Type III"/>
      <sheetName val="6000"/>
      <sheetName val="BQ Working"/>
      <sheetName val="PCS_DATA1"/>
      <sheetName val="Parameter"/>
      <sheetName val=" IO List"/>
      <sheetName val="Budget tracker &amp; LOA entry "/>
      <sheetName val="Bud A3C analysis"/>
      <sheetName val="Budget A3c"/>
      <sheetName val="Cost summary"/>
      <sheetName val="TOS-F"/>
      <sheetName val="Central Loop-DPR"/>
      <sheetName val="PROCTOR"/>
      <sheetName val="UNIT FLATS"/>
      <sheetName val="M+MC"/>
      <sheetName val="47 BOQ"/>
      <sheetName val="Steel Structure"/>
      <sheetName val="detailed calc"/>
      <sheetName val="PtList"/>
      <sheetName val="enums"/>
      <sheetName val="Traffic"/>
      <sheetName val="Area St"/>
      <sheetName val="Codes"/>
      <sheetName val="GPS COA"/>
      <sheetName val="Vendor master"/>
      <sheetName val="Pg.1 Marketing Info"/>
      <sheetName val="Factor_sheet"/>
      <sheetName val="B"/>
      <sheetName val="Design of Isolated Footing"/>
      <sheetName val="GF Columns"/>
      <sheetName val="OH"/>
      <sheetName val="SP Break Up"/>
      <sheetName val="Break_Up (bc)"/>
      <sheetName val="Break_Up (bc1)"/>
      <sheetName val="Break_Up (bc2)"/>
      <sheetName val="F1a-Pile"/>
      <sheetName val="경제지표"/>
      <sheetName val="세금자료"/>
      <sheetName val="col-reinft1"/>
      <sheetName val="Equiplst"/>
      <sheetName val="Drop_Down_List"/>
      <sheetName val="Drop_Down_List1"/>
      <sheetName val="HL8"/>
      <sheetName val="Futura"/>
      <sheetName val="Price List Analysis 2016"/>
      <sheetName val="ACS(1)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ABSTRACT (BLK-A)"/>
      <sheetName val="Formula"/>
      <sheetName val="capex-fixed"/>
      <sheetName val="rev.02"/>
      <sheetName val="細目"/>
      <sheetName val="r"/>
      <sheetName val="v"/>
      <sheetName val="Main sheet"/>
      <sheetName val="Valuation"/>
      <sheetName val="Schedule of Payment"/>
      <sheetName val="Summary Sheet"/>
      <sheetName val="Annex I-EXTERNAL ELEC"/>
      <sheetName val="Annex III-INT- Manufacturing"/>
      <sheetName val="MB - EXT ELEC"/>
      <sheetName val="MB - INT UTILITY"/>
      <sheetName val="MB - INT MFG BLD"/>
      <sheetName val="Site"/>
      <sheetName val="DOOR-WIND"/>
      <sheetName val="A.O.R."/>
      <sheetName val="Road data"/>
      <sheetName val="data existing_do not delete"/>
      <sheetName val="SOR"/>
      <sheetName val="&lt;24-Staff RentTable&gt;"/>
      <sheetName val="REVENUES &amp; BS"/>
      <sheetName val="bs BP 04 SA"/>
      <sheetName val="Basis Definition &amp; Lists"/>
      <sheetName val="Con-Abs"/>
      <sheetName val="Results"/>
      <sheetName val="MMts"/>
      <sheetName val="가도공"/>
      <sheetName val="REINF-WTM"/>
      <sheetName val="ANALYSER"/>
      <sheetName val="SCH- % WT."/>
      <sheetName val="3.Compu"/>
      <sheetName val="Work Order Sheet"/>
      <sheetName val="Summ"/>
      <sheetName val="PL"/>
      <sheetName val="B2826"/>
      <sheetName val="PL-Area &amp; Perimeter"/>
      <sheetName val="Excess Calc"/>
      <sheetName val="List of Rem Entries PY"/>
      <sheetName val="wwww"/>
      <sheetName val="DOOR-WINDOW SCHEDULE"/>
      <sheetName val="BLOCK WORK-GRD FLR"/>
      <sheetName val="SLAB SCHEDULE"/>
      <sheetName val="REF SHEET"/>
      <sheetName val="GreenSheet"/>
      <sheetName val="Pier"/>
      <sheetName val="LMR PF"/>
      <sheetName val="bASICDATA"/>
      <sheetName val="BHANDUP"/>
      <sheetName val="Non debit-RMC"/>
      <sheetName val="FORM-16"/>
      <sheetName val="DSUM2004"/>
      <sheetName val="3.Summary"/>
      <sheetName val="SCH4 to 6"/>
      <sheetName val="Bank Rev"/>
      <sheetName val="sum"/>
      <sheetName val="PROJV"/>
      <sheetName val="INFO"/>
      <sheetName val="NOTES "/>
      <sheetName val="Grouping TB"/>
      <sheetName val="Other"/>
      <sheetName val="Cost of DM Water"/>
      <sheetName val="ANNEXURE -15."/>
      <sheetName val="Gemstar"/>
      <sheetName val="Summary Sheets"/>
      <sheetName val="PLGroupings"/>
      <sheetName val="XREF"/>
      <sheetName val="mecon-summary"/>
      <sheetName val="T1"/>
      <sheetName val="w_dn_idd"/>
      <sheetName val="dtxl"/>
      <sheetName val="Names"/>
      <sheetName val="KP1590_E"/>
      <sheetName val="ABBR"/>
      <sheetName val="August TB"/>
      <sheetName val="Introduction"/>
      <sheetName val="8. Cover"/>
      <sheetName val="A-BOQ"/>
      <sheetName val="Beams "/>
      <sheetName val="공장별판관비배부"/>
      <sheetName val="Detail In Door Stad"/>
      <sheetName val="1100"/>
      <sheetName val="Cables (2)"/>
      <sheetName val="Report"/>
      <sheetName val="Canteen Expansion"/>
      <sheetName val="MB-Main"/>
      <sheetName val="MASTER_RATE ANALYSIS"/>
      <sheetName val="WBS"/>
      <sheetName val="BLK2"/>
      <sheetName val="Slab thickness entry"/>
      <sheetName val="Mat. Rates"/>
      <sheetName val="Operations"/>
      <sheetName val="SINTER PLANT BEAM &amp; COLUMN "/>
      <sheetName val="WACC_VDF"/>
      <sheetName val="crs"/>
      <sheetName val="Desc "/>
      <sheetName val="DetEst"/>
      <sheetName val="AN - H"/>
      <sheetName val="P&amp;L-Rptg format"/>
      <sheetName val="TOTAL"/>
      <sheetName val="ATTACH_6A"/>
      <sheetName val="Jumeira"/>
      <sheetName val="Consolidated"/>
      <sheetName val="Workout-Inst"/>
      <sheetName val="EEV(Prilim)"/>
      <sheetName val="Data Sheet"/>
      <sheetName val="Take off"/>
      <sheetName val="int. pla."/>
      <sheetName val="Int plaster"/>
      <sheetName val="Additions"/>
      <sheetName val="Final Bill"/>
      <sheetName val="Annexure A"/>
      <sheetName val="Overview"/>
      <sheetName val="Addi Jan - Dec 99"/>
      <sheetName val="TB-HK"/>
      <sheetName val="Income (2)"/>
      <sheetName val="HOSPI-01"/>
      <sheetName val="TCS"/>
      <sheetName val="width"/>
      <sheetName val="Thickness"/>
      <sheetName val="Table 4"/>
      <sheetName val="Table 5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SUPPLIER LIABILITY"/>
      <sheetName val="Pier Design(with offset)"/>
      <sheetName val="Side walls (earth)"/>
      <sheetName val="AFFLUX CALC"/>
      <sheetName val="PROTECTION"/>
      <sheetName val="AFF DRAW"/>
      <sheetName val="TEL CALC"/>
      <sheetName val="NALA-LS"/>
      <sheetName val="X-BOX HYD"/>
      <sheetName val="X-TRAIL PIT DETAILS"/>
      <sheetName val="X-BLOCK LEVELS"/>
      <sheetName val="INSTRUCT"/>
      <sheetName val="MACRO-BACK UP"/>
      <sheetName val="DS HFL "/>
      <sheetName val="VENT DESIGN "/>
      <sheetName val="Side walls-Slab"/>
      <sheetName val="TRANSITIONS"/>
      <sheetName val="Name Manager"/>
      <sheetName val="PPAP LOG"/>
      <sheetName val="LIST OF MAKES"/>
      <sheetName val="FAS-C(4)"/>
      <sheetName val="CCTV(old)"/>
      <sheetName val="SM_DATA_with_National_CBP_pric1"/>
      <sheetName val="Page_22"/>
      <sheetName val="Sheet1_(2)2"/>
      <sheetName val="DB_ET200(R__A)2"/>
      <sheetName val="SP&amp;ST_제출가2"/>
      <sheetName val="공정율_기초_Data2"/>
      <sheetName val="_Pricing_110512_xlsx2"/>
      <sheetName val="1612_01AL_-_INT_AM&amp;NIEP1"/>
      <sheetName val="Beam_at_Ground_flr_lvl(Steel)1"/>
      <sheetName val="BASIS_-DEC_081"/>
      <sheetName val="Main_Building"/>
      <sheetName val="BOQ_LT1"/>
      <sheetName val="Plant_&amp;__Machinery"/>
      <sheetName val="Sheet3_(2)"/>
      <sheetName val="top_sheet_CORRE"/>
      <sheetName val="precast_RC_element"/>
      <sheetName val="Basement_Works"/>
      <sheetName val="Cost_Index"/>
      <sheetName val="소상_&quot;1&quot;"/>
      <sheetName val="NLD_-_Assum"/>
      <sheetName val="Basic_Rate"/>
      <sheetName val="beam-reinft-IIInd_floor"/>
      <sheetName val="Leg!l_Risk_Analysis"/>
      <sheetName val="500_kVA_DG_BOQ"/>
      <sheetName val="Basement__Works"/>
      <sheetName val="Area_Statement"/>
      <sheetName val="實際值-2006_02_06"/>
      <sheetName val="Summary_-_Flr_wise"/>
      <sheetName val="1st_floor_slab"/>
      <sheetName val="Monthly_Challans"/>
      <sheetName val="REFERANCE_DATA"/>
      <sheetName val="1C_Data"/>
      <sheetName val="Quote_Sheet"/>
      <sheetName val="works_-_quote_sheet"/>
      <sheetName val="Service_Function"/>
      <sheetName val="Occ,_Other_Rev,_Exp,_Dispo"/>
      <sheetName val="drg_study"/>
      <sheetName val="Technicla_manpower"/>
      <sheetName val="GRAND_SUMMARY"/>
      <sheetName val="Str_S_&amp;_Roofing"/>
      <sheetName val="March_Analysts"/>
      <sheetName val="Invested_capital_VDF"/>
      <sheetName val="Wing_Wise_Status"/>
      <sheetName val="Design_sheet"/>
      <sheetName val="GR_slab-reinft"/>
      <sheetName val="Data_Base"/>
      <sheetName val="P_Well(_RCC)"/>
      <sheetName val="Sales_Report-Apr_-_Sept_08"/>
      <sheetName val="Back_filling"/>
      <sheetName val="NT_items_summary"/>
      <sheetName val="Name_List"/>
      <sheetName val="App_Q"/>
      <sheetName val="LEVEL_SHEET"/>
      <sheetName val="VI_Floor_Beam_"/>
      <sheetName val="PCRPT01_341"/>
      <sheetName val="M-_Rate"/>
      <sheetName val="Mix_Design"/>
      <sheetName val="00_to_01_Column"/>
      <sheetName val="Inc_St_-Link"/>
      <sheetName val="Anlysis"/>
      <sheetName val="Diawise steel abstract"/>
      <sheetName val="Cost to Client Aug 2012"/>
      <sheetName val="Planned"/>
      <sheetName val="Actual"/>
      <sheetName val="Input Data"/>
      <sheetName val="4.1Input Data"/>
      <sheetName val="Dashboard"/>
      <sheetName val="Monthly Turnover (Final)"/>
      <sheetName val="Monthly Programme"/>
      <sheetName val="Tool Metrics (1st Dot Proc)"/>
      <sheetName val="TB"/>
      <sheetName val="BS1"/>
      <sheetName val="AT-3"/>
      <sheetName val="Tiepdia"/>
      <sheetName val="Achievements_Highlights "/>
      <sheetName val="ASME B 36.10 M"/>
      <sheetName val="6BPRO"/>
      <sheetName val="TPL"/>
      <sheetName val="structure drg."/>
      <sheetName val="HVAC"/>
      <sheetName val="Hire"/>
      <sheetName val="2-Sitework"/>
      <sheetName val="CASHFLOWS"/>
      <sheetName val="MG"/>
      <sheetName val="MERGED CODES &amp; NAMES"/>
      <sheetName val="Sept 06"/>
      <sheetName val="TDS01-02"/>
      <sheetName val="Output"/>
      <sheetName val="TimeSheet"/>
      <sheetName val="Pavement"/>
      <sheetName val="Width xsec"/>
      <sheetName val="STAFF "/>
      <sheetName val="starter"/>
      <sheetName val="매크로"/>
      <sheetName val="Detail 1A"/>
      <sheetName val="Rate"/>
      <sheetName val="A.O.R r1"/>
      <sheetName val="CHIFLET"/>
      <sheetName val="Fin. Assumpt. - Sensitivities"/>
      <sheetName val="Compu"/>
      <sheetName val="TB_Oct07"/>
      <sheetName val="P&amp;L"/>
      <sheetName val="2000"/>
      <sheetName val="Wag&amp;Sal"/>
      <sheetName val="Sensitivities"/>
      <sheetName val="IPS new"/>
      <sheetName val="(M+L)"/>
      <sheetName val="RA BILL (47-)"/>
      <sheetName val="Stub Col"/>
      <sheetName val="F.Slab"/>
      <sheetName val="Plinth Beam1"/>
      <sheetName val="C2 (F) "/>
      <sheetName val="WO DROP DOWN LISTS"/>
      <sheetName val="FS Mar08"/>
      <sheetName val="TB load"/>
      <sheetName val="TB pick up"/>
      <sheetName val="Lists"/>
      <sheetName val="WO-List"/>
      <sheetName val="Balance Sheet "/>
      <sheetName val="worksheet"/>
      <sheetName val="Verbrauch"/>
      <sheetName val="APPENDIX 4.1a"/>
      <sheetName val="ord-lost_98&amp;99"/>
      <sheetName val="Deviation"/>
      <sheetName val="CABLERET"/>
      <sheetName val="LOGO"/>
      <sheetName val="SSR_&amp;_NSSR_Market_final1"/>
      <sheetName val="DETAILED__BOQ1"/>
      <sheetName val="Leg_1-11"/>
      <sheetName val="Lookup_definitions1"/>
      <sheetName val="WORK_TABLE1"/>
      <sheetName val="B7-_Col__Sch"/>
      <sheetName val="steam_outlet"/>
      <sheetName val="Labour_Rate_"/>
      <sheetName val="Material_List_"/>
      <sheetName val="rates_-_carpentry_items"/>
      <sheetName val="APPENDIX_4_1a"/>
      <sheetName val="bs_BP_04_SA"/>
      <sheetName val="Cashflow_projection10"/>
      <sheetName val="SSR_&amp;_NSSR_Market_final2"/>
      <sheetName val="PCS_DATA2"/>
      <sheetName val="Story_Drift-Part_21"/>
      <sheetName val="DETAILED__BOQ2"/>
      <sheetName val="Leg!l_Risk_Analysis1"/>
      <sheetName val="precast_RC_element1"/>
      <sheetName val="Basement_Works1"/>
      <sheetName val="M-_Rate1"/>
      <sheetName val="SM_DATA_with_National_CBP_pric2"/>
      <sheetName val="Sheet3_(2)1"/>
      <sheetName val="Cost_Index1"/>
      <sheetName val="소상_&quot;1&quot;1"/>
      <sheetName val="Accounts_w_Tax_Ind1"/>
      <sheetName val="NLD_-_Assum1"/>
      <sheetName val="Basic_Rate1"/>
      <sheetName val="實際值-2006_02_061"/>
      <sheetName val="Civil_Works1"/>
      <sheetName val="500_kVA_DG_BOQ1"/>
      <sheetName val="Basement__Works1"/>
      <sheetName val="BLOCK_WORK_B21"/>
      <sheetName val="Leg_1-12"/>
      <sheetName val="Lookup_definitions2"/>
      <sheetName val="WORK_TABLE2"/>
      <sheetName val="00_to_01_Column1"/>
      <sheetName val="B7-_Col__Sch1"/>
      <sheetName val="steam_outlet1"/>
      <sheetName val="Name_List1"/>
      <sheetName val="Quote_Sheet1"/>
      <sheetName val="drg_study1"/>
      <sheetName val="Technicla_manpower1"/>
      <sheetName val="GRAND_SUMMARY1"/>
      <sheetName val="Str_S_&amp;_Roofing1"/>
      <sheetName val="Ward_areas1"/>
      <sheetName val="Design_sheet1"/>
      <sheetName val="GR_slab-reinft1"/>
      <sheetName val="Labour_Rate_1"/>
      <sheetName val="Material_List_1"/>
      <sheetName val="rates_-_carpentry_items1"/>
      <sheetName val="APPENDIX_4_1a1"/>
      <sheetName val="bs_BP_04_SA1"/>
      <sheetName val="Table"/>
      <sheetName val="SAP DATA"/>
      <sheetName val="W SUMMERY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/>
      <sheetData sheetId="3104"/>
      <sheetData sheetId="3105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 refreshError="1"/>
      <sheetData sheetId="3197" refreshError="1"/>
      <sheetData sheetId="3198" refreshError="1"/>
      <sheetData sheetId="3199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/>
      <sheetData sheetId="3214" refreshError="1"/>
      <sheetData sheetId="3215" refreshError="1"/>
      <sheetData sheetId="3216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 refreshError="1"/>
      <sheetData sheetId="3335" refreshError="1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 refreshError="1"/>
      <sheetData sheetId="3347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 refreshError="1"/>
      <sheetData sheetId="3572"/>
      <sheetData sheetId="3573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/>
      <sheetData sheetId="3580"/>
      <sheetData sheetId="358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 refreshError="1"/>
      <sheetData sheetId="3604" refreshError="1"/>
      <sheetData sheetId="3605" refreshError="1"/>
      <sheetData sheetId="3606" refreshError="1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 refreshError="1"/>
      <sheetData sheetId="3688" refreshError="1"/>
      <sheetData sheetId="3689" refreshError="1"/>
      <sheetData sheetId="3690" refreshError="1"/>
      <sheetData sheetId="369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tering-CH"/>
      <sheetName val="CH Estimate Abstract"/>
      <sheetName val="Tiles"/>
      <sheetName val="BOQ Spider"/>
      <sheetName val="BOQ Patch Door"/>
      <sheetName val="BOQ"/>
      <sheetName val="Abstract-Finishes"/>
      <sheetName val="DW"/>
      <sheetName val="Masonary"/>
      <sheetName val="WP"/>
      <sheetName val="HF"/>
      <sheetName val="Painting - CH"/>
      <sheetName val="Abstract-Structure"/>
      <sheetName val="Footing"/>
      <sheetName val="Column"/>
      <sheetName val="Beam"/>
      <sheetName val="Beam shuttering"/>
      <sheetName val="Slab"/>
      <sheetName val="Staircase"/>
      <sheetName val="Lift Core wall"/>
      <sheetName val="Car wash Sump &amp; SCS"/>
      <sheetName val="Painting-CH"/>
      <sheetName val="Sheet1"/>
      <sheetName val="149"/>
      <sheetName val="Civi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Boq"/>
      <sheetName val="Micro"/>
      <sheetName val="Macro"/>
      <sheetName val="Scaff-Rose"/>
      <sheetName val="E UP SHEET_x000e__x0000__x0000_Break up Sheet_x0008__x0000__x0000_P"/>
      <sheetName val="Civil Boq"/>
      <sheetName val="Rate analysis"/>
      <sheetName val="RA-markate"/>
      <sheetName val="E UP SHEET_x000e_??Break up Sheet_x0008_??P"/>
      <sheetName val="E UP SHEET_x000e_"/>
      <sheetName val="SBI(Siliguri)"/>
      <sheetName val="Structure Bills Qty"/>
      <sheetName val="Data sheet"/>
      <sheetName val="E UP SHEET_x000e___Break up Sheet_x0008___P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E_UP_SHEETBreak_up_SheetP"/>
      <sheetName val="Civil_Boq"/>
      <sheetName val="Rate_analysis"/>
      <sheetName val="E_UP_SHEET??Break_up_Sheet??P"/>
      <sheetName val="E_UP_SHEET"/>
      <sheetName val="Structure_Bills_Qty"/>
      <sheetName val="Data_sheet"/>
      <sheetName val="E_UP_SHEET__Break_up_Sheet__P"/>
      <sheetName val="Ward areas"/>
      <sheetName val="Staff"/>
      <sheetName val="XL4Poppy"/>
      <sheetName val="E UP SHEET_x000e_Break up Sheet_x0008_P"/>
      <sheetName val="Summary 0506"/>
      <sheetName val="Summary 0607- 31.MAR"/>
      <sheetName val="149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Civil_Boq6"/>
      <sheetName val="Rate_analysis6"/>
      <sheetName val="Structure_Bills_Qty6"/>
      <sheetName val="Data_sheet6"/>
      <sheetName val="Ward_areas5"/>
      <sheetName val="Summary_05065"/>
      <sheetName val="Summary_0607-_31_MAR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Civil_Boq4"/>
      <sheetName val="Rate_analysis4"/>
      <sheetName val="Structure_Bills_Qty4"/>
      <sheetName val="Data_sheet4"/>
      <sheetName val="Ward_area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Civil_Boq3"/>
      <sheetName val="Rate_analysis3"/>
      <sheetName val="Structure_Bills_Qty3"/>
      <sheetName val="Data_sheet3"/>
      <sheetName val="Ward_areas2"/>
      <sheetName val="Summary_05062"/>
      <sheetName val="Summary_0607-_31_MAR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Civil_Boq1"/>
      <sheetName val="Rate_analysis1"/>
      <sheetName val="Structure_Bills_Qty1"/>
      <sheetName val="Data_sheet1"/>
      <sheetName val="Ward_areas"/>
      <sheetName val="Summary_0506"/>
      <sheetName val="Summary_0607-_31_MAR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Civil_Boq2"/>
      <sheetName val="Rate_analysis2"/>
      <sheetName val="Structure_Bills_Qty2"/>
      <sheetName val="Data_sheet2"/>
      <sheetName val="Ward_areas1"/>
      <sheetName val="Summary_05061"/>
      <sheetName val="Summary_0607-_31_MAR1"/>
      <sheetName val="Summary_05063"/>
      <sheetName val="Summary_0607-_31_MAR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Civil_Boq5"/>
      <sheetName val="Rate_analysis5"/>
      <sheetName val="Structure_Bills_Qty5"/>
      <sheetName val="Data_sheet5"/>
      <sheetName val="Ward_areas4"/>
      <sheetName val="Summary_05064"/>
      <sheetName val="Summary_0607-_31_MAR4"/>
      <sheetName val="PURCHASE REQUISITION STATUS"/>
      <sheetName val="UNIT2"/>
      <sheetName val="Staff Forecast spread"/>
      <sheetName val="wordsdata"/>
      <sheetName val="CLform"/>
      <sheetName val="RateAnalysis"/>
      <sheetName val="monitoring-breakup Feb02"/>
      <sheetName val="Input"/>
      <sheetName val="Abstract Sheet"/>
      <sheetName val="analysis-superstructure"/>
      <sheetName val="Window"/>
      <sheetName val="Fin Sum"/>
      <sheetName val="Field Values"/>
      <sheetName val="Legend"/>
      <sheetName val="Plant Cost"/>
      <sheetName val="Fill this out first..."/>
      <sheetName val="Basement Budget"/>
      <sheetName val="Labor abs-NMR"/>
      <sheetName val="PCC"/>
      <sheetName val="concrete"/>
      <sheetName val="MASTER WORK SHEET - ESTIMATE HI"/>
      <sheetName val="BS, PL, SCH 96"/>
      <sheetName val="RCC,Ret. Wall"/>
      <sheetName val="Package split - Cost"/>
      <sheetName val="Summary year Plan"/>
      <sheetName val="COST"/>
      <sheetName val="PRECAST lightconc-II"/>
      <sheetName val="intr stool brkup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Civil_Boq7"/>
      <sheetName val="Rate_analysis7"/>
      <sheetName val="Structure_Bills_Qty7"/>
      <sheetName val="Data_sheet7"/>
      <sheetName val="Ward_areas6"/>
      <sheetName val="Summary_05066"/>
      <sheetName val="Summary_0607-_31_MAR6"/>
      <sheetName val="PURCHASE_REQUISITION_STATUS"/>
      <sheetName val="Staff_Forecast_spread"/>
      <sheetName val="monitoring-breakup_Feb02"/>
      <sheetName val="Abstract_Sheet"/>
      <sheetName val="Notes"/>
      <sheetName val="organi synthesis lab"/>
      <sheetName val="Material "/>
      <sheetName val="Design"/>
      <sheetName val="L.B.D"/>
      <sheetName val="switch"/>
      <sheetName val="tables"/>
      <sheetName val="p&amp;m"/>
      <sheetName val="ELECT"/>
      <sheetName val="계정"/>
      <sheetName val="girder"/>
      <sheetName val="E UP SHEET_x005f_x000e__x005f_x0000__x005f_x0000_"/>
      <sheetName val="E UP SHEET_x005f_x000e_"/>
      <sheetName val="Civil Interiors"/>
      <sheetName val="Quote Sheet"/>
      <sheetName val="Inputs"/>
      <sheetName val="Mar03Atp"/>
      <sheetName val="경비공통"/>
      <sheetName val="est"/>
      <sheetName val="final abstract"/>
      <sheetName val="d-safe DELUXE"/>
      <sheetName val="PRL"/>
      <sheetName val="Project Brief"/>
      <sheetName val="Contents"/>
      <sheetName val="Worksheet"/>
      <sheetName val="MECH-1"/>
      <sheetName val="Calc1"/>
      <sheetName val="Project_Brief"/>
      <sheetName val="Summary_year_Plan"/>
      <sheetName val="PRECAST_lightconc-II"/>
      <sheetName val="MASTER_WORK_SHEET_-_ESTIMATE_HI"/>
      <sheetName val="Project_Brief1"/>
      <sheetName val="Summary_year_Plan1"/>
      <sheetName val="PRECAST_lightconc-II1"/>
      <sheetName val="MASTER_WORK_SHEET_-_ESTIMATE_H1"/>
      <sheetName val="E_UP_SHEET_x005f_x000e__x005f_x0000__x005f_x0000_"/>
      <sheetName val="E_UP_SHEET_x005f_x000e_"/>
      <sheetName val="Civil_Interiors"/>
      <sheetName val="Quote_Sheet"/>
      <sheetName val="Fin_Sum"/>
      <sheetName val="Field_Values"/>
      <sheetName val="Plant_Cost"/>
      <sheetName val="Fill_this_out_first___"/>
      <sheetName val="Basement_Budget"/>
      <sheetName val="Labor_abs-NMR"/>
      <sheetName val="BS,_PL,_SCH_96"/>
      <sheetName val="RCC,Ret__Wall"/>
      <sheetName val="Package_split_-_Cost"/>
      <sheetName val="Bill No.01"/>
      <sheetName val="MAT.ATSITE"/>
      <sheetName val="Project_Brief2"/>
      <sheetName val="Summary_year_Plan2"/>
      <sheetName val="PRECAST_lightconc-II2"/>
      <sheetName val="MASTER_WORK_SHEET_-_ESTIMATE_H2"/>
      <sheetName val="E_UP_SHEET_x005f_x000e__x005f_x0000__x00001"/>
      <sheetName val="E_UP_SHEET_x005f_x000e_1"/>
      <sheetName val="Civil_Interiors1"/>
      <sheetName val="Quote_Sheet1"/>
      <sheetName val="Fin_Sum1"/>
      <sheetName val="Field_Values1"/>
      <sheetName val="Plant_Cost1"/>
      <sheetName val="Fill_this_out_first___1"/>
      <sheetName val="Basement_Budget1"/>
      <sheetName val="Labor_abs-NMR1"/>
      <sheetName val="BS,_PL,_SCH_961"/>
      <sheetName val="RCC,Ret__Wall1"/>
      <sheetName val="Package_split_-_Cost1"/>
      <sheetName val="monitoring-breakup_Feb021"/>
      <sheetName val="Staff_Forecast_spread1"/>
      <sheetName val="Bill_No_01"/>
      <sheetName val="MAT_ATSITE"/>
      <sheetName val="GUT"/>
      <sheetName val="PointNo.5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Civil_Boq8"/>
      <sheetName val="Rate_analysis8"/>
      <sheetName val="Data_sheet8"/>
      <sheetName val="Structure_Bills_Qty8"/>
      <sheetName val="Ward_areas7"/>
      <sheetName val="Summary_05067"/>
      <sheetName val="Summary_0607-_31_MAR7"/>
      <sheetName val="PURCHASE_REQUISITION_STATUS1"/>
      <sheetName val="Staff_Forecast_spread2"/>
      <sheetName val="monitoring-breakup_Feb022"/>
      <sheetName val="Abstract_Sheet1"/>
      <sheetName val="intr_stool_brkup"/>
      <sheetName val="Fin_Sum2"/>
      <sheetName val="Field_Values2"/>
      <sheetName val="Plant_Cost2"/>
      <sheetName val="Fill_this_out_first___2"/>
      <sheetName val="Basement_Budget2"/>
      <sheetName val="Labor_abs-NMR2"/>
      <sheetName val="MASTER_WORK_SHEET_-_ESTIMATE_H3"/>
      <sheetName val="BS,_PL,_SCH_962"/>
      <sheetName val="RCC,Ret__Wall2"/>
      <sheetName val="Package_split_-_Cost2"/>
      <sheetName val="Summary_year_Plan3"/>
      <sheetName val="PRECAST_lightconc-II3"/>
      <sheetName val="organi_synthesis_lab"/>
      <sheetName val="Material_"/>
      <sheetName val="L_B_D"/>
      <sheetName val="E_UP_SHEET_x005f_x000e__x005f_x0000__x00002"/>
      <sheetName val="E_UP_SHEET_x005f_x000e_2"/>
      <sheetName val="Civil_Interiors2"/>
      <sheetName val="Quote_Sheet2"/>
      <sheetName val="final_abstract"/>
      <sheetName val="d-safe_DELUXE"/>
      <sheetName val="Project_Brief3"/>
      <sheetName val="Bill_No_011"/>
      <sheetName val="MAT_ATSITE1"/>
      <sheetName val="E UP SHEET_x000e__x0000__x0000_"/>
      <sheetName val="E_UP_SHEET___Break_up_Sheet___2"/>
      <sheetName val="E_UP_SHEET___Break_up_Sheet___3"/>
      <sheetName val="Aseet1998"/>
      <sheetName val="PC Master List"/>
      <sheetName val="Query Results ALL"/>
      <sheetName val="Supplier"/>
      <sheetName val="Construction"/>
      <sheetName val="Measurment"/>
      <sheetName val="77S(O)"/>
      <sheetName val="exp-ded-jan' 06"/>
      <sheetName val="master"/>
      <sheetName val="Cover"/>
      <sheetName val="Outgoing"/>
      <sheetName val="Incoming"/>
      <sheetName val="E UP SHEET_x005f_x005f_x005f_x000e__x005f_x005f_x"/>
      <sheetName val="RAJU ASSO"/>
      <sheetName val="Portfolio Summary"/>
      <sheetName val="PO"/>
      <sheetName val="E UP SHEET_x005f_x005f_x005f_x000e_"/>
      <sheetName val="PFF-est"/>
      <sheetName val="E UP SHEET_x005f_x000e__x"/>
      <sheetName val="총괄표"/>
      <sheetName val="E UP SHEET_x000e_??"/>
      <sheetName val="품의서(TL)"/>
      <sheetName val="E UP SHEET_x005f_x000e_??Break up She"/>
      <sheetName val="E UP SHEET_x005f_x005f_x005f_x005f_x005f_x005f_x0"/>
      <sheetName val="E UP SHEET_x005f_x000e___Break up She"/>
      <sheetName val="E UP SHEET_x005f_x005f_x005f_x000e__x"/>
      <sheetName val="E UP SHEET_x005f_x000e_??"/>
      <sheetName val="GM &amp; TA"/>
      <sheetName val="E UP SHEET_x000e___"/>
      <sheetName val="細目"/>
      <sheetName val="E UP SHEET_x005f_x000e___"/>
      <sheetName val="Cd"/>
      <sheetName val="THK"/>
      <sheetName val="CPIPE 1"/>
      <sheetName val="E UP SHEET_x000e__x"/>
      <sheetName val="COLUMN"/>
      <sheetName val="Data"/>
      <sheetName val="Lead"/>
      <sheetName val="WXY"/>
      <sheetName val="Cashflows"/>
      <sheetName val="Labour"/>
      <sheetName val="cubes_M20"/>
      <sheetName val="RECAPITULATION"/>
      <sheetName val="E UP SHEET_x005f_x000e__x005f_x005f_x"/>
      <sheetName val="E_UP_SHEET_x005f_x000e__x005f_x005f_x"/>
      <sheetName val="E_UP_SHEET_x005f_x000e__x"/>
      <sheetName val="E UP SHEET_x005f_x005f_x0"/>
      <sheetName val="E_UP_SHEET_x005f_x000e__x005f_x005f_1"/>
      <sheetName val="E_UP_SHEET_x005f_x000e__x1"/>
      <sheetName val="Material_1"/>
      <sheetName val="L_B_D1"/>
      <sheetName val="E_UP_SHEET??"/>
      <sheetName val="E_UP_SHEET_x005f_x005f_x005f_x000e__x005f_x005f_x"/>
      <sheetName val="E_UP_SHEET_x005f_x005f_x005f_x000e_"/>
      <sheetName val="E_UP_SHEET_x005f_x005f_x005f_x000e__x005f_x005f_1"/>
      <sheetName val="E_UP_SHEET_x005f_x005f_x005f_x000e_1"/>
      <sheetName val="GL SLAB"/>
      <sheetName val="RW (B1 to GL)"/>
      <sheetName val="costing sheet"/>
      <sheetName val="Dels"/>
      <sheetName val="Plastering-CH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Civil_Boq11"/>
      <sheetName val="Rate_analysis11"/>
      <sheetName val="Data_sheet11"/>
      <sheetName val="Structure_Bills_Qty11"/>
      <sheetName val="Ward_areas10"/>
      <sheetName val="Summary_050610"/>
      <sheetName val="Summary_0607-_31_MAR10"/>
      <sheetName val="PURCHASE_REQUISITION_STATUS4"/>
      <sheetName val="Staff_Forecast_spread5"/>
      <sheetName val="monitoring-breakup_Feb025"/>
      <sheetName val="Abstract_Sheet4"/>
      <sheetName val="intr_stool_brkup3"/>
      <sheetName val="Fin_Sum5"/>
      <sheetName val="Field_Values5"/>
      <sheetName val="Plant_Cost5"/>
      <sheetName val="Fill_this_out_first___5"/>
      <sheetName val="Basement_Budget5"/>
      <sheetName val="Labor_abs-NMR5"/>
      <sheetName val="MASTER_WORK_SHEET_-_ESTIMATE_H6"/>
      <sheetName val="BS,_PL,_SCH_965"/>
      <sheetName val="RCC,Ret__Wall5"/>
      <sheetName val="Package_split_-_Cost5"/>
      <sheetName val="Summary_year_Plan6"/>
      <sheetName val="PRECAST_lightconc-II6"/>
      <sheetName val="organi_synthesis_lab3"/>
      <sheetName val="Material_4"/>
      <sheetName val="L_B_D4"/>
      <sheetName val="E_UP_SHEET_x005f_x000e__x005f_x0000__x00005"/>
      <sheetName val="E_UP_SHEET_x005f_x000e_5"/>
      <sheetName val="Civil_Interiors5"/>
      <sheetName val="Quote_Sheet5"/>
      <sheetName val="final_abstract3"/>
      <sheetName val="d-safe_DELUXE3"/>
      <sheetName val="Project_Brief6"/>
      <sheetName val="Bill_No_014"/>
      <sheetName val="MAT_ATSITE4"/>
      <sheetName val="PointNo_5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Civil_Boq10"/>
      <sheetName val="Rate_analysis10"/>
      <sheetName val="Data_sheet10"/>
      <sheetName val="Structure_Bills_Qty10"/>
      <sheetName val="Ward_areas9"/>
      <sheetName val="Summary_05069"/>
      <sheetName val="Summary_0607-_31_MAR9"/>
      <sheetName val="PURCHASE_REQUISITION_STATUS3"/>
      <sheetName val="Staff_Forecast_spread4"/>
      <sheetName val="monitoring-breakup_Feb024"/>
      <sheetName val="Abstract_Sheet3"/>
      <sheetName val="intr_stool_brkup2"/>
      <sheetName val="Fin_Sum4"/>
      <sheetName val="Field_Values4"/>
      <sheetName val="Plant_Cost4"/>
      <sheetName val="Fill_this_out_first___4"/>
      <sheetName val="Basement_Budget4"/>
      <sheetName val="Labor_abs-NMR4"/>
      <sheetName val="MASTER_WORK_SHEET_-_ESTIMATE_H5"/>
      <sheetName val="BS,_PL,_SCH_964"/>
      <sheetName val="RCC,Ret__Wall4"/>
      <sheetName val="Package_split_-_Cost4"/>
      <sheetName val="Summary_year_Plan5"/>
      <sheetName val="PRECAST_lightconc-II5"/>
      <sheetName val="organi_synthesis_lab2"/>
      <sheetName val="Material_3"/>
      <sheetName val="L_B_D3"/>
      <sheetName val="E_UP_SHEET_x005f_x000e__x005f_x0000__x00004"/>
      <sheetName val="E_UP_SHEET_x005f_x000e_4"/>
      <sheetName val="Civil_Interiors4"/>
      <sheetName val="Quote_Sheet4"/>
      <sheetName val="final_abstract2"/>
      <sheetName val="d-safe_DELUXE2"/>
      <sheetName val="Project_Brief5"/>
      <sheetName val="Bill_No_013"/>
      <sheetName val="MAT_ATSITE3"/>
      <sheetName val="PointNo_51"/>
      <sheetName val="PC_Master_List1"/>
      <sheetName val="Query_Results_ALL1"/>
      <sheetName val="exp-ded-jan'_061"/>
      <sheetName val="E_UP_SHEET_x005f_x005f_x005f_x000e__x005f_x005f_3"/>
      <sheetName val="RAJU_ASSO1"/>
      <sheetName val="Portfolio_Summary1"/>
      <sheetName val="E_UP_SHEET_x005f_x005f_x005f_x000e_3"/>
      <sheetName val="E_UP_SHEET_x005f_x000e__x3"/>
      <sheetName val="E_UP_SHEET_x005f_x000e_??Break_up_Sh1"/>
      <sheetName val="E_UP_SHEET_x005f_x005f_x005f_x005f_x005f_x005f_x1"/>
      <sheetName val="E_UP_SHEET_x005f_x000e___Break_up_Sh1"/>
      <sheetName val="E_UP_SHEET_x005f_x005f_x005f_x000e__x1"/>
      <sheetName val="E_UP_SHEET_x005f_x000e_??1"/>
      <sheetName val="GM_&amp;_TA1"/>
      <sheetName val="E_UP_SHEET__"/>
      <sheetName val="E_UP_SHEET_x005f_x000e___1"/>
      <sheetName val="CPIPE_11"/>
      <sheetName val="E_UP_SHEET_x"/>
      <sheetName val="E_UP_SHEET_x005f_x000e__x005f_x005f_x2"/>
      <sheetName val="E_UP_SHEET_x005f_x005f_x01"/>
      <sheetName val="GL_SLAB1"/>
      <sheetName val="RW_(B1_to_GL)1"/>
      <sheetName val="costing_sheet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Civil_Boq9"/>
      <sheetName val="Rate_analysis9"/>
      <sheetName val="Data_sheet9"/>
      <sheetName val="Structure_Bills_Qty9"/>
      <sheetName val="Ward_areas8"/>
      <sheetName val="Summary_05068"/>
      <sheetName val="Summary_0607-_31_MAR8"/>
      <sheetName val="PURCHASE_REQUISITION_STATUS2"/>
      <sheetName val="Staff_Forecast_spread3"/>
      <sheetName val="monitoring-breakup_Feb023"/>
      <sheetName val="Abstract_Sheet2"/>
      <sheetName val="intr_stool_brkup1"/>
      <sheetName val="Fin_Sum3"/>
      <sheetName val="Field_Values3"/>
      <sheetName val="Plant_Cost3"/>
      <sheetName val="Fill_this_out_first___3"/>
      <sheetName val="Basement_Budget3"/>
      <sheetName val="Labor_abs-NMR3"/>
      <sheetName val="MASTER_WORK_SHEET_-_ESTIMATE_H4"/>
      <sheetName val="BS,_PL,_SCH_963"/>
      <sheetName val="RCC,Ret__Wall3"/>
      <sheetName val="Package_split_-_Cost3"/>
      <sheetName val="Summary_year_Plan4"/>
      <sheetName val="PRECAST_lightconc-II4"/>
      <sheetName val="organi_synthesis_lab1"/>
      <sheetName val="Material_2"/>
      <sheetName val="L_B_D2"/>
      <sheetName val="E_UP_SHEET_x005f_x000e__x005f_x0000__x00003"/>
      <sheetName val="E_UP_SHEET_x005f_x000e_3"/>
      <sheetName val="Civil_Interiors3"/>
      <sheetName val="Quote_Sheet3"/>
      <sheetName val="final_abstract1"/>
      <sheetName val="d-safe_DELUXE1"/>
      <sheetName val="Project_Brief4"/>
      <sheetName val="Bill_No_012"/>
      <sheetName val="MAT_ATSITE2"/>
      <sheetName val="PointNo_5"/>
      <sheetName val="PC_Master_List"/>
      <sheetName val="Query_Results_ALL"/>
      <sheetName val="exp-ded-jan'_06"/>
      <sheetName val="E_UP_SHEET_x005f_x005f_x005f_x000e__x005f_x005f_2"/>
      <sheetName val="RAJU_ASSO"/>
      <sheetName val="Portfolio_Summary"/>
      <sheetName val="E_UP_SHEET_x005f_x005f_x005f_x000e_2"/>
      <sheetName val="E_UP_SHEET_x005f_x000e__x2"/>
      <sheetName val="E_UP_SHEET_x005f_x000e_??Break_up_She"/>
      <sheetName val="E_UP_SHEET_x005f_x005f_x005f_x005f_x005f_x005f_x0"/>
      <sheetName val="E_UP_SHEET_x005f_x000e___Break_up_She"/>
      <sheetName val="E_UP_SHEET_x005f_x005f_x005f_x000e__x"/>
      <sheetName val="E_UP_SHEET_x005f_x000e_??"/>
      <sheetName val="GM_&amp;_TA"/>
      <sheetName val="E_UP_SHEET_x005f_x000e___"/>
      <sheetName val="CPIPE_1"/>
      <sheetName val="E_UP_SHEET_x005f_x000e__x005f_x005f_x1"/>
      <sheetName val="E_UP_SHEET_x005f_x005f_x0"/>
      <sheetName val="GL_SLAB"/>
      <sheetName val="RW_(B1_to_GL)"/>
      <sheetName val="costing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8E2B-9B7A-4416-8158-AF5B1899B074}">
  <dimension ref="A1:AE271"/>
  <sheetViews>
    <sheetView tabSelected="1" zoomScale="78" zoomScaleNormal="78" workbookViewId="0">
      <selection activeCell="J7" sqref="J7"/>
    </sheetView>
  </sheetViews>
  <sheetFormatPr defaultColWidth="9.109375" defaultRowHeight="13.2" x14ac:dyDescent="0.25"/>
  <cols>
    <col min="1" max="1" width="9.5546875" style="7" customWidth="1"/>
    <col min="2" max="2" width="8.109375" style="7" customWidth="1"/>
    <col min="3" max="3" width="35" style="7" customWidth="1"/>
    <col min="4" max="4" width="9.6640625" style="10" customWidth="1"/>
    <col min="5" max="5" width="23.5546875" style="10" customWidth="1"/>
    <col min="6" max="6" width="10.5546875" style="10" customWidth="1"/>
    <col min="7" max="12" width="10.6640625" style="7" customWidth="1"/>
    <col min="13" max="13" width="9.33203125" style="7" customWidth="1"/>
    <col min="14" max="14" width="10.5546875" style="7" customWidth="1"/>
    <col min="15" max="15" width="16.6640625" style="7" customWidth="1"/>
    <col min="16" max="16" width="12.5546875" style="7" customWidth="1"/>
    <col min="17" max="23" width="9.33203125" style="7" bestFit="1" customWidth="1"/>
    <col min="24" max="24" width="11.6640625" style="7" customWidth="1"/>
    <col min="25" max="16384" width="9.109375" style="7"/>
  </cols>
  <sheetData>
    <row r="1" spans="1:24" s="2" customFormat="1" x14ac:dyDescent="0.25">
      <c r="A1" s="1" t="s">
        <v>0</v>
      </c>
      <c r="B1" s="1"/>
      <c r="C1" s="1" t="s">
        <v>1</v>
      </c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3" customFormat="1" x14ac:dyDescent="0.25">
      <c r="D2" s="4"/>
      <c r="E2" s="4"/>
      <c r="F2" s="4"/>
    </row>
    <row r="3" spans="1:24" s="3" customFormat="1" ht="12.75" customHeight="1" x14ac:dyDescent="0.25">
      <c r="A3" s="21"/>
      <c r="B3" s="21"/>
      <c r="C3" s="39" t="s">
        <v>71</v>
      </c>
      <c r="D3" s="44" t="s">
        <v>69</v>
      </c>
      <c r="E3" s="44" t="s">
        <v>78</v>
      </c>
      <c r="F3" s="21"/>
    </row>
    <row r="4" spans="1:24" s="3" customFormat="1" x14ac:dyDescent="0.25">
      <c r="A4" s="21">
        <v>1</v>
      </c>
      <c r="B4" s="21"/>
      <c r="C4" s="21" t="s">
        <v>22</v>
      </c>
      <c r="D4" s="6">
        <f>25/1000</f>
        <v>2.5000000000000001E-2</v>
      </c>
      <c r="E4" s="34" t="s">
        <v>68</v>
      </c>
      <c r="F4" s="56" t="s">
        <v>72</v>
      </c>
    </row>
    <row r="5" spans="1:24" s="3" customFormat="1" x14ac:dyDescent="0.25">
      <c r="A5" s="21">
        <v>2</v>
      </c>
      <c r="B5" s="21"/>
      <c r="C5" s="21" t="s">
        <v>23</v>
      </c>
      <c r="D5" s="6" t="s">
        <v>24</v>
      </c>
      <c r="E5" s="34" t="s">
        <v>68</v>
      </c>
      <c r="F5" s="56"/>
    </row>
    <row r="6" spans="1:24" s="3" customFormat="1" x14ac:dyDescent="0.25">
      <c r="A6" s="21">
        <v>3</v>
      </c>
      <c r="B6" s="21"/>
      <c r="C6" s="21" t="s">
        <v>25</v>
      </c>
      <c r="D6" s="6" t="s">
        <v>66</v>
      </c>
      <c r="E6" s="43" t="s">
        <v>68</v>
      </c>
      <c r="F6" s="56"/>
    </row>
    <row r="7" spans="1:24" s="3" customFormat="1" ht="39.6" x14ac:dyDescent="0.25">
      <c r="A7" s="21">
        <v>4</v>
      </c>
      <c r="B7" s="21"/>
      <c r="C7" s="21" t="s">
        <v>26</v>
      </c>
      <c r="D7" s="42">
        <v>25</v>
      </c>
      <c r="E7" s="6">
        <v>1</v>
      </c>
      <c r="F7" s="45" t="s">
        <v>73</v>
      </c>
    </row>
    <row r="8" spans="1:24" s="3" customFormat="1" x14ac:dyDescent="0.25">
      <c r="D8" s="4"/>
      <c r="E8" s="4"/>
      <c r="F8" s="4"/>
    </row>
    <row r="9" spans="1:24" s="3" customFormat="1" x14ac:dyDescent="0.25">
      <c r="D9" s="4"/>
      <c r="E9" s="4"/>
      <c r="F9" s="4"/>
    </row>
    <row r="10" spans="1:24" s="3" customFormat="1" ht="15" customHeight="1" x14ac:dyDescent="0.25">
      <c r="A10" s="49" t="s">
        <v>27</v>
      </c>
      <c r="B10" s="50"/>
      <c r="C10" s="51"/>
      <c r="D10" s="52" t="s">
        <v>65</v>
      </c>
      <c r="E10" s="53"/>
      <c r="F10" s="53"/>
      <c r="G10" s="54"/>
      <c r="H10" s="76"/>
    </row>
    <row r="11" spans="1:24" s="3" customFormat="1" ht="26.4" x14ac:dyDescent="0.25">
      <c r="A11" s="73" t="s">
        <v>3</v>
      </c>
      <c r="B11" s="71" t="s">
        <v>28</v>
      </c>
      <c r="C11" s="16" t="s">
        <v>29</v>
      </c>
      <c r="D11" s="17" t="s">
        <v>30</v>
      </c>
      <c r="E11" s="18" t="s">
        <v>24</v>
      </c>
      <c r="F11" s="17" t="s">
        <v>31</v>
      </c>
      <c r="G11" s="19" t="s">
        <v>32</v>
      </c>
      <c r="I11" s="55" t="s">
        <v>75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24" s="3" customFormat="1" x14ac:dyDescent="0.25">
      <c r="A12" s="74">
        <v>1</v>
      </c>
      <c r="B12" s="72">
        <v>8</v>
      </c>
      <c r="C12" s="70">
        <v>0.5</v>
      </c>
      <c r="D12" s="20">
        <v>0.42499999999999999</v>
      </c>
      <c r="E12" s="20">
        <v>0.36499999999999999</v>
      </c>
      <c r="F12" s="20">
        <v>0.35</v>
      </c>
      <c r="G12" s="20">
        <v>0.32500000000000001</v>
      </c>
      <c r="I12" s="40" t="s">
        <v>61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</row>
    <row r="13" spans="1:24" s="3" customFormat="1" x14ac:dyDescent="0.25">
      <c r="A13" s="74">
        <v>2</v>
      </c>
      <c r="B13" s="72">
        <v>10</v>
      </c>
      <c r="C13" s="70">
        <v>0.625</v>
      </c>
      <c r="D13" s="20">
        <v>0.55000000000000004</v>
      </c>
      <c r="E13" s="20">
        <v>0.45500000000000002</v>
      </c>
      <c r="F13" s="20">
        <v>0.45</v>
      </c>
      <c r="G13" s="20">
        <v>0.4</v>
      </c>
      <c r="I13" s="65" t="s">
        <v>67</v>
      </c>
      <c r="J13" s="66"/>
      <c r="K13" s="66"/>
      <c r="L13" s="66"/>
      <c r="M13" s="66"/>
      <c r="N13" s="66"/>
      <c r="O13" s="66"/>
      <c r="P13" s="66"/>
      <c r="Q13" s="67"/>
      <c r="R13" s="63"/>
      <c r="S13" s="64"/>
    </row>
    <row r="14" spans="1:24" s="3" customFormat="1" x14ac:dyDescent="0.25">
      <c r="A14" s="74">
        <v>3</v>
      </c>
      <c r="B14" s="72">
        <v>12</v>
      </c>
      <c r="C14" s="70">
        <v>0.75</v>
      </c>
      <c r="D14" s="20">
        <v>0.65</v>
      </c>
      <c r="E14" s="20">
        <v>0.54500000000000004</v>
      </c>
      <c r="F14" s="20">
        <v>0.52500000000000002</v>
      </c>
      <c r="G14" s="20">
        <v>0.47499999999999998</v>
      </c>
      <c r="I14" s="55" t="s">
        <v>62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U14" s="46"/>
    </row>
    <row r="15" spans="1:24" s="3" customFormat="1" x14ac:dyDescent="0.25">
      <c r="A15" s="74">
        <v>4</v>
      </c>
      <c r="B15" s="72">
        <v>16</v>
      </c>
      <c r="C15" s="70">
        <v>1</v>
      </c>
      <c r="D15" s="20">
        <v>0.85</v>
      </c>
      <c r="E15" s="20">
        <v>0.72499999999999998</v>
      </c>
      <c r="F15" s="20">
        <v>0.7</v>
      </c>
      <c r="G15" s="20">
        <v>0.625</v>
      </c>
      <c r="I15" s="55" t="s">
        <v>63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</row>
    <row r="16" spans="1:24" s="3" customFormat="1" x14ac:dyDescent="0.25">
      <c r="A16" s="74">
        <v>5</v>
      </c>
      <c r="B16" s="72">
        <v>20</v>
      </c>
      <c r="C16" s="70">
        <v>1.25</v>
      </c>
      <c r="D16" s="20">
        <v>1.05</v>
      </c>
      <c r="E16" s="20">
        <v>0.91</v>
      </c>
      <c r="F16" s="20">
        <v>0.875</v>
      </c>
      <c r="G16" s="20">
        <v>0.8</v>
      </c>
      <c r="I16" s="55" t="s">
        <v>74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</row>
    <row r="17" spans="1:31" s="3" customFormat="1" x14ac:dyDescent="0.25">
      <c r="A17" s="74">
        <v>6</v>
      </c>
      <c r="B17" s="72">
        <v>25</v>
      </c>
      <c r="C17" s="70">
        <v>1.55</v>
      </c>
      <c r="D17" s="20">
        <v>1.35</v>
      </c>
      <c r="E17" s="20">
        <v>1.135</v>
      </c>
      <c r="F17" s="20">
        <v>1.1000000000000001</v>
      </c>
      <c r="G17" s="20">
        <v>1</v>
      </c>
      <c r="I17" s="55" t="s">
        <v>64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</row>
    <row r="18" spans="1:31" s="3" customFormat="1" x14ac:dyDescent="0.25">
      <c r="A18" s="75">
        <v>7</v>
      </c>
      <c r="B18" s="72">
        <v>32</v>
      </c>
      <c r="C18" s="70">
        <v>2</v>
      </c>
      <c r="D18" s="20">
        <v>1.7</v>
      </c>
      <c r="E18" s="20">
        <v>1.45</v>
      </c>
      <c r="F18" s="20">
        <v>1.4</v>
      </c>
      <c r="G18" s="20">
        <v>1.25</v>
      </c>
    </row>
    <row r="19" spans="1:31" s="3" customFormat="1" x14ac:dyDescent="0.25">
      <c r="D19" s="4"/>
      <c r="E19" s="4"/>
      <c r="F19" s="4"/>
    </row>
    <row r="20" spans="1:31" s="3" customFormat="1" x14ac:dyDescent="0.25">
      <c r="D20" s="4"/>
      <c r="E20" s="4"/>
      <c r="F20" s="4"/>
    </row>
    <row r="21" spans="1:31" s="3" customFormat="1" x14ac:dyDescent="0.25">
      <c r="D21" s="4"/>
      <c r="E21" s="4"/>
      <c r="F21" s="4"/>
    </row>
    <row r="22" spans="1:31" s="3" customFormat="1" x14ac:dyDescent="0.25">
      <c r="A22" s="68" t="s">
        <v>2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21"/>
      <c r="R22" s="21"/>
      <c r="S22" s="21"/>
      <c r="T22" s="21"/>
      <c r="U22" s="21"/>
      <c r="V22" s="21"/>
      <c r="W22" s="21"/>
      <c r="X22" s="21"/>
    </row>
    <row r="23" spans="1:31" s="3" customFormat="1" x14ac:dyDescent="0.25">
      <c r="A23" s="69" t="s">
        <v>33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0" t="s">
        <v>70</v>
      </c>
      <c r="R23" s="61"/>
      <c r="S23" s="61"/>
      <c r="T23" s="61"/>
      <c r="U23" s="61"/>
      <c r="V23" s="61"/>
      <c r="W23" s="62"/>
      <c r="X23" s="21"/>
    </row>
    <row r="24" spans="1:31" s="3" customFormat="1" ht="26.4" x14ac:dyDescent="0.25">
      <c r="A24" s="59" t="s">
        <v>3</v>
      </c>
      <c r="B24" s="22"/>
      <c r="C24" s="57" t="s">
        <v>4</v>
      </c>
      <c r="D24" s="59" t="s">
        <v>5</v>
      </c>
      <c r="E24" s="57" t="s">
        <v>6</v>
      </c>
      <c r="F24" s="57" t="s">
        <v>34</v>
      </c>
      <c r="G24" s="23" t="s">
        <v>7</v>
      </c>
      <c r="H24" s="23" t="s">
        <v>8</v>
      </c>
      <c r="I24" s="23" t="s">
        <v>9</v>
      </c>
      <c r="J24" s="57" t="s">
        <v>10</v>
      </c>
      <c r="K24" s="57" t="s">
        <v>11</v>
      </c>
      <c r="L24" s="57"/>
      <c r="M24" s="57"/>
      <c r="N24" s="57"/>
      <c r="O24" s="57" t="s">
        <v>12</v>
      </c>
      <c r="P24" s="57" t="s">
        <v>13</v>
      </c>
      <c r="Q24" s="24">
        <v>8</v>
      </c>
      <c r="R24" s="24">
        <v>10</v>
      </c>
      <c r="S24" s="24">
        <v>12</v>
      </c>
      <c r="T24" s="24">
        <v>16</v>
      </c>
      <c r="U24" s="24">
        <v>20</v>
      </c>
      <c r="V24" s="24">
        <v>25</v>
      </c>
      <c r="W24" s="24">
        <v>32</v>
      </c>
      <c r="X24" s="58" t="s">
        <v>14</v>
      </c>
    </row>
    <row r="25" spans="1:31" s="3" customFormat="1" ht="30" customHeight="1" x14ac:dyDescent="0.25">
      <c r="A25" s="59"/>
      <c r="B25" s="22"/>
      <c r="C25" s="57"/>
      <c r="D25" s="59"/>
      <c r="E25" s="57"/>
      <c r="F25" s="57"/>
      <c r="G25" s="23" t="s">
        <v>15</v>
      </c>
      <c r="H25" s="23" t="s">
        <v>16</v>
      </c>
      <c r="I25" s="23" t="s">
        <v>17</v>
      </c>
      <c r="J25" s="57"/>
      <c r="K25" s="23" t="s">
        <v>18</v>
      </c>
      <c r="L25" s="23" t="s">
        <v>19</v>
      </c>
      <c r="M25" s="23" t="s">
        <v>20</v>
      </c>
      <c r="N25" s="23" t="s">
        <v>21</v>
      </c>
      <c r="O25" s="57"/>
      <c r="P25" s="57"/>
      <c r="Q25" s="25">
        <f t="shared" ref="Q25:W25" si="0">22/7/4/1000/1000*7850*Q24*Q24</f>
        <v>0.39474285714285717</v>
      </c>
      <c r="R25" s="25">
        <f t="shared" si="0"/>
        <v>0.61678571428571427</v>
      </c>
      <c r="S25" s="25">
        <f t="shared" si="0"/>
        <v>0.88817142857142872</v>
      </c>
      <c r="T25" s="25">
        <f t="shared" si="0"/>
        <v>1.5789714285714287</v>
      </c>
      <c r="U25" s="25">
        <f t="shared" si="0"/>
        <v>2.4671428571428571</v>
      </c>
      <c r="V25" s="25">
        <f t="shared" si="0"/>
        <v>3.8549107142857149</v>
      </c>
      <c r="W25" s="25">
        <f t="shared" si="0"/>
        <v>6.3158857142857148</v>
      </c>
      <c r="X25" s="58"/>
    </row>
    <row r="26" spans="1:31" ht="20.100000000000001" customHeight="1" x14ac:dyDescent="0.25">
      <c r="A26" s="26"/>
      <c r="B26" s="26"/>
      <c r="C26" s="27" t="s">
        <v>60</v>
      </c>
      <c r="D26" s="28"/>
      <c r="E26" s="28"/>
      <c r="F26" s="28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>
        <f ca="1">SUM(Q26:Q129)</f>
        <v>0</v>
      </c>
      <c r="R26" s="26"/>
      <c r="S26" s="26"/>
      <c r="T26" s="26"/>
      <c r="U26" s="26"/>
      <c r="V26" s="26"/>
      <c r="W26" s="26"/>
      <c r="X26" s="26"/>
    </row>
    <row r="27" spans="1:31" s="3" customFormat="1" ht="21" customHeight="1" x14ac:dyDescent="0.25">
      <c r="A27" s="6">
        <v>1</v>
      </c>
      <c r="B27" s="6" t="s">
        <v>59</v>
      </c>
      <c r="C27" s="47" t="s">
        <v>76</v>
      </c>
      <c r="D27" s="29">
        <v>1</v>
      </c>
      <c r="E27" s="29">
        <v>5.57</v>
      </c>
      <c r="F27" s="29">
        <v>0.2</v>
      </c>
      <c r="G27" s="29">
        <v>0.6</v>
      </c>
      <c r="H27" s="6">
        <f>G27-0.15</f>
        <v>0.44999999999999996</v>
      </c>
      <c r="I27" s="6">
        <f>E27*F27*G27*D27</f>
        <v>0.66839999999999999</v>
      </c>
      <c r="J27" s="6">
        <f>(2*(E27)*H27*D27)+(E27*F27)</f>
        <v>6.1269999999999998</v>
      </c>
      <c r="K27" s="30">
        <f>IF(E27=0.3,J27,0)</f>
        <v>0</v>
      </c>
      <c r="L27" s="30">
        <f>IF(AND(E27&gt;0.3,E27&lt;=0.75),J27,0)</f>
        <v>0</v>
      </c>
      <c r="M27" s="30">
        <f>IF(AND(E27&gt;0.75,E27&lt;=1.2),J27,0)</f>
        <v>0</v>
      </c>
      <c r="N27" s="30">
        <f>IF(E27&gt;1.2,J27,0)</f>
        <v>6.1269999999999998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5"/>
      <c r="Z27" s="5"/>
      <c r="AA27" s="5"/>
      <c r="AB27" s="5"/>
      <c r="AC27" s="5"/>
      <c r="AD27" s="5"/>
      <c r="AE27" s="5"/>
    </row>
    <row r="28" spans="1:31" s="3" customFormat="1" ht="20.100000000000001" customHeight="1" x14ac:dyDescent="0.25">
      <c r="A28" s="31"/>
      <c r="B28" s="6" t="s">
        <v>59</v>
      </c>
      <c r="C28" s="32" t="s">
        <v>35</v>
      </c>
      <c r="D28" s="6">
        <v>16</v>
      </c>
      <c r="E28" s="6"/>
      <c r="F28" s="6">
        <v>2</v>
      </c>
      <c r="G28" s="33">
        <f>VLOOKUP(D28,$B$12:$E$18,4,0)</f>
        <v>0.72499999999999998</v>
      </c>
      <c r="H28" s="33"/>
      <c r="I28" s="6"/>
      <c r="J28" s="6"/>
      <c r="K28" s="6"/>
      <c r="L28" s="6"/>
      <c r="M28" s="6"/>
      <c r="N28" s="6"/>
      <c r="O28" s="6">
        <f>+$E$27+2*G28</f>
        <v>7.0200000000000005</v>
      </c>
      <c r="P28" s="6">
        <f>O28*F28</f>
        <v>14.040000000000001</v>
      </c>
      <c r="Q28" s="6">
        <f t="shared" ref="Q28:W33" si="1">IF($D28=Q$24,$P28*Q$25,0)</f>
        <v>0</v>
      </c>
      <c r="R28" s="6">
        <f t="shared" si="1"/>
        <v>0</v>
      </c>
      <c r="S28" s="6">
        <f t="shared" si="1"/>
        <v>0</v>
      </c>
      <c r="T28" s="6">
        <f t="shared" si="1"/>
        <v>22.168758857142862</v>
      </c>
      <c r="U28" s="6">
        <f t="shared" si="1"/>
        <v>0</v>
      </c>
      <c r="V28" s="6">
        <f t="shared" si="1"/>
        <v>0</v>
      </c>
      <c r="W28" s="6">
        <f t="shared" si="1"/>
        <v>0</v>
      </c>
      <c r="X28" s="6">
        <f t="shared" ref="X28:X33" si="2">SUM(Q28:W28)</f>
        <v>22.168758857142862</v>
      </c>
      <c r="Y28" s="5"/>
      <c r="Z28" s="5"/>
      <c r="AA28" s="5"/>
      <c r="AB28" s="5"/>
      <c r="AC28" s="5"/>
      <c r="AD28" s="5"/>
    </row>
    <row r="29" spans="1:31" s="3" customFormat="1" ht="20.100000000000001" customHeight="1" x14ac:dyDescent="0.25">
      <c r="A29" s="31"/>
      <c r="B29" s="6" t="s">
        <v>59</v>
      </c>
      <c r="C29" s="48" t="s">
        <v>77</v>
      </c>
      <c r="D29" s="6">
        <v>16</v>
      </c>
      <c r="E29" s="6"/>
      <c r="F29" s="6">
        <v>2</v>
      </c>
      <c r="G29" s="33">
        <f>VLOOKUP(D29,$B$12:$E$18,4,0)</f>
        <v>0.72499999999999998</v>
      </c>
      <c r="H29" s="33"/>
      <c r="I29" s="6"/>
      <c r="J29" s="6"/>
      <c r="K29" s="6"/>
      <c r="L29" s="6"/>
      <c r="M29" s="6"/>
      <c r="N29" s="6"/>
      <c r="O29" s="6">
        <f>1.9+2*G29</f>
        <v>3.3499999999999996</v>
      </c>
      <c r="P29" s="6">
        <f>O29*F29</f>
        <v>6.6999999999999993</v>
      </c>
      <c r="Q29" s="6">
        <f t="shared" si="1"/>
        <v>0</v>
      </c>
      <c r="R29" s="6">
        <f t="shared" si="1"/>
        <v>0</v>
      </c>
      <c r="S29" s="6">
        <f t="shared" si="1"/>
        <v>0</v>
      </c>
      <c r="T29" s="6">
        <f t="shared" si="1"/>
        <v>10.579108571428572</v>
      </c>
      <c r="U29" s="6">
        <f t="shared" si="1"/>
        <v>0</v>
      </c>
      <c r="V29" s="6">
        <f t="shared" si="1"/>
        <v>0</v>
      </c>
      <c r="W29" s="6">
        <f t="shared" si="1"/>
        <v>0</v>
      </c>
      <c r="X29" s="6">
        <f t="shared" si="2"/>
        <v>10.579108571428572</v>
      </c>
      <c r="Y29" s="5"/>
      <c r="Z29" s="5"/>
      <c r="AA29" s="5"/>
      <c r="AB29" s="5"/>
      <c r="AC29" s="5"/>
      <c r="AD29" s="5"/>
    </row>
    <row r="30" spans="1:31" s="3" customFormat="1" ht="20.100000000000001" customHeight="1" x14ac:dyDescent="0.25">
      <c r="A30" s="31"/>
      <c r="B30" s="6" t="s">
        <v>59</v>
      </c>
      <c r="C30" s="32" t="s">
        <v>36</v>
      </c>
      <c r="D30" s="6">
        <v>20</v>
      </c>
      <c r="E30" s="6"/>
      <c r="F30" s="6">
        <v>2</v>
      </c>
      <c r="G30" s="33">
        <f>VLOOKUP(D30,$B$12:$E$18,4,0)</f>
        <v>0.91</v>
      </c>
      <c r="H30" s="33"/>
      <c r="I30" s="6"/>
      <c r="J30" s="6"/>
      <c r="K30" s="6"/>
      <c r="L30" s="6"/>
      <c r="M30" s="6"/>
      <c r="N30" s="6"/>
      <c r="O30" s="6">
        <f>+E27+2*G30</f>
        <v>7.3900000000000006</v>
      </c>
      <c r="P30" s="6">
        <f>O30*F30</f>
        <v>14.780000000000001</v>
      </c>
      <c r="Q30" s="6">
        <f t="shared" si="1"/>
        <v>0</v>
      </c>
      <c r="R30" s="6">
        <f t="shared" si="1"/>
        <v>0</v>
      </c>
      <c r="S30" s="6">
        <f t="shared" si="1"/>
        <v>0</v>
      </c>
      <c r="T30" s="6">
        <f t="shared" si="1"/>
        <v>0</v>
      </c>
      <c r="U30" s="6">
        <f t="shared" si="1"/>
        <v>36.464371428571432</v>
      </c>
      <c r="V30" s="6">
        <f t="shared" si="1"/>
        <v>0</v>
      </c>
      <c r="W30" s="6">
        <f t="shared" si="1"/>
        <v>0</v>
      </c>
      <c r="X30" s="6">
        <f t="shared" si="2"/>
        <v>36.464371428571432</v>
      </c>
      <c r="Y30" s="5"/>
      <c r="Z30" s="5"/>
      <c r="AA30" s="5"/>
      <c r="AB30" s="5"/>
      <c r="AC30" s="5"/>
      <c r="AD30" s="5"/>
    </row>
    <row r="31" spans="1:31" s="3" customFormat="1" ht="20.100000000000001" customHeight="1" x14ac:dyDescent="0.25">
      <c r="A31" s="31"/>
      <c r="B31" s="6" t="s">
        <v>59</v>
      </c>
      <c r="C31" s="32" t="s">
        <v>36</v>
      </c>
      <c r="D31" s="6">
        <v>20</v>
      </c>
      <c r="E31" s="6"/>
      <c r="F31" s="6">
        <v>2</v>
      </c>
      <c r="G31" s="33">
        <f>VLOOKUP(D31,$B$12:$E$18,4,0)</f>
        <v>0.91</v>
      </c>
      <c r="H31" s="6"/>
      <c r="I31" s="6"/>
      <c r="J31" s="6"/>
      <c r="K31" s="6"/>
      <c r="L31" s="6"/>
      <c r="M31" s="6"/>
      <c r="N31" s="6"/>
      <c r="O31" s="6">
        <f>+E27+2*G31</f>
        <v>7.3900000000000006</v>
      </c>
      <c r="P31" s="6">
        <f>O31*F31</f>
        <v>14.780000000000001</v>
      </c>
      <c r="Q31" s="6">
        <f t="shared" si="1"/>
        <v>0</v>
      </c>
      <c r="R31" s="6">
        <f t="shared" si="1"/>
        <v>0</v>
      </c>
      <c r="S31" s="6">
        <f t="shared" si="1"/>
        <v>0</v>
      </c>
      <c r="T31" s="6">
        <f t="shared" si="1"/>
        <v>0</v>
      </c>
      <c r="U31" s="6">
        <f t="shared" si="1"/>
        <v>36.464371428571432</v>
      </c>
      <c r="V31" s="6">
        <f t="shared" si="1"/>
        <v>0</v>
      </c>
      <c r="W31" s="6">
        <f t="shared" si="1"/>
        <v>0</v>
      </c>
      <c r="X31" s="6">
        <f t="shared" si="2"/>
        <v>36.464371428571432</v>
      </c>
      <c r="Y31" s="5"/>
      <c r="Z31" s="5"/>
      <c r="AA31" s="5"/>
      <c r="AB31" s="5"/>
      <c r="AC31" s="5"/>
      <c r="AD31" s="5"/>
    </row>
    <row r="32" spans="1:31" s="3" customFormat="1" ht="20.100000000000001" customHeight="1" x14ac:dyDescent="0.25">
      <c r="A32" s="31"/>
      <c r="B32" s="6" t="s">
        <v>59</v>
      </c>
      <c r="C32" s="35" t="s">
        <v>37</v>
      </c>
      <c r="D32" s="6">
        <v>8</v>
      </c>
      <c r="E32" s="6">
        <v>0.1</v>
      </c>
      <c r="F32" s="6">
        <f>+ROUND(E27/E32,0)+1</f>
        <v>57</v>
      </c>
      <c r="G32" s="21"/>
      <c r="H32" s="6"/>
      <c r="I32" s="6"/>
      <c r="J32" s="6"/>
      <c r="K32" s="6"/>
      <c r="L32" s="6"/>
      <c r="M32" s="6"/>
      <c r="N32" s="6"/>
      <c r="O32" s="6">
        <f>(2*((G27-(2*$D$4))+(F27-(2*$D$4)))+((2*10)*D32/1000))*D27</f>
        <v>1.5599999999999998</v>
      </c>
      <c r="P32" s="6">
        <f>O32*F32</f>
        <v>88.919999999999987</v>
      </c>
      <c r="Q32" s="6">
        <f t="shared" si="1"/>
        <v>35.100534857142854</v>
      </c>
      <c r="R32" s="6">
        <f t="shared" si="1"/>
        <v>0</v>
      </c>
      <c r="S32" s="6">
        <f t="shared" si="1"/>
        <v>0</v>
      </c>
      <c r="T32" s="6">
        <f t="shared" si="1"/>
        <v>0</v>
      </c>
      <c r="U32" s="6">
        <f t="shared" si="1"/>
        <v>0</v>
      </c>
      <c r="V32" s="6">
        <f t="shared" si="1"/>
        <v>0</v>
      </c>
      <c r="W32" s="6">
        <f t="shared" si="1"/>
        <v>0</v>
      </c>
      <c r="X32" s="6">
        <f t="shared" si="2"/>
        <v>35.100534857142854</v>
      </c>
      <c r="Y32" s="5"/>
      <c r="Z32" s="5"/>
      <c r="AA32" s="5"/>
      <c r="AB32" s="5"/>
      <c r="AC32" s="5"/>
      <c r="AD32" s="5"/>
    </row>
    <row r="33" spans="1:31" s="3" customFormat="1" ht="20.100000000000001" customHeight="1" x14ac:dyDescent="0.25">
      <c r="A33" s="31"/>
      <c r="B33" s="6" t="s">
        <v>59</v>
      </c>
      <c r="C33" s="32" t="s">
        <v>56</v>
      </c>
      <c r="D33" s="6">
        <v>8</v>
      </c>
      <c r="E33" s="6">
        <v>0.13</v>
      </c>
      <c r="F33" s="6">
        <f>2*2</f>
        <v>4</v>
      </c>
      <c r="G33" s="33">
        <f>VLOOKUP(D33,$B$12:$E$18,4,0)</f>
        <v>0.36499999999999999</v>
      </c>
      <c r="H33" s="6"/>
      <c r="I33" s="6"/>
      <c r="J33" s="6"/>
      <c r="K33" s="6"/>
      <c r="L33" s="6"/>
      <c r="M33" s="6"/>
      <c r="N33" s="6"/>
      <c r="O33" s="6">
        <f>+$E$27+2*G33</f>
        <v>6.3000000000000007</v>
      </c>
      <c r="P33" s="6">
        <f t="shared" ref="P33" si="3">O33*F33</f>
        <v>25.200000000000003</v>
      </c>
      <c r="Q33" s="6">
        <f t="shared" si="1"/>
        <v>9.9475200000000026</v>
      </c>
      <c r="R33" s="6">
        <f t="shared" si="1"/>
        <v>0</v>
      </c>
      <c r="S33" s="6">
        <f t="shared" si="1"/>
        <v>0</v>
      </c>
      <c r="T33" s="6">
        <f t="shared" si="1"/>
        <v>0</v>
      </c>
      <c r="U33" s="6">
        <f t="shared" si="1"/>
        <v>0</v>
      </c>
      <c r="V33" s="6">
        <f t="shared" si="1"/>
        <v>0</v>
      </c>
      <c r="W33" s="6">
        <f t="shared" si="1"/>
        <v>0</v>
      </c>
      <c r="X33" s="6">
        <f t="shared" si="2"/>
        <v>9.9475200000000026</v>
      </c>
      <c r="Y33" s="5"/>
      <c r="Z33" s="5"/>
      <c r="AA33" s="5"/>
      <c r="AB33" s="5"/>
      <c r="AC33" s="5"/>
      <c r="AD33" s="5"/>
    </row>
    <row r="34" spans="1:31" s="3" customFormat="1" ht="21" customHeight="1" x14ac:dyDescent="0.25">
      <c r="A34" s="6">
        <v>2</v>
      </c>
      <c r="B34" s="6" t="s">
        <v>59</v>
      </c>
      <c r="C34" s="29" t="s">
        <v>39</v>
      </c>
      <c r="D34" s="29">
        <v>1</v>
      </c>
      <c r="E34" s="29">
        <v>4.282</v>
      </c>
      <c r="F34" s="29">
        <v>0.2</v>
      </c>
      <c r="G34" s="29">
        <v>0.6</v>
      </c>
      <c r="H34" s="6">
        <f>G34-0.15</f>
        <v>0.44999999999999996</v>
      </c>
      <c r="I34" s="6">
        <f>E34*F34*G34*D34</f>
        <v>0.51383999999999996</v>
      </c>
      <c r="J34" s="6">
        <f>(2*(E34)*H34*D34)+(E34*F34)</f>
        <v>4.7101999999999995</v>
      </c>
      <c r="K34" s="30">
        <f>IF(E34=0.3,J34,0)</f>
        <v>0</v>
      </c>
      <c r="L34" s="30">
        <f>IF(AND(E34&gt;0.3,E34&lt;=0.75),J34,0)</f>
        <v>0</v>
      </c>
      <c r="M34" s="30">
        <f>IF(AND(E34&gt;0.75,E34&lt;=1.2),J34,0)</f>
        <v>0</v>
      </c>
      <c r="N34" s="30">
        <f>IF(E34&gt;1.2,J34,0)</f>
        <v>4.7101999999999995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5"/>
      <c r="Z34" s="5"/>
      <c r="AA34" s="5"/>
      <c r="AB34" s="5"/>
      <c r="AC34" s="5"/>
      <c r="AD34" s="5"/>
      <c r="AE34" s="5"/>
    </row>
    <row r="35" spans="1:31" s="3" customFormat="1" ht="20.100000000000001" customHeight="1" x14ac:dyDescent="0.25">
      <c r="A35" s="31"/>
      <c r="B35" s="6" t="s">
        <v>59</v>
      </c>
      <c r="C35" s="32" t="s">
        <v>35</v>
      </c>
      <c r="D35" s="6">
        <v>16</v>
      </c>
      <c r="E35" s="6"/>
      <c r="F35" s="6">
        <v>2</v>
      </c>
      <c r="G35" s="33">
        <f>VLOOKUP(D35,$B$12:$E$18,4,0)</f>
        <v>0.72499999999999998</v>
      </c>
      <c r="H35" s="33"/>
      <c r="I35" s="6"/>
      <c r="J35" s="6"/>
      <c r="K35" s="6"/>
      <c r="L35" s="6"/>
      <c r="M35" s="6"/>
      <c r="N35" s="6"/>
      <c r="O35" s="6">
        <f>(E34+2*(G35+(2*D35/1000)))*D34</f>
        <v>5.7960000000000003</v>
      </c>
      <c r="P35" s="6">
        <f>O35*F35</f>
        <v>11.592000000000001</v>
      </c>
      <c r="Q35" s="6">
        <f>IF($D35=Q$24,$P35*Q$25,0)</f>
        <v>0</v>
      </c>
      <c r="R35" s="6">
        <f t="shared" ref="Q35:W50" si="4">IF($D35=R$24,$P35*R$25,0)</f>
        <v>0</v>
      </c>
      <c r="S35" s="6">
        <f t="shared" si="4"/>
        <v>0</v>
      </c>
      <c r="T35" s="6">
        <f t="shared" si="4"/>
        <v>18.303436800000004</v>
      </c>
      <c r="U35" s="6">
        <f t="shared" si="4"/>
        <v>0</v>
      </c>
      <c r="V35" s="6">
        <f t="shared" si="4"/>
        <v>0</v>
      </c>
      <c r="W35" s="6">
        <f t="shared" si="4"/>
        <v>0</v>
      </c>
      <c r="X35" s="6">
        <f t="shared" ref="X35:X40" si="5">SUM(Q35:W35)</f>
        <v>18.303436800000004</v>
      </c>
      <c r="Y35" s="5"/>
      <c r="Z35" s="5"/>
      <c r="AA35" s="5"/>
      <c r="AB35" s="5"/>
      <c r="AC35" s="5"/>
      <c r="AD35" s="5"/>
    </row>
    <row r="36" spans="1:31" s="3" customFormat="1" ht="20.100000000000001" customHeight="1" x14ac:dyDescent="0.25">
      <c r="A36" s="31"/>
      <c r="B36" s="6" t="s">
        <v>59</v>
      </c>
      <c r="C36" s="32" t="s">
        <v>36</v>
      </c>
      <c r="D36" s="6">
        <v>20</v>
      </c>
      <c r="E36" s="6"/>
      <c r="F36" s="6">
        <v>2</v>
      </c>
      <c r="G36" s="33">
        <f>VLOOKUP(D36,$B$12:$E$18,4,0)</f>
        <v>0.91</v>
      </c>
      <c r="H36" s="6"/>
      <c r="I36" s="6"/>
      <c r="J36" s="6"/>
      <c r="K36" s="6"/>
      <c r="L36" s="6"/>
      <c r="M36" s="6"/>
      <c r="N36" s="6"/>
      <c r="O36" s="6">
        <f>(E34+2*(G36+(2*D36/1000)))*D34</f>
        <v>6.1820000000000004</v>
      </c>
      <c r="P36" s="6">
        <f>O36*F36</f>
        <v>12.364000000000001</v>
      </c>
      <c r="Q36" s="6">
        <f t="shared" si="4"/>
        <v>0</v>
      </c>
      <c r="R36" s="6">
        <f t="shared" si="4"/>
        <v>0</v>
      </c>
      <c r="S36" s="6">
        <f t="shared" si="4"/>
        <v>0</v>
      </c>
      <c r="T36" s="6">
        <f t="shared" si="4"/>
        <v>0</v>
      </c>
      <c r="U36" s="6">
        <f t="shared" si="4"/>
        <v>30.503754285714287</v>
      </c>
      <c r="V36" s="6">
        <f t="shared" si="4"/>
        <v>0</v>
      </c>
      <c r="W36" s="6">
        <f t="shared" si="4"/>
        <v>0</v>
      </c>
      <c r="X36" s="6">
        <f t="shared" si="5"/>
        <v>30.503754285714287</v>
      </c>
      <c r="Y36" s="5"/>
      <c r="Z36" s="5"/>
      <c r="AA36" s="5"/>
      <c r="AB36" s="5"/>
      <c r="AC36" s="5"/>
      <c r="AD36" s="5"/>
    </row>
    <row r="37" spans="1:31" s="3" customFormat="1" ht="20.100000000000001" customHeight="1" x14ac:dyDescent="0.25">
      <c r="A37" s="31"/>
      <c r="B37" s="6" t="s">
        <v>59</v>
      </c>
      <c r="C37" s="32" t="s">
        <v>57</v>
      </c>
      <c r="D37" s="6">
        <v>12</v>
      </c>
      <c r="E37" s="6"/>
      <c r="F37" s="6">
        <v>2</v>
      </c>
      <c r="G37" s="33">
        <f>VLOOKUP(D37,$B$12:$E$18,4,0)</f>
        <v>0.54500000000000004</v>
      </c>
      <c r="H37" s="6"/>
      <c r="I37" s="6"/>
      <c r="J37" s="6"/>
      <c r="K37" s="6"/>
      <c r="L37" s="6"/>
      <c r="M37" s="6"/>
      <c r="N37" s="6"/>
      <c r="O37" s="6">
        <f>(E34-0.5+2*(G37+(2*D37/1000)))*D34</f>
        <v>4.92</v>
      </c>
      <c r="P37" s="6">
        <f>O37*F37</f>
        <v>9.84</v>
      </c>
      <c r="Q37" s="6">
        <f t="shared" si="4"/>
        <v>0</v>
      </c>
      <c r="R37" s="6">
        <f t="shared" si="4"/>
        <v>0</v>
      </c>
      <c r="S37" s="6">
        <f t="shared" si="4"/>
        <v>8.7396068571428582</v>
      </c>
      <c r="T37" s="6">
        <f t="shared" si="4"/>
        <v>0</v>
      </c>
      <c r="U37" s="6">
        <f t="shared" si="4"/>
        <v>0</v>
      </c>
      <c r="V37" s="6">
        <f t="shared" si="4"/>
        <v>0</v>
      </c>
      <c r="W37" s="6">
        <f t="shared" si="4"/>
        <v>0</v>
      </c>
      <c r="X37" s="6">
        <f t="shared" si="5"/>
        <v>8.7396068571428582</v>
      </c>
      <c r="Y37" s="5"/>
      <c r="Z37" s="5"/>
      <c r="AA37" s="5"/>
      <c r="AB37" s="5"/>
      <c r="AC37" s="5"/>
      <c r="AD37" s="5"/>
    </row>
    <row r="38" spans="1:31" s="3" customFormat="1" ht="20.100000000000001" customHeight="1" x14ac:dyDescent="0.25">
      <c r="A38" s="31"/>
      <c r="B38" s="6" t="s">
        <v>59</v>
      </c>
      <c r="C38" s="32" t="s">
        <v>37</v>
      </c>
      <c r="D38" s="6">
        <v>8</v>
      </c>
      <c r="E38" s="6">
        <v>0.1</v>
      </c>
      <c r="F38" s="6">
        <f>ROUND(IF(E34/3&gt;(2*G34),(E34/3)/E38,(2*G34)/E38),0)*2+1</f>
        <v>29</v>
      </c>
      <c r="G38" s="33"/>
      <c r="H38" s="6"/>
      <c r="I38" s="6"/>
      <c r="J38" s="6"/>
      <c r="K38" s="6"/>
      <c r="L38" s="6"/>
      <c r="M38" s="6"/>
      <c r="N38" s="6"/>
      <c r="O38" s="6">
        <f>(2*((G34-(2*$D$4))+(F34-(2*$D$4)))+(2*10*D38/1000))*D34</f>
        <v>1.5599999999999998</v>
      </c>
      <c r="P38" s="6">
        <f t="shared" ref="P38" si="6">O38*F38</f>
        <v>45.239999999999995</v>
      </c>
      <c r="Q38" s="6">
        <f t="shared" si="4"/>
        <v>17.858166857142855</v>
      </c>
      <c r="R38" s="6">
        <f t="shared" si="4"/>
        <v>0</v>
      </c>
      <c r="S38" s="6">
        <f t="shared" si="4"/>
        <v>0</v>
      </c>
      <c r="T38" s="6">
        <f t="shared" si="4"/>
        <v>0</v>
      </c>
      <c r="U38" s="6">
        <f t="shared" si="4"/>
        <v>0</v>
      </c>
      <c r="V38" s="6">
        <f t="shared" si="4"/>
        <v>0</v>
      </c>
      <c r="W38" s="6">
        <f t="shared" si="4"/>
        <v>0</v>
      </c>
      <c r="X38" s="6">
        <f t="shared" si="5"/>
        <v>17.858166857142855</v>
      </c>
      <c r="Y38" s="5"/>
      <c r="Z38" s="5"/>
      <c r="AA38" s="5"/>
      <c r="AB38" s="5"/>
      <c r="AC38" s="5"/>
      <c r="AD38" s="5"/>
    </row>
    <row r="39" spans="1:31" s="4" customFormat="1" ht="20.100000000000001" customHeight="1" x14ac:dyDescent="0.3">
      <c r="A39" s="34"/>
      <c r="B39" s="6" t="s">
        <v>59</v>
      </c>
      <c r="C39" s="32" t="s">
        <v>37</v>
      </c>
      <c r="D39" s="34">
        <v>8</v>
      </c>
      <c r="E39" s="34">
        <v>0.2</v>
      </c>
      <c r="F39" s="34">
        <f>ROUND((E34-(IF(E34/3&gt;2*G34,E34/3*2,G34*2*2)))/E39,0)</f>
        <v>7</v>
      </c>
      <c r="G39" s="34"/>
      <c r="H39" s="34"/>
      <c r="I39" s="34"/>
      <c r="J39" s="34"/>
      <c r="K39" s="34"/>
      <c r="L39" s="34"/>
      <c r="M39" s="34"/>
      <c r="N39" s="34"/>
      <c r="O39" s="6">
        <f>(2*((G34-(2*$D$4))+(F34-(2*$D$4)))+(2*10*D39/1000))*D34</f>
        <v>1.5599999999999998</v>
      </c>
      <c r="P39" s="6">
        <f>O39*F39</f>
        <v>10.919999999999998</v>
      </c>
      <c r="Q39" s="6">
        <f t="shared" si="4"/>
        <v>4.3105919999999998</v>
      </c>
      <c r="R39" s="6">
        <f t="shared" si="4"/>
        <v>0</v>
      </c>
      <c r="S39" s="6">
        <f t="shared" si="4"/>
        <v>0</v>
      </c>
      <c r="T39" s="6">
        <f t="shared" si="4"/>
        <v>0</v>
      </c>
      <c r="U39" s="6">
        <f t="shared" si="4"/>
        <v>0</v>
      </c>
      <c r="V39" s="6">
        <f t="shared" si="4"/>
        <v>0</v>
      </c>
      <c r="W39" s="6">
        <f t="shared" si="4"/>
        <v>0</v>
      </c>
      <c r="X39" s="6">
        <f t="shared" si="5"/>
        <v>4.3105919999999998</v>
      </c>
    </row>
    <row r="40" spans="1:31" s="3" customFormat="1" ht="20.100000000000001" customHeight="1" x14ac:dyDescent="0.25">
      <c r="A40" s="31"/>
      <c r="B40" s="6" t="s">
        <v>59</v>
      </c>
      <c r="C40" s="32" t="s">
        <v>38</v>
      </c>
      <c r="D40" s="6">
        <f>+$D$7</f>
        <v>25</v>
      </c>
      <c r="E40" s="6">
        <f>+$E$7</f>
        <v>1</v>
      </c>
      <c r="F40" s="6">
        <f>ROUNDUP((E34-0.5)/E40,0)+1</f>
        <v>5</v>
      </c>
      <c r="G40" s="33"/>
      <c r="H40" s="33"/>
      <c r="I40" s="6"/>
      <c r="J40" s="6"/>
      <c r="K40" s="6"/>
      <c r="L40" s="6"/>
      <c r="M40" s="6"/>
      <c r="N40" s="6"/>
      <c r="O40" s="6">
        <f>+F34-(2*$D$4)</f>
        <v>0.15000000000000002</v>
      </c>
      <c r="P40" s="6">
        <f t="shared" ref="P40" si="7">O40*F40</f>
        <v>0.75000000000000011</v>
      </c>
      <c r="Q40" s="6">
        <f t="shared" si="4"/>
        <v>0</v>
      </c>
      <c r="R40" s="6">
        <f t="shared" si="4"/>
        <v>0</v>
      </c>
      <c r="S40" s="6">
        <f t="shared" si="4"/>
        <v>0</v>
      </c>
      <c r="T40" s="6">
        <f t="shared" si="4"/>
        <v>0</v>
      </c>
      <c r="U40" s="6">
        <f t="shared" si="4"/>
        <v>0</v>
      </c>
      <c r="V40" s="6">
        <f t="shared" si="4"/>
        <v>2.8911830357142865</v>
      </c>
      <c r="W40" s="6">
        <f t="shared" si="4"/>
        <v>0</v>
      </c>
      <c r="X40" s="6">
        <f t="shared" si="5"/>
        <v>2.8911830357142865</v>
      </c>
      <c r="Y40" s="5"/>
      <c r="Z40" s="5"/>
      <c r="AA40" s="5"/>
      <c r="AB40" s="5"/>
      <c r="AC40" s="5"/>
      <c r="AD40" s="5"/>
    </row>
    <row r="41" spans="1:31" s="3" customFormat="1" ht="21" customHeight="1" x14ac:dyDescent="0.25">
      <c r="A41" s="6">
        <f>+A34+1</f>
        <v>3</v>
      </c>
      <c r="B41" s="6" t="s">
        <v>59</v>
      </c>
      <c r="C41" s="29" t="s">
        <v>40</v>
      </c>
      <c r="D41" s="29">
        <v>1</v>
      </c>
      <c r="E41" s="29">
        <v>2.3980000000000001</v>
      </c>
      <c r="F41" s="29">
        <v>0.2</v>
      </c>
      <c r="G41" s="29">
        <v>0.6</v>
      </c>
      <c r="H41" s="6">
        <f>G41-0.15</f>
        <v>0.44999999999999996</v>
      </c>
      <c r="I41" s="6">
        <f>E41*F41*G41*D41</f>
        <v>0.28776000000000002</v>
      </c>
      <c r="J41" s="6">
        <f>(2*(E41)*H41*D41)+(E41*F41)</f>
        <v>2.6377999999999999</v>
      </c>
      <c r="K41" s="30">
        <f>IF(E41=0.3,J41,0)</f>
        <v>0</v>
      </c>
      <c r="L41" s="30">
        <f>IF(AND(E41&gt;0.3,E41&lt;=0.75),J41,0)</f>
        <v>0</v>
      </c>
      <c r="M41" s="30">
        <f>IF(AND(E41&gt;0.75,E41&lt;=1.2),J41,0)</f>
        <v>0</v>
      </c>
      <c r="N41" s="30">
        <f>IF(E41&gt;1.2,J41,0)</f>
        <v>2.6377999999999999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5"/>
      <c r="Z41" s="5"/>
      <c r="AA41" s="5"/>
      <c r="AB41" s="5"/>
      <c r="AC41" s="5"/>
      <c r="AD41" s="5"/>
      <c r="AE41" s="5"/>
    </row>
    <row r="42" spans="1:31" s="3" customFormat="1" ht="20.100000000000001" customHeight="1" x14ac:dyDescent="0.25">
      <c r="A42" s="31"/>
      <c r="B42" s="6" t="s">
        <v>59</v>
      </c>
      <c r="C42" s="32" t="s">
        <v>35</v>
      </c>
      <c r="D42" s="6">
        <v>20</v>
      </c>
      <c r="E42" s="6"/>
      <c r="F42" s="6">
        <v>2</v>
      </c>
      <c r="G42" s="33">
        <f>VLOOKUP(D42,$B$12:$E$18,4,0)</f>
        <v>0.91</v>
      </c>
      <c r="H42" s="33"/>
      <c r="I42" s="6"/>
      <c r="J42" s="6"/>
      <c r="K42" s="6"/>
      <c r="L42" s="6"/>
      <c r="M42" s="6"/>
      <c r="N42" s="6"/>
      <c r="O42" s="6">
        <f>(E41+2*(G42+(2*D42/1000)))*D41</f>
        <v>4.298</v>
      </c>
      <c r="P42" s="6">
        <f>O42*F42</f>
        <v>8.5960000000000001</v>
      </c>
      <c r="Q42" s="6">
        <f t="shared" si="4"/>
        <v>0</v>
      </c>
      <c r="R42" s="6">
        <f t="shared" si="4"/>
        <v>0</v>
      </c>
      <c r="S42" s="6">
        <f t="shared" si="4"/>
        <v>0</v>
      </c>
      <c r="T42" s="6">
        <f t="shared" si="4"/>
        <v>0</v>
      </c>
      <c r="U42" s="6">
        <f t="shared" si="4"/>
        <v>21.207560000000001</v>
      </c>
      <c r="V42" s="6">
        <f t="shared" si="4"/>
        <v>0</v>
      </c>
      <c r="W42" s="6">
        <f t="shared" si="4"/>
        <v>0</v>
      </c>
      <c r="X42" s="6">
        <f t="shared" ref="X42:X44" si="8">SUM(Q42:W42)</f>
        <v>21.207560000000001</v>
      </c>
      <c r="Y42" s="5"/>
      <c r="Z42" s="5"/>
      <c r="AA42" s="5"/>
      <c r="AB42" s="5"/>
      <c r="AC42" s="5"/>
      <c r="AD42" s="5"/>
    </row>
    <row r="43" spans="1:31" s="3" customFormat="1" ht="20.100000000000001" customHeight="1" x14ac:dyDescent="0.25">
      <c r="A43" s="31"/>
      <c r="B43" s="6" t="s">
        <v>59</v>
      </c>
      <c r="C43" s="32" t="s">
        <v>36</v>
      </c>
      <c r="D43" s="6">
        <v>20</v>
      </c>
      <c r="E43" s="6"/>
      <c r="F43" s="6">
        <v>2</v>
      </c>
      <c r="G43" s="33">
        <f>VLOOKUP(D43,$B$12:$E$18,4,0)</f>
        <v>0.91</v>
      </c>
      <c r="H43" s="6"/>
      <c r="I43" s="6"/>
      <c r="J43" s="6"/>
      <c r="K43" s="6"/>
      <c r="L43" s="6"/>
      <c r="M43" s="6"/>
      <c r="N43" s="6"/>
      <c r="O43" s="6">
        <f>(E41+2*(G43+(2*D43/1000)))*D41</f>
        <v>4.298</v>
      </c>
      <c r="P43" s="6">
        <f>O43*F43</f>
        <v>8.5960000000000001</v>
      </c>
      <c r="Q43" s="6">
        <f t="shared" si="4"/>
        <v>0</v>
      </c>
      <c r="R43" s="6">
        <f t="shared" si="4"/>
        <v>0</v>
      </c>
      <c r="S43" s="6">
        <f t="shared" si="4"/>
        <v>0</v>
      </c>
      <c r="T43" s="6">
        <f t="shared" si="4"/>
        <v>0</v>
      </c>
      <c r="U43" s="6">
        <f t="shared" si="4"/>
        <v>21.207560000000001</v>
      </c>
      <c r="V43" s="6">
        <f t="shared" si="4"/>
        <v>0</v>
      </c>
      <c r="W43" s="6">
        <f t="shared" si="4"/>
        <v>0</v>
      </c>
      <c r="X43" s="6">
        <f t="shared" si="8"/>
        <v>21.207560000000001</v>
      </c>
      <c r="Y43" s="5"/>
      <c r="Z43" s="5"/>
      <c r="AA43" s="5"/>
      <c r="AB43" s="5"/>
      <c r="AC43" s="5"/>
      <c r="AD43" s="5"/>
    </row>
    <row r="44" spans="1:31" s="3" customFormat="1" ht="20.100000000000001" customHeight="1" x14ac:dyDescent="0.25">
      <c r="A44" s="31"/>
      <c r="B44" s="6" t="s">
        <v>59</v>
      </c>
      <c r="C44" s="35" t="s">
        <v>37</v>
      </c>
      <c r="D44" s="6">
        <v>8</v>
      </c>
      <c r="E44" s="6">
        <v>0.1</v>
      </c>
      <c r="F44" s="6">
        <f>+ROUND(E41/E44,0)+1</f>
        <v>25</v>
      </c>
      <c r="G44" s="21"/>
      <c r="H44" s="6"/>
      <c r="I44" s="6"/>
      <c r="J44" s="6"/>
      <c r="K44" s="6"/>
      <c r="L44" s="6"/>
      <c r="M44" s="6"/>
      <c r="N44" s="6"/>
      <c r="O44" s="6">
        <f>(2*((G41-(2*$D$4))+(F41-(2*$D$4)))+((2*10)*D44/1000))*D41</f>
        <v>1.5599999999999998</v>
      </c>
      <c r="P44" s="6">
        <f>O44*F44</f>
        <v>38.999999999999993</v>
      </c>
      <c r="Q44" s="6">
        <f t="shared" si="4"/>
        <v>15.394971428571427</v>
      </c>
      <c r="R44" s="6">
        <f t="shared" si="4"/>
        <v>0</v>
      </c>
      <c r="S44" s="6">
        <f t="shared" si="4"/>
        <v>0</v>
      </c>
      <c r="T44" s="6">
        <f t="shared" si="4"/>
        <v>0</v>
      </c>
      <c r="U44" s="6">
        <f t="shared" si="4"/>
        <v>0</v>
      </c>
      <c r="V44" s="6">
        <f t="shared" si="4"/>
        <v>0</v>
      </c>
      <c r="W44" s="6">
        <f t="shared" si="4"/>
        <v>0</v>
      </c>
      <c r="X44" s="6">
        <f t="shared" si="8"/>
        <v>15.394971428571427</v>
      </c>
      <c r="Y44" s="5"/>
      <c r="Z44" s="5"/>
      <c r="AA44" s="5"/>
      <c r="AB44" s="5"/>
      <c r="AC44" s="5"/>
      <c r="AD44" s="5"/>
    </row>
    <row r="45" spans="1:31" s="3" customFormat="1" ht="21" customHeight="1" x14ac:dyDescent="0.25">
      <c r="A45" s="6">
        <f>+A41+1</f>
        <v>4</v>
      </c>
      <c r="B45" s="6" t="s">
        <v>59</v>
      </c>
      <c r="C45" s="29" t="s">
        <v>41</v>
      </c>
      <c r="D45" s="29">
        <v>1</v>
      </c>
      <c r="E45" s="29">
        <v>6.8230000000000004</v>
      </c>
      <c r="F45" s="29">
        <v>0.2</v>
      </c>
      <c r="G45" s="29">
        <v>0.6</v>
      </c>
      <c r="H45" s="6">
        <f>G45-0.15</f>
        <v>0.44999999999999996</v>
      </c>
      <c r="I45" s="6">
        <f>E45*F45*G45*D45</f>
        <v>0.81876000000000015</v>
      </c>
      <c r="J45" s="6">
        <f>(2*(E45)*H45*D45)+(E45*F45)</f>
        <v>7.5053000000000001</v>
      </c>
      <c r="K45" s="30">
        <f>IF(E45=0.3,J45,0)</f>
        <v>0</v>
      </c>
      <c r="L45" s="30">
        <f>IF(AND(E45&gt;0.3,E45&lt;=0.75),J45,0)</f>
        <v>0</v>
      </c>
      <c r="M45" s="30">
        <f>IF(AND(E45&gt;0.75,E45&lt;=1.2),J45,0)</f>
        <v>0</v>
      </c>
      <c r="N45" s="30">
        <f>IF(E45&gt;1.2,J45,0)</f>
        <v>7.5053000000000001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5"/>
      <c r="Z45" s="5"/>
      <c r="AA45" s="5"/>
      <c r="AB45" s="5"/>
      <c r="AC45" s="5"/>
      <c r="AD45" s="5"/>
      <c r="AE45" s="5"/>
    </row>
    <row r="46" spans="1:31" s="3" customFormat="1" ht="20.100000000000001" customHeight="1" x14ac:dyDescent="0.25">
      <c r="A46" s="31"/>
      <c r="B46" s="6" t="s">
        <v>59</v>
      </c>
      <c r="C46" s="32" t="s">
        <v>35</v>
      </c>
      <c r="D46" s="6">
        <v>16</v>
      </c>
      <c r="E46" s="6"/>
      <c r="F46" s="6">
        <v>2</v>
      </c>
      <c r="G46" s="33">
        <f>VLOOKUP(D46,$B$12:$E$18,4,0)</f>
        <v>0.72499999999999998</v>
      </c>
      <c r="H46" s="33"/>
      <c r="I46" s="6"/>
      <c r="J46" s="6"/>
      <c r="K46" s="6"/>
      <c r="L46" s="6"/>
      <c r="M46" s="6"/>
      <c r="N46" s="6"/>
      <c r="O46" s="6">
        <f>(E45+2*(G46+(2*D46/1000)))*D45</f>
        <v>8.3369999999999997</v>
      </c>
      <c r="P46" s="6">
        <f>O46*F46</f>
        <v>16.673999999999999</v>
      </c>
      <c r="Q46" s="6">
        <f t="shared" si="4"/>
        <v>0</v>
      </c>
      <c r="R46" s="6">
        <f t="shared" si="4"/>
        <v>0</v>
      </c>
      <c r="S46" s="6">
        <f t="shared" si="4"/>
        <v>0</v>
      </c>
      <c r="T46" s="6">
        <f t="shared" si="4"/>
        <v>26.3277696</v>
      </c>
      <c r="U46" s="6">
        <f t="shared" si="4"/>
        <v>0</v>
      </c>
      <c r="V46" s="6">
        <f t="shared" si="4"/>
        <v>0</v>
      </c>
      <c r="W46" s="6">
        <f t="shared" si="4"/>
        <v>0</v>
      </c>
      <c r="X46" s="6">
        <f t="shared" ref="X46:X53" si="9">SUM(Q46:W46)</f>
        <v>26.3277696</v>
      </c>
      <c r="Y46" s="5"/>
      <c r="Z46" s="5"/>
      <c r="AA46" s="5"/>
      <c r="AB46" s="5"/>
      <c r="AC46" s="5"/>
      <c r="AD46" s="5"/>
    </row>
    <row r="47" spans="1:31" s="3" customFormat="1" ht="20.100000000000001" customHeight="1" x14ac:dyDescent="0.25">
      <c r="A47" s="31"/>
      <c r="B47" s="6" t="s">
        <v>59</v>
      </c>
      <c r="C47" s="32" t="s">
        <v>58</v>
      </c>
      <c r="D47" s="6">
        <v>12</v>
      </c>
      <c r="E47" s="6"/>
      <c r="F47" s="6">
        <v>2</v>
      </c>
      <c r="G47" s="33">
        <f>VLOOKUP(D47,$B$12:$E$18,4,0)</f>
        <v>0.54500000000000004</v>
      </c>
      <c r="H47" s="33"/>
      <c r="I47" s="6"/>
      <c r="J47" s="6"/>
      <c r="K47" s="6"/>
      <c r="L47" s="6"/>
      <c r="M47" s="6"/>
      <c r="N47" s="6"/>
      <c r="O47" s="6">
        <f>(2.15+1*(G47+(2*D47/1000)))*D45</f>
        <v>2.7189999999999999</v>
      </c>
      <c r="P47" s="6">
        <f>O47*F47</f>
        <v>5.4379999999999997</v>
      </c>
      <c r="Q47" s="6">
        <f t="shared" si="4"/>
        <v>0</v>
      </c>
      <c r="R47" s="6">
        <f t="shared" si="4"/>
        <v>0</v>
      </c>
      <c r="S47" s="6">
        <f t="shared" si="4"/>
        <v>4.829876228571429</v>
      </c>
      <c r="T47" s="6">
        <f t="shared" si="4"/>
        <v>0</v>
      </c>
      <c r="U47" s="6">
        <f t="shared" si="4"/>
        <v>0</v>
      </c>
      <c r="V47" s="6">
        <f t="shared" si="4"/>
        <v>0</v>
      </c>
      <c r="W47" s="6">
        <f t="shared" si="4"/>
        <v>0</v>
      </c>
      <c r="X47" s="6">
        <f t="shared" si="9"/>
        <v>4.829876228571429</v>
      </c>
      <c r="Y47" s="5"/>
      <c r="Z47" s="5"/>
      <c r="AA47" s="5"/>
      <c r="AB47" s="5"/>
      <c r="AC47" s="5"/>
      <c r="AD47" s="5"/>
    </row>
    <row r="48" spans="1:31" s="3" customFormat="1" ht="20.100000000000001" customHeight="1" x14ac:dyDescent="0.25">
      <c r="A48" s="31"/>
      <c r="B48" s="6" t="s">
        <v>59</v>
      </c>
      <c r="C48" s="32" t="s">
        <v>36</v>
      </c>
      <c r="D48" s="6">
        <v>20</v>
      </c>
      <c r="E48" s="6"/>
      <c r="F48" s="6">
        <v>2</v>
      </c>
      <c r="G48" s="33">
        <f>VLOOKUP(D48,$B$12:$E$18,4,0)</f>
        <v>0.91</v>
      </c>
      <c r="H48" s="6"/>
      <c r="I48" s="6"/>
      <c r="J48" s="6"/>
      <c r="K48" s="6"/>
      <c r="L48" s="6"/>
      <c r="M48" s="6"/>
      <c r="N48" s="6"/>
      <c r="O48" s="6">
        <f>(E45+2*(G48+(2*D48/1000)))*D45</f>
        <v>8.7230000000000008</v>
      </c>
      <c r="P48" s="6">
        <f>O48*F48</f>
        <v>17.446000000000002</v>
      </c>
      <c r="Q48" s="6">
        <f t="shared" si="4"/>
        <v>0</v>
      </c>
      <c r="R48" s="6">
        <f t="shared" si="4"/>
        <v>0</v>
      </c>
      <c r="S48" s="6">
        <f t="shared" si="4"/>
        <v>0</v>
      </c>
      <c r="T48" s="6">
        <f t="shared" si="4"/>
        <v>0</v>
      </c>
      <c r="U48" s="6">
        <f t="shared" si="4"/>
        <v>43.04177428571429</v>
      </c>
      <c r="V48" s="6">
        <f t="shared" si="4"/>
        <v>0</v>
      </c>
      <c r="W48" s="6">
        <f t="shared" si="4"/>
        <v>0</v>
      </c>
      <c r="X48" s="6">
        <f t="shared" si="9"/>
        <v>43.04177428571429</v>
      </c>
      <c r="Y48" s="5"/>
      <c r="Z48" s="5"/>
      <c r="AA48" s="5"/>
      <c r="AB48" s="5"/>
      <c r="AC48" s="5"/>
      <c r="AD48" s="5"/>
    </row>
    <row r="49" spans="1:31" s="3" customFormat="1" ht="20.100000000000001" customHeight="1" x14ac:dyDescent="0.25">
      <c r="A49" s="31"/>
      <c r="B49" s="6" t="s">
        <v>59</v>
      </c>
      <c r="C49" s="32" t="s">
        <v>57</v>
      </c>
      <c r="D49" s="6">
        <v>16</v>
      </c>
      <c r="E49" s="6"/>
      <c r="F49" s="6">
        <v>2</v>
      </c>
      <c r="G49" s="33">
        <f>VLOOKUP(D49,$B$12:$E$18,4,0)</f>
        <v>0.72499999999999998</v>
      </c>
      <c r="H49" s="6"/>
      <c r="I49" s="6"/>
      <c r="J49" s="6"/>
      <c r="K49" s="6"/>
      <c r="L49" s="6"/>
      <c r="M49" s="6"/>
      <c r="N49" s="6"/>
      <c r="O49" s="6">
        <f>(E45-0.5+1*(G49+(2*D49/1000)))*D45</f>
        <v>7.08</v>
      </c>
      <c r="P49" s="6">
        <f>O49*F49</f>
        <v>14.16</v>
      </c>
      <c r="Q49" s="6">
        <f t="shared" si="4"/>
        <v>0</v>
      </c>
      <c r="R49" s="6">
        <f t="shared" si="4"/>
        <v>0</v>
      </c>
      <c r="S49" s="6">
        <f t="shared" si="4"/>
        <v>0</v>
      </c>
      <c r="T49" s="6">
        <f t="shared" si="4"/>
        <v>22.35823542857143</v>
      </c>
      <c r="U49" s="6">
        <f t="shared" si="4"/>
        <v>0</v>
      </c>
      <c r="V49" s="6">
        <f t="shared" si="4"/>
        <v>0</v>
      </c>
      <c r="W49" s="6">
        <f t="shared" si="4"/>
        <v>0</v>
      </c>
      <c r="X49" s="6">
        <f t="shared" si="9"/>
        <v>22.35823542857143</v>
      </c>
      <c r="Y49" s="5"/>
      <c r="Z49" s="5"/>
      <c r="AA49" s="5"/>
      <c r="AB49" s="5"/>
      <c r="AC49" s="5"/>
      <c r="AD49" s="5"/>
    </row>
    <row r="50" spans="1:31" s="3" customFormat="1" ht="20.100000000000001" customHeight="1" x14ac:dyDescent="0.25">
      <c r="A50" s="31"/>
      <c r="B50" s="6" t="s">
        <v>59</v>
      </c>
      <c r="C50" s="32" t="s">
        <v>37</v>
      </c>
      <c r="D50" s="6">
        <v>8</v>
      </c>
      <c r="E50" s="6">
        <v>0.1</v>
      </c>
      <c r="F50" s="6">
        <f>ROUND(IF(E45/3&gt;(2*G45),(E45/3)/E50,(2*G45)/E50),0)*2+1</f>
        <v>47</v>
      </c>
      <c r="G50" s="33"/>
      <c r="H50" s="6"/>
      <c r="I50" s="6"/>
      <c r="J50" s="6"/>
      <c r="K50" s="6"/>
      <c r="L50" s="6"/>
      <c r="M50" s="6"/>
      <c r="N50" s="6"/>
      <c r="O50" s="6">
        <f>(2*((G45-(2*$D$4))+(F45-(2*$D$4)))+(2*10*D50/1000))*D45</f>
        <v>1.5599999999999998</v>
      </c>
      <c r="P50" s="6">
        <f t="shared" ref="P50" si="10">O50*F50</f>
        <v>73.319999999999993</v>
      </c>
      <c r="Q50" s="6">
        <f t="shared" si="4"/>
        <v>28.942546285714286</v>
      </c>
      <c r="R50" s="6">
        <f t="shared" si="4"/>
        <v>0</v>
      </c>
      <c r="S50" s="6">
        <f t="shared" si="4"/>
        <v>0</v>
      </c>
      <c r="T50" s="6">
        <f t="shared" si="4"/>
        <v>0</v>
      </c>
      <c r="U50" s="6">
        <f t="shared" si="4"/>
        <v>0</v>
      </c>
      <c r="V50" s="6">
        <f t="shared" si="4"/>
        <v>0</v>
      </c>
      <c r="W50" s="6">
        <f t="shared" si="4"/>
        <v>0</v>
      </c>
      <c r="X50" s="6">
        <f t="shared" si="9"/>
        <v>28.942546285714286</v>
      </c>
      <c r="Y50" s="5"/>
      <c r="Z50" s="5"/>
      <c r="AA50" s="5"/>
      <c r="AB50" s="5"/>
      <c r="AC50" s="5"/>
      <c r="AD50" s="5"/>
    </row>
    <row r="51" spans="1:31" s="4" customFormat="1" ht="20.100000000000001" customHeight="1" x14ac:dyDescent="0.3">
      <c r="A51" s="34"/>
      <c r="B51" s="6" t="s">
        <v>59</v>
      </c>
      <c r="C51" s="32" t="s">
        <v>37</v>
      </c>
      <c r="D51" s="34">
        <v>8</v>
      </c>
      <c r="E51" s="34">
        <v>0.2</v>
      </c>
      <c r="F51" s="34">
        <f>ROUND((E45-(IF(E45/3&gt;2*G45,E45/3*2,G45*2*2)))/E51,0)</f>
        <v>11</v>
      </c>
      <c r="G51" s="34"/>
      <c r="H51" s="34"/>
      <c r="I51" s="34"/>
      <c r="J51" s="34"/>
      <c r="K51" s="34"/>
      <c r="L51" s="34"/>
      <c r="M51" s="34"/>
      <c r="N51" s="34"/>
      <c r="O51" s="6">
        <f>(2*((G45-(2*$D$4))+(F45-(2*$D$4)))+(2*10*D51/1000))*D45</f>
        <v>1.5599999999999998</v>
      </c>
      <c r="P51" s="6">
        <f>O51*F51</f>
        <v>17.159999999999997</v>
      </c>
      <c r="Q51" s="6">
        <f t="shared" ref="Q51:W53" si="11">IF($D51=Q$24,$P51*Q$25,0)</f>
        <v>6.7737874285714277</v>
      </c>
      <c r="R51" s="6">
        <f t="shared" si="11"/>
        <v>0</v>
      </c>
      <c r="S51" s="6">
        <f t="shared" si="11"/>
        <v>0</v>
      </c>
      <c r="T51" s="6">
        <f t="shared" si="11"/>
        <v>0</v>
      </c>
      <c r="U51" s="6">
        <f t="shared" si="11"/>
        <v>0</v>
      </c>
      <c r="V51" s="6">
        <f t="shared" si="11"/>
        <v>0</v>
      </c>
      <c r="W51" s="6">
        <f t="shared" si="11"/>
        <v>0</v>
      </c>
      <c r="X51" s="6">
        <f t="shared" si="9"/>
        <v>6.7737874285714277</v>
      </c>
    </row>
    <row r="52" spans="1:31" s="3" customFormat="1" ht="20.100000000000001" customHeight="1" x14ac:dyDescent="0.25">
      <c r="A52" s="31"/>
      <c r="B52" s="6" t="s">
        <v>59</v>
      </c>
      <c r="C52" s="32" t="s">
        <v>38</v>
      </c>
      <c r="D52" s="6">
        <f>+$D$7</f>
        <v>25</v>
      </c>
      <c r="E52" s="6">
        <f>+$E$7</f>
        <v>1</v>
      </c>
      <c r="F52" s="6">
        <f>ROUNDUP((2.15)/E52,0)+1</f>
        <v>4</v>
      </c>
      <c r="G52" s="33"/>
      <c r="H52" s="33"/>
      <c r="I52" s="6"/>
      <c r="J52" s="6"/>
      <c r="K52" s="6"/>
      <c r="L52" s="6"/>
      <c r="M52" s="6"/>
      <c r="N52" s="6"/>
      <c r="O52" s="6">
        <f>+F45-(2*$D$4)</f>
        <v>0.15000000000000002</v>
      </c>
      <c r="P52" s="6">
        <f>O52*F52</f>
        <v>0.60000000000000009</v>
      </c>
      <c r="Q52" s="6">
        <f t="shared" si="11"/>
        <v>0</v>
      </c>
      <c r="R52" s="6">
        <f t="shared" si="11"/>
        <v>0</v>
      </c>
      <c r="S52" s="6">
        <f t="shared" si="11"/>
        <v>0</v>
      </c>
      <c r="T52" s="6">
        <f t="shared" si="11"/>
        <v>0</v>
      </c>
      <c r="U52" s="6">
        <f t="shared" si="11"/>
        <v>0</v>
      </c>
      <c r="V52" s="6">
        <f t="shared" si="11"/>
        <v>2.3129464285714292</v>
      </c>
      <c r="W52" s="6">
        <f t="shared" si="11"/>
        <v>0</v>
      </c>
      <c r="X52" s="6">
        <f t="shared" si="9"/>
        <v>2.3129464285714292</v>
      </c>
      <c r="Y52" s="5"/>
      <c r="Z52" s="5"/>
      <c r="AA52" s="5"/>
      <c r="AB52" s="5"/>
      <c r="AC52" s="5"/>
      <c r="AD52" s="5"/>
    </row>
    <row r="53" spans="1:31" s="3" customFormat="1" ht="20.100000000000001" customHeight="1" x14ac:dyDescent="0.25">
      <c r="A53" s="31"/>
      <c r="B53" s="6" t="s">
        <v>59</v>
      </c>
      <c r="C53" s="32" t="s">
        <v>38</v>
      </c>
      <c r="D53" s="6">
        <f>+$D$7</f>
        <v>25</v>
      </c>
      <c r="E53" s="6">
        <f>+$E$7</f>
        <v>1</v>
      </c>
      <c r="F53" s="6">
        <f>ROUNDUP((E45-0.5)/E53,0)+1</f>
        <v>8</v>
      </c>
      <c r="G53" s="33"/>
      <c r="H53" s="33"/>
      <c r="I53" s="6"/>
      <c r="J53" s="6"/>
      <c r="K53" s="6"/>
      <c r="L53" s="6"/>
      <c r="M53" s="6"/>
      <c r="N53" s="6"/>
      <c r="O53" s="6">
        <f>+F45-(2*$D$4)</f>
        <v>0.15000000000000002</v>
      </c>
      <c r="P53" s="6">
        <f t="shared" ref="P53" si="12">O53*F53</f>
        <v>1.2000000000000002</v>
      </c>
      <c r="Q53" s="6">
        <f t="shared" si="11"/>
        <v>0</v>
      </c>
      <c r="R53" s="6">
        <f t="shared" si="11"/>
        <v>0</v>
      </c>
      <c r="S53" s="6">
        <f t="shared" si="11"/>
        <v>0</v>
      </c>
      <c r="T53" s="6">
        <f t="shared" si="11"/>
        <v>0</v>
      </c>
      <c r="U53" s="6">
        <f t="shared" si="11"/>
        <v>0</v>
      </c>
      <c r="V53" s="6">
        <f t="shared" si="11"/>
        <v>4.6258928571428584</v>
      </c>
      <c r="W53" s="6">
        <f t="shared" si="11"/>
        <v>0</v>
      </c>
      <c r="X53" s="6">
        <f t="shared" si="9"/>
        <v>4.6258928571428584</v>
      </c>
      <c r="Y53" s="5"/>
      <c r="Z53" s="5"/>
      <c r="AA53" s="5"/>
      <c r="AB53" s="5"/>
      <c r="AC53" s="5"/>
      <c r="AD53" s="5"/>
    </row>
    <row r="54" spans="1:31" s="3" customFormat="1" ht="21" customHeight="1" x14ac:dyDescent="0.25">
      <c r="A54" s="6">
        <f>+A45+1</f>
        <v>5</v>
      </c>
      <c r="B54" s="6" t="s">
        <v>59</v>
      </c>
      <c r="C54" s="29" t="s">
        <v>42</v>
      </c>
      <c r="D54" s="29">
        <v>1</v>
      </c>
      <c r="E54" s="29">
        <v>6.59</v>
      </c>
      <c r="F54" s="29">
        <v>0.2</v>
      </c>
      <c r="G54" s="29">
        <v>0.6</v>
      </c>
      <c r="H54" s="6">
        <f>G54-0.15</f>
        <v>0.44999999999999996</v>
      </c>
      <c r="I54" s="6">
        <f>E54*F54*G54*D54</f>
        <v>0.79080000000000006</v>
      </c>
      <c r="J54" s="6">
        <f>(2*(E54)*H54*D54)+(E54*F54)</f>
        <v>7.2489999999999988</v>
      </c>
      <c r="K54" s="30">
        <f>IF(E54=0.3,J54,0)</f>
        <v>0</v>
      </c>
      <c r="L54" s="30">
        <f>IF(AND(E54&gt;0.3,E54&lt;=0.75),J54,0)</f>
        <v>0</v>
      </c>
      <c r="M54" s="30">
        <f>IF(AND(E54&gt;0.75,E54&lt;=1.2),J54,0)</f>
        <v>0</v>
      </c>
      <c r="N54" s="30">
        <f>IF(E54&gt;1.2,J54,0)</f>
        <v>7.2489999999999988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5"/>
      <c r="Z54" s="5"/>
      <c r="AA54" s="5"/>
      <c r="AB54" s="5"/>
      <c r="AC54" s="5"/>
      <c r="AD54" s="5"/>
      <c r="AE54" s="5"/>
    </row>
    <row r="55" spans="1:31" s="3" customFormat="1" ht="20.100000000000001" customHeight="1" x14ac:dyDescent="0.25">
      <c r="A55" s="31"/>
      <c r="B55" s="6" t="s">
        <v>59</v>
      </c>
      <c r="C55" s="32" t="s">
        <v>35</v>
      </c>
      <c r="D55" s="6">
        <v>16</v>
      </c>
      <c r="E55" s="6"/>
      <c r="F55" s="6">
        <v>2</v>
      </c>
      <c r="G55" s="33">
        <f>VLOOKUP(D55,$B$12:$E$18,4,0)</f>
        <v>0.72499999999999998</v>
      </c>
      <c r="H55" s="33"/>
      <c r="I55" s="6"/>
      <c r="J55" s="6"/>
      <c r="K55" s="6"/>
      <c r="L55" s="6"/>
      <c r="M55" s="6"/>
      <c r="N55" s="6"/>
      <c r="O55" s="6">
        <f>(E54+2*(G55+(2*D55/1000)))*D54</f>
        <v>8.1039999999999992</v>
      </c>
      <c r="P55" s="6">
        <f>O55*F55</f>
        <v>16.207999999999998</v>
      </c>
      <c r="Q55" s="6">
        <f t="shared" ref="Q55:W74" si="13">IF($D55=Q$24,$P55*Q$25,0)</f>
        <v>0</v>
      </c>
      <c r="R55" s="6">
        <f t="shared" si="13"/>
        <v>0</v>
      </c>
      <c r="S55" s="6">
        <f t="shared" si="13"/>
        <v>0</v>
      </c>
      <c r="T55" s="6">
        <f t="shared" si="13"/>
        <v>25.591968914285715</v>
      </c>
      <c r="U55" s="6">
        <f t="shared" si="13"/>
        <v>0</v>
      </c>
      <c r="V55" s="6">
        <f t="shared" si="13"/>
        <v>0</v>
      </c>
      <c r="W55" s="6">
        <f t="shared" si="13"/>
        <v>0</v>
      </c>
      <c r="X55" s="6">
        <f t="shared" ref="X55:X62" si="14">SUM(Q55:W55)</f>
        <v>25.591968914285715</v>
      </c>
      <c r="Y55" s="5"/>
      <c r="Z55" s="5"/>
      <c r="AA55" s="5"/>
      <c r="AB55" s="5"/>
      <c r="AC55" s="5"/>
      <c r="AD55" s="5"/>
    </row>
    <row r="56" spans="1:31" s="3" customFormat="1" ht="20.100000000000001" customHeight="1" x14ac:dyDescent="0.25">
      <c r="A56" s="31"/>
      <c r="B56" s="6" t="s">
        <v>59</v>
      </c>
      <c r="C56" s="32" t="s">
        <v>58</v>
      </c>
      <c r="D56" s="6">
        <v>12</v>
      </c>
      <c r="E56" s="6"/>
      <c r="F56" s="6">
        <v>2</v>
      </c>
      <c r="G56" s="33">
        <f>VLOOKUP(D56,$B$12:$E$18,4,0)</f>
        <v>0.54500000000000004</v>
      </c>
      <c r="H56" s="33"/>
      <c r="I56" s="6"/>
      <c r="J56" s="6"/>
      <c r="K56" s="6"/>
      <c r="L56" s="6"/>
      <c r="M56" s="6"/>
      <c r="N56" s="6"/>
      <c r="O56" s="6">
        <f>(2.15+1*(G56+(2*D56/1000)))*D54</f>
        <v>2.7189999999999999</v>
      </c>
      <c r="P56" s="6">
        <f>O56*F56</f>
        <v>5.4379999999999997</v>
      </c>
      <c r="Q56" s="6">
        <f t="shared" si="13"/>
        <v>0</v>
      </c>
      <c r="R56" s="6">
        <f t="shared" si="13"/>
        <v>0</v>
      </c>
      <c r="S56" s="6">
        <f t="shared" si="13"/>
        <v>4.829876228571429</v>
      </c>
      <c r="T56" s="6">
        <f t="shared" si="13"/>
        <v>0</v>
      </c>
      <c r="U56" s="6">
        <f t="shared" si="13"/>
        <v>0</v>
      </c>
      <c r="V56" s="6">
        <f t="shared" si="13"/>
        <v>0</v>
      </c>
      <c r="W56" s="6">
        <f t="shared" si="13"/>
        <v>0</v>
      </c>
      <c r="X56" s="6">
        <f t="shared" si="14"/>
        <v>4.829876228571429</v>
      </c>
      <c r="Y56" s="5"/>
      <c r="Z56" s="5"/>
      <c r="AA56" s="5"/>
      <c r="AB56" s="5"/>
      <c r="AC56" s="5"/>
      <c r="AD56" s="5"/>
    </row>
    <row r="57" spans="1:31" s="3" customFormat="1" ht="20.100000000000001" customHeight="1" x14ac:dyDescent="0.25">
      <c r="A57" s="31"/>
      <c r="B57" s="6" t="s">
        <v>59</v>
      </c>
      <c r="C57" s="32" t="s">
        <v>36</v>
      </c>
      <c r="D57" s="6">
        <v>20</v>
      </c>
      <c r="E57" s="6"/>
      <c r="F57" s="6">
        <v>2</v>
      </c>
      <c r="G57" s="33">
        <f>VLOOKUP(D57,$B$12:$E$18,4,0)</f>
        <v>0.91</v>
      </c>
      <c r="H57" s="6"/>
      <c r="I57" s="6"/>
      <c r="J57" s="6"/>
      <c r="K57" s="6"/>
      <c r="L57" s="6"/>
      <c r="M57" s="6"/>
      <c r="N57" s="6"/>
      <c r="O57" s="6">
        <f>(E54+2*(G57+(2*D57/1000)))*D54</f>
        <v>8.49</v>
      </c>
      <c r="P57" s="6">
        <f>O57*F57</f>
        <v>16.98</v>
      </c>
      <c r="Q57" s="6">
        <f t="shared" si="13"/>
        <v>0</v>
      </c>
      <c r="R57" s="6">
        <f t="shared" si="13"/>
        <v>0</v>
      </c>
      <c r="S57" s="6">
        <f t="shared" si="13"/>
        <v>0</v>
      </c>
      <c r="T57" s="6">
        <f t="shared" si="13"/>
        <v>0</v>
      </c>
      <c r="U57" s="6">
        <f t="shared" si="13"/>
        <v>41.892085714285713</v>
      </c>
      <c r="V57" s="6">
        <f t="shared" si="13"/>
        <v>0</v>
      </c>
      <c r="W57" s="6">
        <f t="shared" si="13"/>
        <v>0</v>
      </c>
      <c r="X57" s="6">
        <f t="shared" si="14"/>
        <v>41.892085714285713</v>
      </c>
      <c r="Y57" s="5"/>
      <c r="Z57" s="5"/>
      <c r="AA57" s="5"/>
      <c r="AB57" s="5"/>
      <c r="AC57" s="5"/>
      <c r="AD57" s="5"/>
    </row>
    <row r="58" spans="1:31" s="3" customFormat="1" ht="20.100000000000001" customHeight="1" x14ac:dyDescent="0.25">
      <c r="A58" s="31"/>
      <c r="B58" s="6" t="s">
        <v>59</v>
      </c>
      <c r="C58" s="32" t="s">
        <v>57</v>
      </c>
      <c r="D58" s="6">
        <v>16</v>
      </c>
      <c r="E58" s="6"/>
      <c r="F58" s="6">
        <v>2</v>
      </c>
      <c r="G58" s="33">
        <f>VLOOKUP(D58,$B$12:$E$18,4,0)</f>
        <v>0.72499999999999998</v>
      </c>
      <c r="H58" s="6"/>
      <c r="I58" s="6"/>
      <c r="J58" s="6"/>
      <c r="K58" s="6"/>
      <c r="L58" s="6"/>
      <c r="M58" s="6"/>
      <c r="N58" s="6"/>
      <c r="O58" s="6">
        <f>(E54-0.5+1*(G58+(2*D58/1000)))*D54</f>
        <v>6.8469999999999995</v>
      </c>
      <c r="P58" s="6">
        <f>O58*F58</f>
        <v>13.693999999999999</v>
      </c>
      <c r="Q58" s="6">
        <f t="shared" si="13"/>
        <v>0</v>
      </c>
      <c r="R58" s="6">
        <f t="shared" si="13"/>
        <v>0</v>
      </c>
      <c r="S58" s="6">
        <f t="shared" si="13"/>
        <v>0</v>
      </c>
      <c r="T58" s="6">
        <f t="shared" si="13"/>
        <v>21.622434742857141</v>
      </c>
      <c r="U58" s="6">
        <f t="shared" si="13"/>
        <v>0</v>
      </c>
      <c r="V58" s="6">
        <f t="shared" si="13"/>
        <v>0</v>
      </c>
      <c r="W58" s="6">
        <f t="shared" si="13"/>
        <v>0</v>
      </c>
      <c r="X58" s="6">
        <f t="shared" si="14"/>
        <v>21.622434742857141</v>
      </c>
      <c r="Y58" s="5"/>
      <c r="Z58" s="5"/>
      <c r="AA58" s="5"/>
      <c r="AB58" s="5"/>
      <c r="AC58" s="5"/>
      <c r="AD58" s="5"/>
    </row>
    <row r="59" spans="1:31" s="3" customFormat="1" ht="20.100000000000001" customHeight="1" x14ac:dyDescent="0.25">
      <c r="A59" s="31"/>
      <c r="B59" s="6" t="s">
        <v>59</v>
      </c>
      <c r="C59" s="32" t="s">
        <v>37</v>
      </c>
      <c r="D59" s="6">
        <v>8</v>
      </c>
      <c r="E59" s="6">
        <v>0.1</v>
      </c>
      <c r="F59" s="6">
        <f>ROUND(IF(E54/3&gt;(2*G54),(E54/3)/E59,(2*G54)/E59),0)*2+1</f>
        <v>45</v>
      </c>
      <c r="G59" s="33"/>
      <c r="H59" s="6"/>
      <c r="I59" s="6"/>
      <c r="J59" s="6"/>
      <c r="K59" s="6"/>
      <c r="L59" s="6"/>
      <c r="M59" s="6"/>
      <c r="N59" s="6"/>
      <c r="O59" s="6">
        <f>(2*((G54-(2*$D$4))+(F54-(2*$D$4)))+(2*10*D59/1000))*D54</f>
        <v>1.5599999999999998</v>
      </c>
      <c r="P59" s="6">
        <f t="shared" ref="P59" si="15">O59*F59</f>
        <v>70.199999999999989</v>
      </c>
      <c r="Q59" s="6">
        <f t="shared" si="13"/>
        <v>27.71094857142857</v>
      </c>
      <c r="R59" s="6">
        <f t="shared" si="13"/>
        <v>0</v>
      </c>
      <c r="S59" s="6">
        <f t="shared" si="13"/>
        <v>0</v>
      </c>
      <c r="T59" s="6">
        <f t="shared" si="13"/>
        <v>0</v>
      </c>
      <c r="U59" s="6">
        <f t="shared" si="13"/>
        <v>0</v>
      </c>
      <c r="V59" s="6">
        <f t="shared" si="13"/>
        <v>0</v>
      </c>
      <c r="W59" s="6">
        <f t="shared" si="13"/>
        <v>0</v>
      </c>
      <c r="X59" s="6">
        <f t="shared" si="14"/>
        <v>27.71094857142857</v>
      </c>
      <c r="Y59" s="5"/>
      <c r="Z59" s="5"/>
      <c r="AA59" s="5"/>
      <c r="AB59" s="5"/>
      <c r="AC59" s="5"/>
      <c r="AD59" s="5"/>
    </row>
    <row r="60" spans="1:31" s="4" customFormat="1" ht="20.100000000000001" customHeight="1" x14ac:dyDescent="0.3">
      <c r="A60" s="34"/>
      <c r="B60" s="6" t="s">
        <v>59</v>
      </c>
      <c r="C60" s="32" t="s">
        <v>37</v>
      </c>
      <c r="D60" s="34">
        <v>8</v>
      </c>
      <c r="E60" s="34">
        <v>0.2</v>
      </c>
      <c r="F60" s="34">
        <f>ROUND((E54-(IF(E54/3&gt;2*G54,E54/3*2,G54*2*2)))/E60,0)</f>
        <v>11</v>
      </c>
      <c r="G60" s="34"/>
      <c r="H60" s="34"/>
      <c r="I60" s="34"/>
      <c r="J60" s="34"/>
      <c r="K60" s="34"/>
      <c r="L60" s="34"/>
      <c r="M60" s="34"/>
      <c r="N60" s="34"/>
      <c r="O60" s="6">
        <f>(2*((G54-(2*$D$4))+(F54-(2*$D$4)))+(2*10*D60/1000))*D54</f>
        <v>1.5599999999999998</v>
      </c>
      <c r="P60" s="6">
        <f>O60*F60</f>
        <v>17.159999999999997</v>
      </c>
      <c r="Q60" s="6">
        <f t="shared" si="13"/>
        <v>6.7737874285714277</v>
      </c>
      <c r="R60" s="6">
        <f t="shared" si="13"/>
        <v>0</v>
      </c>
      <c r="S60" s="6">
        <f t="shared" si="13"/>
        <v>0</v>
      </c>
      <c r="T60" s="6">
        <f t="shared" si="13"/>
        <v>0</v>
      </c>
      <c r="U60" s="6">
        <f t="shared" si="13"/>
        <v>0</v>
      </c>
      <c r="V60" s="6">
        <f t="shared" si="13"/>
        <v>0</v>
      </c>
      <c r="W60" s="6">
        <f t="shared" si="13"/>
        <v>0</v>
      </c>
      <c r="X60" s="6">
        <f t="shared" si="14"/>
        <v>6.7737874285714277</v>
      </c>
    </row>
    <row r="61" spans="1:31" s="3" customFormat="1" ht="20.100000000000001" customHeight="1" x14ac:dyDescent="0.25">
      <c r="A61" s="31"/>
      <c r="B61" s="6" t="s">
        <v>59</v>
      </c>
      <c r="C61" s="32" t="s">
        <v>38</v>
      </c>
      <c r="D61" s="6">
        <f>+$D$7</f>
        <v>25</v>
      </c>
      <c r="E61" s="6">
        <f>+$E$7</f>
        <v>1</v>
      </c>
      <c r="F61" s="6">
        <f>ROUNDUP((2.15)/E61,0)+1</f>
        <v>4</v>
      </c>
      <c r="G61" s="33"/>
      <c r="H61" s="33"/>
      <c r="I61" s="6"/>
      <c r="J61" s="6"/>
      <c r="K61" s="6"/>
      <c r="L61" s="6"/>
      <c r="M61" s="6"/>
      <c r="N61" s="6"/>
      <c r="O61" s="6">
        <f>+F54-(2*$D$4)</f>
        <v>0.15000000000000002</v>
      </c>
      <c r="P61" s="6">
        <f>O61*F61</f>
        <v>0.60000000000000009</v>
      </c>
      <c r="Q61" s="6">
        <f t="shared" si="13"/>
        <v>0</v>
      </c>
      <c r="R61" s="6">
        <f t="shared" si="13"/>
        <v>0</v>
      </c>
      <c r="S61" s="6">
        <f t="shared" si="13"/>
        <v>0</v>
      </c>
      <c r="T61" s="6">
        <f t="shared" si="13"/>
        <v>0</v>
      </c>
      <c r="U61" s="6">
        <f t="shared" si="13"/>
        <v>0</v>
      </c>
      <c r="V61" s="6">
        <f t="shared" si="13"/>
        <v>2.3129464285714292</v>
      </c>
      <c r="W61" s="6">
        <f t="shared" si="13"/>
        <v>0</v>
      </c>
      <c r="X61" s="6">
        <f t="shared" si="14"/>
        <v>2.3129464285714292</v>
      </c>
      <c r="Y61" s="5"/>
      <c r="Z61" s="5"/>
      <c r="AA61" s="5"/>
      <c r="AB61" s="5"/>
      <c r="AC61" s="5"/>
      <c r="AD61" s="5"/>
    </row>
    <row r="62" spans="1:31" s="3" customFormat="1" ht="20.100000000000001" customHeight="1" x14ac:dyDescent="0.25">
      <c r="A62" s="31"/>
      <c r="B62" s="6" t="s">
        <v>59</v>
      </c>
      <c r="C62" s="32" t="s">
        <v>38</v>
      </c>
      <c r="D62" s="6">
        <f>+$D$7</f>
        <v>25</v>
      </c>
      <c r="E62" s="6">
        <f>+$E$7</f>
        <v>1</v>
      </c>
      <c r="F62" s="6">
        <f>ROUNDUP((E54-0.5)/E62,0)+1</f>
        <v>8</v>
      </c>
      <c r="G62" s="33"/>
      <c r="H62" s="33"/>
      <c r="I62" s="6"/>
      <c r="J62" s="6"/>
      <c r="K62" s="6"/>
      <c r="L62" s="6"/>
      <c r="M62" s="6"/>
      <c r="N62" s="6"/>
      <c r="O62" s="6">
        <f>+F54-(2*$D$4)</f>
        <v>0.15000000000000002</v>
      </c>
      <c r="P62" s="6">
        <f t="shared" ref="P62" si="16">O62*F62</f>
        <v>1.2000000000000002</v>
      </c>
      <c r="Q62" s="6">
        <f t="shared" si="13"/>
        <v>0</v>
      </c>
      <c r="R62" s="6">
        <f t="shared" si="13"/>
        <v>0</v>
      </c>
      <c r="S62" s="6">
        <f t="shared" si="13"/>
        <v>0</v>
      </c>
      <c r="T62" s="6">
        <f t="shared" si="13"/>
        <v>0</v>
      </c>
      <c r="U62" s="6">
        <f t="shared" si="13"/>
        <v>0</v>
      </c>
      <c r="V62" s="6">
        <f t="shared" si="13"/>
        <v>4.6258928571428584</v>
      </c>
      <c r="W62" s="6">
        <f t="shared" si="13"/>
        <v>0</v>
      </c>
      <c r="X62" s="6">
        <f t="shared" si="14"/>
        <v>4.6258928571428584</v>
      </c>
      <c r="Y62" s="5"/>
      <c r="Z62" s="5"/>
      <c r="AA62" s="5"/>
      <c r="AB62" s="5"/>
      <c r="AC62" s="5"/>
      <c r="AD62" s="5"/>
    </row>
    <row r="63" spans="1:31" s="3" customFormat="1" ht="21" customHeight="1" x14ac:dyDescent="0.25">
      <c r="A63" s="6">
        <f>+A54+1</f>
        <v>6</v>
      </c>
      <c r="B63" s="6" t="s">
        <v>59</v>
      </c>
      <c r="C63" s="29" t="s">
        <v>43</v>
      </c>
      <c r="D63" s="29">
        <v>1</v>
      </c>
      <c r="E63" s="29">
        <v>3.8969999999999998</v>
      </c>
      <c r="F63" s="29">
        <v>0.2</v>
      </c>
      <c r="G63" s="29">
        <v>0.6</v>
      </c>
      <c r="H63" s="6">
        <f>G63-0.15</f>
        <v>0.44999999999999996</v>
      </c>
      <c r="I63" s="6">
        <f>E63*F63*G63*D63</f>
        <v>0.46763999999999994</v>
      </c>
      <c r="J63" s="6">
        <f>(2*(E63)*H63*D63)+(E63*F63)</f>
        <v>4.2866999999999997</v>
      </c>
      <c r="K63" s="30">
        <f>IF(E63=0.3,J63,0)</f>
        <v>0</v>
      </c>
      <c r="L63" s="30">
        <f>IF(AND(E63&gt;0.3,E63&lt;=0.75),J63,0)</f>
        <v>0</v>
      </c>
      <c r="M63" s="30">
        <f>IF(AND(E63&gt;0.75,E63&lt;=1.2),J63,0)</f>
        <v>0</v>
      </c>
      <c r="N63" s="30">
        <f>IF(E63&gt;1.2,J63,0)</f>
        <v>4.2866999999999997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5"/>
      <c r="Z63" s="5"/>
      <c r="AA63" s="5"/>
      <c r="AB63" s="5"/>
      <c r="AC63" s="5"/>
      <c r="AD63" s="5"/>
      <c r="AE63" s="5"/>
    </row>
    <row r="64" spans="1:31" s="3" customFormat="1" ht="20.100000000000001" customHeight="1" x14ac:dyDescent="0.25">
      <c r="A64" s="31"/>
      <c r="B64" s="6" t="s">
        <v>59</v>
      </c>
      <c r="C64" s="32" t="s">
        <v>35</v>
      </c>
      <c r="D64" s="6">
        <v>20</v>
      </c>
      <c r="E64" s="6"/>
      <c r="F64" s="6">
        <v>2</v>
      </c>
      <c r="G64" s="33">
        <f>VLOOKUP(D64,$B$12:$E$18,4,0)</f>
        <v>0.91</v>
      </c>
      <c r="H64" s="33"/>
      <c r="I64" s="6"/>
      <c r="J64" s="6"/>
      <c r="K64" s="6"/>
      <c r="L64" s="6"/>
      <c r="M64" s="6"/>
      <c r="N64" s="6"/>
      <c r="O64" s="6">
        <f>(E63+2*(G64+(2*D64/1000)))*D63</f>
        <v>5.7969999999999997</v>
      </c>
      <c r="P64" s="6">
        <f>O64*F64</f>
        <v>11.593999999999999</v>
      </c>
      <c r="Q64" s="6">
        <f t="shared" si="13"/>
        <v>0</v>
      </c>
      <c r="R64" s="6">
        <f t="shared" si="13"/>
        <v>0</v>
      </c>
      <c r="S64" s="6">
        <f t="shared" si="13"/>
        <v>0</v>
      </c>
      <c r="T64" s="6">
        <f t="shared" si="13"/>
        <v>0</v>
      </c>
      <c r="U64" s="6">
        <f t="shared" si="13"/>
        <v>28.604054285714284</v>
      </c>
      <c r="V64" s="6">
        <f t="shared" si="13"/>
        <v>0</v>
      </c>
      <c r="W64" s="6">
        <f t="shared" si="13"/>
        <v>0</v>
      </c>
      <c r="X64" s="6">
        <f t="shared" ref="X64:X66" si="17">SUM(Q64:W64)</f>
        <v>28.604054285714284</v>
      </c>
      <c r="Y64" s="5"/>
      <c r="Z64" s="5"/>
      <c r="AA64" s="5"/>
      <c r="AB64" s="5"/>
      <c r="AC64" s="5"/>
      <c r="AD64" s="5"/>
    </row>
    <row r="65" spans="1:31" s="3" customFormat="1" ht="20.100000000000001" customHeight="1" x14ac:dyDescent="0.25">
      <c r="A65" s="31"/>
      <c r="B65" s="6" t="s">
        <v>59</v>
      </c>
      <c r="C65" s="32" t="s">
        <v>36</v>
      </c>
      <c r="D65" s="6">
        <v>20</v>
      </c>
      <c r="E65" s="6"/>
      <c r="F65" s="6">
        <v>2</v>
      </c>
      <c r="G65" s="33">
        <f>VLOOKUP(D65,$B$12:$E$18,4,0)</f>
        <v>0.91</v>
      </c>
      <c r="H65" s="6"/>
      <c r="I65" s="6"/>
      <c r="J65" s="6"/>
      <c r="K65" s="6"/>
      <c r="L65" s="6"/>
      <c r="M65" s="6"/>
      <c r="N65" s="6"/>
      <c r="O65" s="6">
        <f>(E63+2*(G65+(2*D65/1000)))*D63</f>
        <v>5.7969999999999997</v>
      </c>
      <c r="P65" s="6">
        <f>O65*F65</f>
        <v>11.593999999999999</v>
      </c>
      <c r="Q65" s="6">
        <f t="shared" si="13"/>
        <v>0</v>
      </c>
      <c r="R65" s="6">
        <f t="shared" si="13"/>
        <v>0</v>
      </c>
      <c r="S65" s="6">
        <f t="shared" si="13"/>
        <v>0</v>
      </c>
      <c r="T65" s="6">
        <f t="shared" si="13"/>
        <v>0</v>
      </c>
      <c r="U65" s="6">
        <f t="shared" si="13"/>
        <v>28.604054285714284</v>
      </c>
      <c r="V65" s="6">
        <f t="shared" si="13"/>
        <v>0</v>
      </c>
      <c r="W65" s="6">
        <f t="shared" si="13"/>
        <v>0</v>
      </c>
      <c r="X65" s="6">
        <f t="shared" si="17"/>
        <v>28.604054285714284</v>
      </c>
      <c r="Y65" s="5"/>
      <c r="Z65" s="5"/>
      <c r="AA65" s="5"/>
      <c r="AB65" s="5"/>
      <c r="AC65" s="5"/>
      <c r="AD65" s="5"/>
    </row>
    <row r="66" spans="1:31" s="3" customFormat="1" ht="20.100000000000001" customHeight="1" x14ac:dyDescent="0.25">
      <c r="A66" s="31"/>
      <c r="B66" s="6" t="s">
        <v>59</v>
      </c>
      <c r="C66" s="35" t="s">
        <v>37</v>
      </c>
      <c r="D66" s="6">
        <v>8</v>
      </c>
      <c r="E66" s="6">
        <v>0.15</v>
      </c>
      <c r="F66" s="6">
        <f>+ROUND(E63/E66,0)+1</f>
        <v>27</v>
      </c>
      <c r="G66" s="21"/>
      <c r="H66" s="6"/>
      <c r="I66" s="6"/>
      <c r="J66" s="6"/>
      <c r="K66" s="6"/>
      <c r="L66" s="6"/>
      <c r="M66" s="6"/>
      <c r="N66" s="6"/>
      <c r="O66" s="6">
        <f>(2*((G63-(2*$D$4))+(F63-(2*$D$4)))+((2*10)*D66/1000))*D63</f>
        <v>1.5599999999999998</v>
      </c>
      <c r="P66" s="6">
        <f>O66*F66</f>
        <v>42.12</v>
      </c>
      <c r="Q66" s="6">
        <f t="shared" si="13"/>
        <v>16.626569142857143</v>
      </c>
      <c r="R66" s="6">
        <f t="shared" si="13"/>
        <v>0</v>
      </c>
      <c r="S66" s="6">
        <f t="shared" si="13"/>
        <v>0</v>
      </c>
      <c r="T66" s="6">
        <f t="shared" si="13"/>
        <v>0</v>
      </c>
      <c r="U66" s="6">
        <f t="shared" si="13"/>
        <v>0</v>
      </c>
      <c r="V66" s="6">
        <f t="shared" si="13"/>
        <v>0</v>
      </c>
      <c r="W66" s="6">
        <f t="shared" si="13"/>
        <v>0</v>
      </c>
      <c r="X66" s="6">
        <f t="shared" si="17"/>
        <v>16.626569142857143</v>
      </c>
      <c r="Y66" s="5"/>
      <c r="Z66" s="5"/>
      <c r="AA66" s="5"/>
      <c r="AB66" s="5"/>
      <c r="AC66" s="5"/>
      <c r="AD66" s="5"/>
    </row>
    <row r="67" spans="1:31" s="3" customFormat="1" ht="21" customHeight="1" x14ac:dyDescent="0.25">
      <c r="A67" s="6">
        <f>+A63+1</f>
        <v>7</v>
      </c>
      <c r="B67" s="6" t="s">
        <v>59</v>
      </c>
      <c r="C67" s="29" t="s">
        <v>44</v>
      </c>
      <c r="D67" s="29">
        <v>1</v>
      </c>
      <c r="E67" s="29">
        <v>1.19</v>
      </c>
      <c r="F67" s="29">
        <v>0.2</v>
      </c>
      <c r="G67" s="29">
        <v>0.6</v>
      </c>
      <c r="H67" s="6">
        <f>G67-0.15</f>
        <v>0.44999999999999996</v>
      </c>
      <c r="I67" s="6">
        <f>E67*F67*G67*D67</f>
        <v>0.14279999999999998</v>
      </c>
      <c r="J67" s="6">
        <f>(2*(E67)*H67*D67)+(E67*F67)</f>
        <v>1.3089999999999999</v>
      </c>
      <c r="K67" s="30">
        <f>IF(E67=0.3,J67,0)</f>
        <v>0</v>
      </c>
      <c r="L67" s="30">
        <f>IF(AND(E67&gt;0.3,E67&lt;=0.75),J67,0)</f>
        <v>0</v>
      </c>
      <c r="M67" s="30">
        <f>IF(AND(E67&gt;0.75,E67&lt;=1.2),J67,0)</f>
        <v>1.3089999999999999</v>
      </c>
      <c r="N67" s="30">
        <f>IF(E67&gt;1.2,J67,0)</f>
        <v>0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5"/>
      <c r="Z67" s="5"/>
      <c r="AA67" s="5"/>
      <c r="AB67" s="5"/>
      <c r="AC67" s="5"/>
      <c r="AD67" s="5"/>
      <c r="AE67" s="5"/>
    </row>
    <row r="68" spans="1:31" s="3" customFormat="1" ht="20.100000000000001" customHeight="1" x14ac:dyDescent="0.25">
      <c r="A68" s="31"/>
      <c r="B68" s="6" t="s">
        <v>59</v>
      </c>
      <c r="C68" s="32" t="s">
        <v>35</v>
      </c>
      <c r="D68" s="6">
        <v>20</v>
      </c>
      <c r="E68" s="6"/>
      <c r="F68" s="6">
        <v>2</v>
      </c>
      <c r="G68" s="33">
        <f>VLOOKUP(D68,$B$12:$E$18,4,0)</f>
        <v>0.91</v>
      </c>
      <c r="H68" s="33"/>
      <c r="I68" s="6"/>
      <c r="J68" s="6"/>
      <c r="K68" s="6"/>
      <c r="L68" s="6"/>
      <c r="M68" s="6"/>
      <c r="N68" s="6"/>
      <c r="O68" s="6">
        <f>(E67+1*(G68+(2*D68/1000)))*D67</f>
        <v>2.14</v>
      </c>
      <c r="P68" s="6">
        <f>O68*F68</f>
        <v>4.28</v>
      </c>
      <c r="Q68" s="6">
        <f t="shared" si="13"/>
        <v>0</v>
      </c>
      <c r="R68" s="6">
        <f t="shared" si="13"/>
        <v>0</v>
      </c>
      <c r="S68" s="6">
        <f t="shared" si="13"/>
        <v>0</v>
      </c>
      <c r="T68" s="6">
        <f t="shared" si="13"/>
        <v>0</v>
      </c>
      <c r="U68" s="6">
        <f t="shared" si="13"/>
        <v>10.55937142857143</v>
      </c>
      <c r="V68" s="6">
        <f t="shared" si="13"/>
        <v>0</v>
      </c>
      <c r="W68" s="6">
        <f t="shared" si="13"/>
        <v>0</v>
      </c>
      <c r="X68" s="6">
        <f t="shared" ref="X68:X71" si="18">SUM(Q68:W68)</f>
        <v>10.55937142857143</v>
      </c>
      <c r="Y68" s="5"/>
      <c r="Z68" s="5"/>
      <c r="AA68" s="5"/>
      <c r="AB68" s="5"/>
      <c r="AC68" s="5"/>
      <c r="AD68" s="5"/>
    </row>
    <row r="69" spans="1:31" s="3" customFormat="1" ht="20.100000000000001" customHeight="1" x14ac:dyDescent="0.25">
      <c r="A69" s="31"/>
      <c r="B69" s="6" t="s">
        <v>59</v>
      </c>
      <c r="C69" s="32" t="s">
        <v>58</v>
      </c>
      <c r="D69" s="6">
        <v>16</v>
      </c>
      <c r="E69" s="6"/>
      <c r="F69" s="6">
        <v>2</v>
      </c>
      <c r="G69" s="33">
        <f>VLOOKUP(D69,$B$12:$E$18,4,0)</f>
        <v>0.72499999999999998</v>
      </c>
      <c r="H69" s="33"/>
      <c r="I69" s="6"/>
      <c r="J69" s="6"/>
      <c r="K69" s="6"/>
      <c r="L69" s="6"/>
      <c r="M69" s="6"/>
      <c r="N69" s="6"/>
      <c r="O69" s="6">
        <f>(E67+1*(G69+(2*D69/1000)))*D67</f>
        <v>1.9470000000000001</v>
      </c>
      <c r="P69" s="6">
        <f>O69*F69</f>
        <v>3.8940000000000001</v>
      </c>
      <c r="Q69" s="6">
        <f t="shared" si="13"/>
        <v>0</v>
      </c>
      <c r="R69" s="6">
        <f t="shared" si="13"/>
        <v>0</v>
      </c>
      <c r="S69" s="6">
        <f t="shared" si="13"/>
        <v>0</v>
      </c>
      <c r="T69" s="6">
        <f t="shared" si="13"/>
        <v>6.1485147428571434</v>
      </c>
      <c r="U69" s="6">
        <f t="shared" si="13"/>
        <v>0</v>
      </c>
      <c r="V69" s="6">
        <f t="shared" si="13"/>
        <v>0</v>
      </c>
      <c r="W69" s="6">
        <f t="shared" si="13"/>
        <v>0</v>
      </c>
      <c r="X69" s="6">
        <f t="shared" si="18"/>
        <v>6.1485147428571434</v>
      </c>
      <c r="Y69" s="5"/>
      <c r="Z69" s="5"/>
      <c r="AA69" s="5"/>
      <c r="AB69" s="5"/>
      <c r="AC69" s="5"/>
      <c r="AD69" s="5"/>
    </row>
    <row r="70" spans="1:31" s="3" customFormat="1" ht="20.100000000000001" customHeight="1" x14ac:dyDescent="0.25">
      <c r="A70" s="31"/>
      <c r="B70" s="6" t="s">
        <v>59</v>
      </c>
      <c r="C70" s="32" t="s">
        <v>36</v>
      </c>
      <c r="D70" s="6">
        <v>20</v>
      </c>
      <c r="E70" s="6"/>
      <c r="F70" s="6">
        <v>2</v>
      </c>
      <c r="G70" s="33">
        <f>VLOOKUP(D70,$B$12:$E$18,4,0)</f>
        <v>0.91</v>
      </c>
      <c r="H70" s="6"/>
      <c r="I70" s="6"/>
      <c r="J70" s="6"/>
      <c r="K70" s="6"/>
      <c r="L70" s="6"/>
      <c r="M70" s="6"/>
      <c r="N70" s="6"/>
      <c r="O70" s="6">
        <f>(E67+1*(G70+(2*D70/1000)))*D67</f>
        <v>2.14</v>
      </c>
      <c r="P70" s="6">
        <f>O70*F70</f>
        <v>4.28</v>
      </c>
      <c r="Q70" s="6">
        <f t="shared" si="13"/>
        <v>0</v>
      </c>
      <c r="R70" s="6">
        <f t="shared" si="13"/>
        <v>0</v>
      </c>
      <c r="S70" s="6">
        <f t="shared" si="13"/>
        <v>0</v>
      </c>
      <c r="T70" s="6">
        <f t="shared" si="13"/>
        <v>0</v>
      </c>
      <c r="U70" s="6">
        <f t="shared" si="13"/>
        <v>10.55937142857143</v>
      </c>
      <c r="V70" s="6">
        <f t="shared" si="13"/>
        <v>0</v>
      </c>
      <c r="W70" s="6">
        <f t="shared" si="13"/>
        <v>0</v>
      </c>
      <c r="X70" s="6">
        <f t="shared" si="18"/>
        <v>10.55937142857143</v>
      </c>
      <c r="Y70" s="5"/>
      <c r="Z70" s="5"/>
      <c r="AA70" s="5"/>
      <c r="AB70" s="5"/>
      <c r="AC70" s="5"/>
      <c r="AD70" s="5"/>
    </row>
    <row r="71" spans="1:31" s="3" customFormat="1" ht="20.100000000000001" customHeight="1" x14ac:dyDescent="0.25">
      <c r="A71" s="31"/>
      <c r="B71" s="6" t="s">
        <v>59</v>
      </c>
      <c r="C71" s="35" t="s">
        <v>37</v>
      </c>
      <c r="D71" s="6">
        <v>10</v>
      </c>
      <c r="E71" s="6">
        <v>0.1</v>
      </c>
      <c r="F71" s="6">
        <f>+ROUND(E67/E71,0)+1</f>
        <v>13</v>
      </c>
      <c r="G71" s="21"/>
      <c r="H71" s="6"/>
      <c r="I71" s="6"/>
      <c r="J71" s="6"/>
      <c r="K71" s="6"/>
      <c r="L71" s="6"/>
      <c r="M71" s="6"/>
      <c r="N71" s="6"/>
      <c r="O71" s="6">
        <f>(2*((G67-(2*$D$4))+(F67-(2*$D$4)))+((2*10)*D71/1000))*D67</f>
        <v>1.5999999999999999</v>
      </c>
      <c r="P71" s="6">
        <f>O71*F71</f>
        <v>20.799999999999997</v>
      </c>
      <c r="Q71" s="6">
        <f t="shared" si="13"/>
        <v>0</v>
      </c>
      <c r="R71" s="6">
        <f t="shared" si="13"/>
        <v>12.829142857142855</v>
      </c>
      <c r="S71" s="6">
        <f t="shared" si="13"/>
        <v>0</v>
      </c>
      <c r="T71" s="6">
        <f t="shared" si="13"/>
        <v>0</v>
      </c>
      <c r="U71" s="6">
        <f t="shared" si="13"/>
        <v>0</v>
      </c>
      <c r="V71" s="6">
        <f t="shared" si="13"/>
        <v>0</v>
      </c>
      <c r="W71" s="6">
        <f t="shared" si="13"/>
        <v>0</v>
      </c>
      <c r="X71" s="6">
        <f t="shared" si="18"/>
        <v>12.829142857142855</v>
      </c>
      <c r="Y71" s="5"/>
      <c r="Z71" s="5"/>
      <c r="AA71" s="5"/>
      <c r="AB71" s="5"/>
      <c r="AC71" s="5"/>
      <c r="AD71" s="5"/>
    </row>
    <row r="72" spans="1:31" s="3" customFormat="1" ht="21" customHeight="1" x14ac:dyDescent="0.25">
      <c r="A72" s="6">
        <f>+A67+1</f>
        <v>8</v>
      </c>
      <c r="B72" s="6" t="s">
        <v>59</v>
      </c>
      <c r="C72" s="29" t="s">
        <v>45</v>
      </c>
      <c r="D72" s="29">
        <v>1</v>
      </c>
      <c r="E72" s="29">
        <v>2.2360000000000002</v>
      </c>
      <c r="F72" s="29">
        <v>0.2</v>
      </c>
      <c r="G72" s="29">
        <v>0.6</v>
      </c>
      <c r="H72" s="6">
        <f>G72-0.15</f>
        <v>0.44999999999999996</v>
      </c>
      <c r="I72" s="6">
        <f>E72*F72*G72*D72</f>
        <v>0.26832</v>
      </c>
      <c r="J72" s="6">
        <f>(2*(E72)*H72*D72)+(E72*F72)</f>
        <v>2.4596</v>
      </c>
      <c r="K72" s="30">
        <f>IF(E72=0.3,J72,0)</f>
        <v>0</v>
      </c>
      <c r="L72" s="30">
        <f>IF(AND(E72&gt;0.3,E72&lt;=0.75),J72,0)</f>
        <v>0</v>
      </c>
      <c r="M72" s="30">
        <f>IF(AND(E72&gt;0.75,E72&lt;=1.2),J72,0)</f>
        <v>0</v>
      </c>
      <c r="N72" s="30">
        <f>IF(E72&gt;1.2,J72,0)</f>
        <v>2.4596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5"/>
      <c r="Z72" s="5"/>
      <c r="AA72" s="5"/>
      <c r="AB72" s="5"/>
      <c r="AC72" s="5"/>
      <c r="AD72" s="5"/>
      <c r="AE72" s="5"/>
    </row>
    <row r="73" spans="1:31" s="3" customFormat="1" ht="20.100000000000001" customHeight="1" x14ac:dyDescent="0.25">
      <c r="A73" s="31"/>
      <c r="B73" s="6" t="s">
        <v>59</v>
      </c>
      <c r="C73" s="32" t="s">
        <v>35</v>
      </c>
      <c r="D73" s="6">
        <v>16</v>
      </c>
      <c r="E73" s="6"/>
      <c r="F73" s="6">
        <v>2</v>
      </c>
      <c r="G73" s="33">
        <f>VLOOKUP(D73,$B$12:$E$18,4,0)</f>
        <v>0.72499999999999998</v>
      </c>
      <c r="H73" s="33"/>
      <c r="I73" s="6"/>
      <c r="J73" s="6"/>
      <c r="K73" s="6"/>
      <c r="L73" s="6"/>
      <c r="M73" s="6"/>
      <c r="N73" s="6"/>
      <c r="O73" s="6">
        <f>+E72+0.88+0.616</f>
        <v>3.7320000000000002</v>
      </c>
      <c r="P73" s="6">
        <f>O73*F73</f>
        <v>7.4640000000000004</v>
      </c>
      <c r="Q73" s="6">
        <f t="shared" si="13"/>
        <v>0</v>
      </c>
      <c r="R73" s="6">
        <f t="shared" si="13"/>
        <v>0</v>
      </c>
      <c r="S73" s="6">
        <f t="shared" si="13"/>
        <v>0</v>
      </c>
      <c r="T73" s="6">
        <f t="shared" si="13"/>
        <v>11.785442742857144</v>
      </c>
      <c r="U73" s="6">
        <f t="shared" si="13"/>
        <v>0</v>
      </c>
      <c r="V73" s="6">
        <f t="shared" si="13"/>
        <v>0</v>
      </c>
      <c r="W73" s="6">
        <f t="shared" si="13"/>
        <v>0</v>
      </c>
      <c r="X73" s="6">
        <f t="shared" ref="X73:X78" si="19">SUM(Q73:W73)</f>
        <v>11.785442742857144</v>
      </c>
      <c r="Y73" s="5"/>
      <c r="Z73" s="5"/>
      <c r="AA73" s="5"/>
      <c r="AB73" s="5"/>
      <c r="AC73" s="5"/>
      <c r="AD73" s="5"/>
    </row>
    <row r="74" spans="1:31" s="3" customFormat="1" ht="20.100000000000001" customHeight="1" x14ac:dyDescent="0.25">
      <c r="A74" s="31"/>
      <c r="B74" s="6" t="s">
        <v>59</v>
      </c>
      <c r="C74" s="32" t="s">
        <v>35</v>
      </c>
      <c r="D74" s="6">
        <v>16</v>
      </c>
      <c r="E74" s="6"/>
      <c r="F74" s="6">
        <v>2</v>
      </c>
      <c r="G74" s="33">
        <f>VLOOKUP(D74,$B$12:$E$18,4,0)</f>
        <v>0.72499999999999998</v>
      </c>
      <c r="H74" s="33"/>
      <c r="I74" s="6"/>
      <c r="J74" s="6"/>
      <c r="K74" s="6"/>
      <c r="L74" s="6"/>
      <c r="M74" s="6"/>
      <c r="N74" s="6"/>
      <c r="O74" s="6">
        <f>+E72+0.88+0.616</f>
        <v>3.7320000000000002</v>
      </c>
      <c r="P74" s="6">
        <f>O74*F74</f>
        <v>7.4640000000000004</v>
      </c>
      <c r="Q74" s="6">
        <f t="shared" si="13"/>
        <v>0</v>
      </c>
      <c r="R74" s="6">
        <f t="shared" si="13"/>
        <v>0</v>
      </c>
      <c r="S74" s="6">
        <f t="shared" si="13"/>
        <v>0</v>
      </c>
      <c r="T74" s="6">
        <f t="shared" si="13"/>
        <v>11.785442742857144</v>
      </c>
      <c r="U74" s="6">
        <f t="shared" si="13"/>
        <v>0</v>
      </c>
      <c r="V74" s="6">
        <f t="shared" si="13"/>
        <v>0</v>
      </c>
      <c r="W74" s="6">
        <f t="shared" si="13"/>
        <v>0</v>
      </c>
      <c r="X74" s="6">
        <f t="shared" si="19"/>
        <v>11.785442742857144</v>
      </c>
      <c r="Y74" s="5"/>
      <c r="Z74" s="5"/>
      <c r="AA74" s="5"/>
      <c r="AB74" s="5"/>
      <c r="AC74" s="5"/>
      <c r="AD74" s="5"/>
    </row>
    <row r="75" spans="1:31" s="3" customFormat="1" ht="20.100000000000001" customHeight="1" x14ac:dyDescent="0.25">
      <c r="A75" s="31"/>
      <c r="B75" s="6" t="s">
        <v>59</v>
      </c>
      <c r="C75" s="32" t="s">
        <v>36</v>
      </c>
      <c r="D75" s="6">
        <v>16</v>
      </c>
      <c r="E75" s="6"/>
      <c r="F75" s="6">
        <v>2</v>
      </c>
      <c r="G75" s="33">
        <f>VLOOKUP(D75,$B$12:$E$18,4,0)</f>
        <v>0.72499999999999998</v>
      </c>
      <c r="H75" s="33"/>
      <c r="I75" s="6"/>
      <c r="J75" s="6"/>
      <c r="K75" s="6"/>
      <c r="L75" s="6"/>
      <c r="M75" s="6"/>
      <c r="N75" s="6"/>
      <c r="O75" s="6">
        <f>+E72+0.88+0.616</f>
        <v>3.7320000000000002</v>
      </c>
      <c r="P75" s="6">
        <f>O75*F75</f>
        <v>7.4640000000000004</v>
      </c>
      <c r="Q75" s="6">
        <f t="shared" ref="Q75:W78" si="20">IF($D75=Q$24,$P75*Q$25,0)</f>
        <v>0</v>
      </c>
      <c r="R75" s="6">
        <f t="shared" si="20"/>
        <v>0</v>
      </c>
      <c r="S75" s="6">
        <f t="shared" si="20"/>
        <v>0</v>
      </c>
      <c r="T75" s="6">
        <f t="shared" si="20"/>
        <v>11.785442742857144</v>
      </c>
      <c r="U75" s="6">
        <f t="shared" si="20"/>
        <v>0</v>
      </c>
      <c r="V75" s="6">
        <f t="shared" si="20"/>
        <v>0</v>
      </c>
      <c r="W75" s="6">
        <f t="shared" si="20"/>
        <v>0</v>
      </c>
      <c r="X75" s="6">
        <f t="shared" si="19"/>
        <v>11.785442742857144</v>
      </c>
      <c r="Y75" s="5"/>
      <c r="Z75" s="5"/>
      <c r="AA75" s="5"/>
      <c r="AB75" s="5"/>
      <c r="AC75" s="5"/>
      <c r="AD75" s="5"/>
    </row>
    <row r="76" spans="1:31" s="3" customFormat="1" ht="20.100000000000001" customHeight="1" x14ac:dyDescent="0.25">
      <c r="A76" s="31"/>
      <c r="B76" s="6" t="s">
        <v>59</v>
      </c>
      <c r="C76" s="32" t="s">
        <v>36</v>
      </c>
      <c r="D76" s="6">
        <v>16</v>
      </c>
      <c r="E76" s="6"/>
      <c r="F76" s="6">
        <v>2</v>
      </c>
      <c r="G76" s="33">
        <f>VLOOKUP(D76,$B$12:$E$18,4,0)</f>
        <v>0.72499999999999998</v>
      </c>
      <c r="H76" s="6"/>
      <c r="I76" s="6"/>
      <c r="J76" s="6"/>
      <c r="K76" s="6"/>
      <c r="L76" s="6"/>
      <c r="M76" s="6"/>
      <c r="N76" s="6"/>
      <c r="O76" s="6">
        <f>+E72+0.88+0.616</f>
        <v>3.7320000000000002</v>
      </c>
      <c r="P76" s="6">
        <f>O76*F76</f>
        <v>7.4640000000000004</v>
      </c>
      <c r="Q76" s="6">
        <f t="shared" si="20"/>
        <v>0</v>
      </c>
      <c r="R76" s="6">
        <f t="shared" si="20"/>
        <v>0</v>
      </c>
      <c r="S76" s="6">
        <f t="shared" si="20"/>
        <v>0</v>
      </c>
      <c r="T76" s="6">
        <f t="shared" si="20"/>
        <v>11.785442742857144</v>
      </c>
      <c r="U76" s="6">
        <f t="shared" si="20"/>
        <v>0</v>
      </c>
      <c r="V76" s="6">
        <f t="shared" si="20"/>
        <v>0</v>
      </c>
      <c r="W76" s="6">
        <f t="shared" si="20"/>
        <v>0</v>
      </c>
      <c r="X76" s="6">
        <f t="shared" si="19"/>
        <v>11.785442742857144</v>
      </c>
      <c r="Y76" s="5"/>
      <c r="Z76" s="5"/>
      <c r="AA76" s="5"/>
      <c r="AB76" s="5"/>
      <c r="AC76" s="5"/>
      <c r="AD76" s="5"/>
    </row>
    <row r="77" spans="1:31" s="3" customFormat="1" ht="20.100000000000001" customHeight="1" x14ac:dyDescent="0.25">
      <c r="A77" s="31"/>
      <c r="B77" s="6" t="s">
        <v>59</v>
      </c>
      <c r="C77" s="35" t="s">
        <v>37</v>
      </c>
      <c r="D77" s="6">
        <v>8</v>
      </c>
      <c r="E77" s="6">
        <v>0.1</v>
      </c>
      <c r="F77" s="6">
        <f>+ROUND(E72/E77,0)+1</f>
        <v>23</v>
      </c>
      <c r="G77" s="21"/>
      <c r="H77" s="6"/>
      <c r="I77" s="6"/>
      <c r="J77" s="6"/>
      <c r="K77" s="6"/>
      <c r="L77" s="6"/>
      <c r="M77" s="6"/>
      <c r="N77" s="6"/>
      <c r="O77" s="6">
        <f>(2*((G72-(2*$D$4))+(F72-(2*$D$4)))+((2*10)*D77/1000))*D72</f>
        <v>1.5599999999999998</v>
      </c>
      <c r="P77" s="6">
        <f>O77*F77</f>
        <v>35.879999999999995</v>
      </c>
      <c r="Q77" s="6">
        <f t="shared" si="20"/>
        <v>14.163373714285713</v>
      </c>
      <c r="R77" s="6">
        <f t="shared" si="20"/>
        <v>0</v>
      </c>
      <c r="S77" s="6">
        <f t="shared" si="20"/>
        <v>0</v>
      </c>
      <c r="T77" s="6">
        <f t="shared" si="20"/>
        <v>0</v>
      </c>
      <c r="U77" s="6">
        <f t="shared" si="20"/>
        <v>0</v>
      </c>
      <c r="V77" s="6">
        <f t="shared" si="20"/>
        <v>0</v>
      </c>
      <c r="W77" s="6">
        <f t="shared" si="20"/>
        <v>0</v>
      </c>
      <c r="X77" s="6">
        <f t="shared" si="19"/>
        <v>14.163373714285713</v>
      </c>
      <c r="Y77" s="5"/>
      <c r="Z77" s="5"/>
      <c r="AA77" s="5"/>
      <c r="AB77" s="5"/>
      <c r="AC77" s="5"/>
      <c r="AD77" s="5"/>
    </row>
    <row r="78" spans="1:31" s="3" customFormat="1" ht="20.100000000000001" customHeight="1" x14ac:dyDescent="0.25">
      <c r="A78" s="31"/>
      <c r="B78" s="6" t="s">
        <v>59</v>
      </c>
      <c r="C78" s="32" t="s">
        <v>56</v>
      </c>
      <c r="D78" s="6">
        <v>8</v>
      </c>
      <c r="E78" s="6">
        <v>0.13</v>
      </c>
      <c r="F78" s="6">
        <f>2*2</f>
        <v>4</v>
      </c>
      <c r="G78" s="33">
        <f>VLOOKUP(D78,$B$12:$E$18,4,0)</f>
        <v>0.36499999999999999</v>
      </c>
      <c r="H78" s="6"/>
      <c r="I78" s="6"/>
      <c r="J78" s="6"/>
      <c r="K78" s="6"/>
      <c r="L78" s="6"/>
      <c r="M78" s="6"/>
      <c r="N78" s="6"/>
      <c r="O78" s="6">
        <f>+E72</f>
        <v>2.2360000000000002</v>
      </c>
      <c r="P78" s="6">
        <f t="shared" ref="P78" si="21">O78*F78</f>
        <v>8.9440000000000008</v>
      </c>
      <c r="Q78" s="6">
        <f t="shared" si="20"/>
        <v>3.5305801142857147</v>
      </c>
      <c r="R78" s="6">
        <f t="shared" si="20"/>
        <v>0</v>
      </c>
      <c r="S78" s="6">
        <f t="shared" si="20"/>
        <v>0</v>
      </c>
      <c r="T78" s="6">
        <f t="shared" si="20"/>
        <v>0</v>
      </c>
      <c r="U78" s="6">
        <f t="shared" si="20"/>
        <v>0</v>
      </c>
      <c r="V78" s="6">
        <f t="shared" si="20"/>
        <v>0</v>
      </c>
      <c r="W78" s="6">
        <f t="shared" si="20"/>
        <v>0</v>
      </c>
      <c r="X78" s="6">
        <f t="shared" si="19"/>
        <v>3.5305801142857147</v>
      </c>
      <c r="Y78" s="5"/>
      <c r="Z78" s="5"/>
      <c r="AA78" s="5"/>
      <c r="AB78" s="5"/>
      <c r="AC78" s="5"/>
      <c r="AD78" s="5"/>
    </row>
    <row r="79" spans="1:31" s="3" customFormat="1" ht="21" customHeight="1" x14ac:dyDescent="0.25">
      <c r="A79" s="6">
        <f>+A72+1</f>
        <v>9</v>
      </c>
      <c r="B79" s="6" t="s">
        <v>59</v>
      </c>
      <c r="C79" s="29" t="s">
        <v>46</v>
      </c>
      <c r="D79" s="29">
        <v>1</v>
      </c>
      <c r="E79" s="29">
        <v>3.024</v>
      </c>
      <c r="F79" s="29">
        <v>0.2</v>
      </c>
      <c r="G79" s="29">
        <v>0.6</v>
      </c>
      <c r="H79" s="6">
        <f>G79-0.15</f>
        <v>0.44999999999999996</v>
      </c>
      <c r="I79" s="6">
        <f>E79*F79*G79*D79</f>
        <v>0.36287999999999998</v>
      </c>
      <c r="J79" s="6">
        <f>(2*(E79)*H79*D79)+(E79*F79)</f>
        <v>3.3263999999999996</v>
      </c>
      <c r="K79" s="30">
        <f>IF(E79=0.3,J79,0)</f>
        <v>0</v>
      </c>
      <c r="L79" s="30">
        <f>IF(AND(E79&gt;0.3,E79&lt;=0.75),J79,0)</f>
        <v>0</v>
      </c>
      <c r="M79" s="30">
        <f>IF(AND(E79&gt;0.75,E79&lt;=1.2),J79,0)</f>
        <v>0</v>
      </c>
      <c r="N79" s="30">
        <f>IF(E79&gt;1.2,J79,0)</f>
        <v>3.3263999999999996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5"/>
      <c r="Z79" s="5"/>
      <c r="AA79" s="5"/>
      <c r="AB79" s="5"/>
      <c r="AC79" s="5"/>
      <c r="AD79" s="5"/>
      <c r="AE79" s="5"/>
    </row>
    <row r="80" spans="1:31" s="3" customFormat="1" ht="20.100000000000001" customHeight="1" x14ac:dyDescent="0.25">
      <c r="A80" s="31"/>
      <c r="B80" s="6" t="s">
        <v>59</v>
      </c>
      <c r="C80" s="32" t="s">
        <v>35</v>
      </c>
      <c r="D80" s="6">
        <v>16</v>
      </c>
      <c r="E80" s="6"/>
      <c r="F80" s="6">
        <v>2</v>
      </c>
      <c r="G80" s="33">
        <f>VLOOKUP(D80,$B$12:$E$18,4,0)</f>
        <v>0.72499999999999998</v>
      </c>
      <c r="H80" s="33"/>
      <c r="I80" s="6"/>
      <c r="J80" s="6"/>
      <c r="K80" s="6"/>
      <c r="L80" s="6"/>
      <c r="M80" s="6"/>
      <c r="N80" s="6"/>
      <c r="O80" s="6">
        <f>+E79+0.8</f>
        <v>3.8239999999999998</v>
      </c>
      <c r="P80" s="6">
        <f>O80*F80</f>
        <v>7.6479999999999997</v>
      </c>
      <c r="Q80" s="6">
        <f t="shared" ref="Q80:W92" si="22">IF($D80=Q$24,$P80*Q$25,0)</f>
        <v>0</v>
      </c>
      <c r="R80" s="6">
        <f t="shared" si="22"/>
        <v>0</v>
      </c>
      <c r="S80" s="6">
        <f t="shared" si="22"/>
        <v>0</v>
      </c>
      <c r="T80" s="6">
        <f t="shared" si="22"/>
        <v>12.075973485714286</v>
      </c>
      <c r="U80" s="6">
        <f t="shared" si="22"/>
        <v>0</v>
      </c>
      <c r="V80" s="6">
        <f t="shared" si="22"/>
        <v>0</v>
      </c>
      <c r="W80" s="6">
        <f t="shared" si="22"/>
        <v>0</v>
      </c>
      <c r="X80" s="6">
        <f t="shared" ref="X80:X85" si="23">SUM(Q80:W80)</f>
        <v>12.075973485714286</v>
      </c>
      <c r="Y80" s="5"/>
      <c r="Z80" s="5"/>
      <c r="AA80" s="5"/>
      <c r="AB80" s="5"/>
      <c r="AC80" s="5"/>
      <c r="AD80" s="5"/>
    </row>
    <row r="81" spans="1:31" s="3" customFormat="1" ht="20.100000000000001" customHeight="1" x14ac:dyDescent="0.25">
      <c r="A81" s="31"/>
      <c r="B81" s="6" t="s">
        <v>59</v>
      </c>
      <c r="C81" s="32" t="s">
        <v>35</v>
      </c>
      <c r="D81" s="6">
        <v>16</v>
      </c>
      <c r="E81" s="6"/>
      <c r="F81" s="6">
        <v>2</v>
      </c>
      <c r="G81" s="33">
        <f>VLOOKUP(D81,$B$12:$E$18,4,0)</f>
        <v>0.72499999999999998</v>
      </c>
      <c r="H81" s="33"/>
      <c r="I81" s="6"/>
      <c r="J81" s="6"/>
      <c r="K81" s="6"/>
      <c r="L81" s="6"/>
      <c r="M81" s="6"/>
      <c r="N81" s="6"/>
      <c r="O81" s="6">
        <f>+E79+0.8</f>
        <v>3.8239999999999998</v>
      </c>
      <c r="P81" s="6">
        <f>O81*F81</f>
        <v>7.6479999999999997</v>
      </c>
      <c r="Q81" s="6">
        <f t="shared" si="22"/>
        <v>0</v>
      </c>
      <c r="R81" s="6">
        <f t="shared" si="22"/>
        <v>0</v>
      </c>
      <c r="S81" s="6">
        <f t="shared" si="22"/>
        <v>0</v>
      </c>
      <c r="T81" s="6">
        <f t="shared" si="22"/>
        <v>12.075973485714286</v>
      </c>
      <c r="U81" s="6">
        <f t="shared" si="22"/>
        <v>0</v>
      </c>
      <c r="V81" s="6">
        <f t="shared" si="22"/>
        <v>0</v>
      </c>
      <c r="W81" s="6">
        <f t="shared" si="22"/>
        <v>0</v>
      </c>
      <c r="X81" s="6">
        <f t="shared" si="23"/>
        <v>12.075973485714286</v>
      </c>
      <c r="Y81" s="5"/>
      <c r="Z81" s="5"/>
      <c r="AA81" s="5"/>
      <c r="AB81" s="5"/>
      <c r="AC81" s="5"/>
      <c r="AD81" s="5"/>
    </row>
    <row r="82" spans="1:31" s="3" customFormat="1" ht="20.100000000000001" customHeight="1" x14ac:dyDescent="0.25">
      <c r="A82" s="31"/>
      <c r="B82" s="6" t="s">
        <v>59</v>
      </c>
      <c r="C82" s="32" t="s">
        <v>36</v>
      </c>
      <c r="D82" s="6">
        <v>16</v>
      </c>
      <c r="E82" s="6"/>
      <c r="F82" s="6">
        <v>2</v>
      </c>
      <c r="G82" s="33">
        <f>VLOOKUP(D82,$B$12:$E$18,4,0)</f>
        <v>0.72499999999999998</v>
      </c>
      <c r="H82" s="33"/>
      <c r="I82" s="6"/>
      <c r="J82" s="6"/>
      <c r="K82" s="6"/>
      <c r="L82" s="6"/>
      <c r="M82" s="6"/>
      <c r="N82" s="6"/>
      <c r="O82" s="6">
        <f>+E79+0.8</f>
        <v>3.8239999999999998</v>
      </c>
      <c r="P82" s="6">
        <f>O82*F82</f>
        <v>7.6479999999999997</v>
      </c>
      <c r="Q82" s="6">
        <f t="shared" si="22"/>
        <v>0</v>
      </c>
      <c r="R82" s="6">
        <f t="shared" si="22"/>
        <v>0</v>
      </c>
      <c r="S82" s="6">
        <f t="shared" si="22"/>
        <v>0</v>
      </c>
      <c r="T82" s="6">
        <f t="shared" si="22"/>
        <v>12.075973485714286</v>
      </c>
      <c r="U82" s="6">
        <f t="shared" si="22"/>
        <v>0</v>
      </c>
      <c r="V82" s="6">
        <f t="shared" si="22"/>
        <v>0</v>
      </c>
      <c r="W82" s="6">
        <f t="shared" si="22"/>
        <v>0</v>
      </c>
      <c r="X82" s="6">
        <f t="shared" si="23"/>
        <v>12.075973485714286</v>
      </c>
      <c r="Y82" s="5"/>
      <c r="Z82" s="5"/>
      <c r="AA82" s="5"/>
      <c r="AB82" s="5"/>
      <c r="AC82" s="5"/>
      <c r="AD82" s="5"/>
    </row>
    <row r="83" spans="1:31" s="3" customFormat="1" ht="20.100000000000001" customHeight="1" x14ac:dyDescent="0.25">
      <c r="A83" s="31"/>
      <c r="B83" s="6" t="s">
        <v>59</v>
      </c>
      <c r="C83" s="32" t="s">
        <v>36</v>
      </c>
      <c r="D83" s="6">
        <v>16</v>
      </c>
      <c r="E83" s="6"/>
      <c r="F83" s="6">
        <v>2</v>
      </c>
      <c r="G83" s="33">
        <f>VLOOKUP(D83,$B$12:$E$18,4,0)</f>
        <v>0.72499999999999998</v>
      </c>
      <c r="H83" s="6"/>
      <c r="I83" s="6"/>
      <c r="J83" s="6"/>
      <c r="K83" s="6"/>
      <c r="L83" s="6"/>
      <c r="M83" s="6"/>
      <c r="N83" s="6"/>
      <c r="O83" s="6">
        <f>+E79+0.8</f>
        <v>3.8239999999999998</v>
      </c>
      <c r="P83" s="6">
        <f>O83*F83</f>
        <v>7.6479999999999997</v>
      </c>
      <c r="Q83" s="6">
        <f t="shared" si="22"/>
        <v>0</v>
      </c>
      <c r="R83" s="6">
        <f t="shared" si="22"/>
        <v>0</v>
      </c>
      <c r="S83" s="6">
        <f t="shared" si="22"/>
        <v>0</v>
      </c>
      <c r="T83" s="6">
        <f t="shared" si="22"/>
        <v>12.075973485714286</v>
      </c>
      <c r="U83" s="6">
        <f t="shared" si="22"/>
        <v>0</v>
      </c>
      <c r="V83" s="6">
        <f t="shared" si="22"/>
        <v>0</v>
      </c>
      <c r="W83" s="6">
        <f t="shared" si="22"/>
        <v>0</v>
      </c>
      <c r="X83" s="6">
        <f t="shared" si="23"/>
        <v>12.075973485714286</v>
      </c>
      <c r="Y83" s="5"/>
      <c r="Z83" s="5"/>
      <c r="AA83" s="5"/>
      <c r="AB83" s="5"/>
      <c r="AC83" s="5"/>
      <c r="AD83" s="5"/>
    </row>
    <row r="84" spans="1:31" s="3" customFormat="1" ht="20.100000000000001" customHeight="1" x14ac:dyDescent="0.25">
      <c r="A84" s="31"/>
      <c r="B84" s="6" t="s">
        <v>59</v>
      </c>
      <c r="C84" s="35" t="s">
        <v>37</v>
      </c>
      <c r="D84" s="6">
        <v>8</v>
      </c>
      <c r="E84" s="6">
        <v>0.1</v>
      </c>
      <c r="F84" s="6">
        <f>+ROUND(E79/E84,0)+1</f>
        <v>31</v>
      </c>
      <c r="G84" s="21"/>
      <c r="H84" s="6"/>
      <c r="I84" s="6"/>
      <c r="J84" s="6"/>
      <c r="K84" s="6"/>
      <c r="L84" s="6"/>
      <c r="M84" s="6"/>
      <c r="N84" s="6"/>
      <c r="O84" s="6">
        <f>(2*((G79-(2*$D$4))+(F79-(2*$D$4)))+((2*10)*D84/1000))*D79</f>
        <v>1.5599999999999998</v>
      </c>
      <c r="P84" s="6">
        <f>O84*F84</f>
        <v>48.359999999999992</v>
      </c>
      <c r="Q84" s="6">
        <f t="shared" si="22"/>
        <v>19.089764571428571</v>
      </c>
      <c r="R84" s="6">
        <f t="shared" si="22"/>
        <v>0</v>
      </c>
      <c r="S84" s="6">
        <f t="shared" si="22"/>
        <v>0</v>
      </c>
      <c r="T84" s="6">
        <f t="shared" si="22"/>
        <v>0</v>
      </c>
      <c r="U84" s="6">
        <f t="shared" si="22"/>
        <v>0</v>
      </c>
      <c r="V84" s="6">
        <f t="shared" si="22"/>
        <v>0</v>
      </c>
      <c r="W84" s="6">
        <f t="shared" si="22"/>
        <v>0</v>
      </c>
      <c r="X84" s="6">
        <f t="shared" si="23"/>
        <v>19.089764571428571</v>
      </c>
      <c r="Y84" s="5"/>
      <c r="Z84" s="5"/>
      <c r="AA84" s="5"/>
      <c r="AB84" s="5"/>
      <c r="AC84" s="5"/>
      <c r="AD84" s="5"/>
    </row>
    <row r="85" spans="1:31" s="3" customFormat="1" ht="20.100000000000001" customHeight="1" x14ac:dyDescent="0.25">
      <c r="A85" s="31"/>
      <c r="B85" s="6" t="s">
        <v>59</v>
      </c>
      <c r="C85" s="32" t="s">
        <v>56</v>
      </c>
      <c r="D85" s="6">
        <v>8</v>
      </c>
      <c r="E85" s="6">
        <v>0.13</v>
      </c>
      <c r="F85" s="6">
        <f>2*2</f>
        <v>4</v>
      </c>
      <c r="G85" s="33">
        <f>VLOOKUP(D85,$B$12:$E$18,4,0)</f>
        <v>0.36499999999999999</v>
      </c>
      <c r="H85" s="6"/>
      <c r="I85" s="6"/>
      <c r="J85" s="6"/>
      <c r="K85" s="6"/>
      <c r="L85" s="6"/>
      <c r="M85" s="6"/>
      <c r="N85" s="6"/>
      <c r="O85" s="6">
        <f>+E79</f>
        <v>3.024</v>
      </c>
      <c r="P85" s="6">
        <f t="shared" ref="P85" si="24">O85*F85</f>
        <v>12.096</v>
      </c>
      <c r="Q85" s="6">
        <f t="shared" si="22"/>
        <v>4.7748096000000002</v>
      </c>
      <c r="R85" s="6">
        <f t="shared" si="22"/>
        <v>0</v>
      </c>
      <c r="S85" s="6">
        <f t="shared" si="22"/>
        <v>0</v>
      </c>
      <c r="T85" s="6">
        <f t="shared" si="22"/>
        <v>0</v>
      </c>
      <c r="U85" s="6">
        <f t="shared" si="22"/>
        <v>0</v>
      </c>
      <c r="V85" s="6">
        <f t="shared" si="22"/>
        <v>0</v>
      </c>
      <c r="W85" s="6">
        <f t="shared" si="22"/>
        <v>0</v>
      </c>
      <c r="X85" s="6">
        <f t="shared" si="23"/>
        <v>4.7748096000000002</v>
      </c>
      <c r="Y85" s="5"/>
      <c r="Z85" s="5"/>
      <c r="AA85" s="5"/>
      <c r="AB85" s="5"/>
      <c r="AC85" s="5"/>
      <c r="AD85" s="5"/>
    </row>
    <row r="86" spans="1:31" s="3" customFormat="1" ht="21" customHeight="1" x14ac:dyDescent="0.25">
      <c r="A86" s="6">
        <f>+A79+1</f>
        <v>10</v>
      </c>
      <c r="B86" s="6" t="s">
        <v>59</v>
      </c>
      <c r="C86" s="29" t="s">
        <v>47</v>
      </c>
      <c r="D86" s="29">
        <v>1</v>
      </c>
      <c r="E86" s="29">
        <v>3.9079999999999999</v>
      </c>
      <c r="F86" s="29">
        <v>0.2</v>
      </c>
      <c r="G86" s="29">
        <v>0.6</v>
      </c>
      <c r="H86" s="6">
        <f>G86-0.15</f>
        <v>0.44999999999999996</v>
      </c>
      <c r="I86" s="6">
        <f>E86*F86*G86*D86</f>
        <v>0.46896000000000004</v>
      </c>
      <c r="J86" s="6">
        <f>(2*(E86)*H86*D86)+(E86*F86)</f>
        <v>4.2988</v>
      </c>
      <c r="K86" s="30">
        <f>IF(E86=0.3,J86,0)</f>
        <v>0</v>
      </c>
      <c r="L86" s="30">
        <f>IF(AND(E86&gt;0.3,E86&lt;=0.75),J86,0)</f>
        <v>0</v>
      </c>
      <c r="M86" s="30">
        <f>IF(AND(E86&gt;0.75,E86&lt;=1.2),J86,0)</f>
        <v>0</v>
      </c>
      <c r="N86" s="30">
        <f>IF(E86&gt;1.2,J86,0)</f>
        <v>4.2988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5"/>
      <c r="Z86" s="5"/>
      <c r="AA86" s="5"/>
      <c r="AB86" s="5"/>
      <c r="AC86" s="5"/>
      <c r="AD86" s="5"/>
      <c r="AE86" s="5"/>
    </row>
    <row r="87" spans="1:31" s="3" customFormat="1" ht="20.100000000000001" customHeight="1" x14ac:dyDescent="0.25">
      <c r="A87" s="31"/>
      <c r="B87" s="6" t="s">
        <v>59</v>
      </c>
      <c r="C87" s="32" t="s">
        <v>35</v>
      </c>
      <c r="D87" s="6">
        <v>16</v>
      </c>
      <c r="E87" s="6"/>
      <c r="F87" s="6">
        <v>2</v>
      </c>
      <c r="G87" s="33">
        <f>VLOOKUP(D87,$B$12:$E$18,4,0)</f>
        <v>0.72499999999999998</v>
      </c>
      <c r="H87" s="33"/>
      <c r="I87" s="6"/>
      <c r="J87" s="6"/>
      <c r="K87" s="6"/>
      <c r="L87" s="6"/>
      <c r="M87" s="6"/>
      <c r="N87" s="6"/>
      <c r="O87" s="6">
        <f>+E86+0.8+0.616</f>
        <v>5.3239999999999998</v>
      </c>
      <c r="P87" s="6">
        <f>O87*F87</f>
        <v>10.648</v>
      </c>
      <c r="Q87" s="6">
        <f t="shared" si="22"/>
        <v>0</v>
      </c>
      <c r="R87" s="6">
        <f t="shared" si="22"/>
        <v>0</v>
      </c>
      <c r="S87" s="6">
        <f t="shared" si="22"/>
        <v>0</v>
      </c>
      <c r="T87" s="6">
        <f t="shared" si="22"/>
        <v>16.812887771428571</v>
      </c>
      <c r="U87" s="6">
        <f t="shared" si="22"/>
        <v>0</v>
      </c>
      <c r="V87" s="6">
        <f t="shared" si="22"/>
        <v>0</v>
      </c>
      <c r="W87" s="6">
        <f t="shared" si="22"/>
        <v>0</v>
      </c>
      <c r="X87" s="6">
        <f t="shared" ref="X87:X92" si="25">SUM(Q87:W87)</f>
        <v>16.812887771428571</v>
      </c>
      <c r="Y87" s="5"/>
      <c r="Z87" s="5"/>
      <c r="AA87" s="5"/>
      <c r="AB87" s="5"/>
      <c r="AC87" s="5"/>
      <c r="AD87" s="5"/>
    </row>
    <row r="88" spans="1:31" s="3" customFormat="1" ht="20.100000000000001" customHeight="1" x14ac:dyDescent="0.25">
      <c r="A88" s="31"/>
      <c r="B88" s="6" t="s">
        <v>59</v>
      </c>
      <c r="C88" s="32" t="s">
        <v>35</v>
      </c>
      <c r="D88" s="6">
        <v>16</v>
      </c>
      <c r="E88" s="6"/>
      <c r="F88" s="6">
        <v>2</v>
      </c>
      <c r="G88" s="33">
        <f>VLOOKUP(D88,$B$12:$E$18,4,0)</f>
        <v>0.72499999999999998</v>
      </c>
      <c r="H88" s="33"/>
      <c r="I88" s="6"/>
      <c r="J88" s="6"/>
      <c r="K88" s="6"/>
      <c r="L88" s="6"/>
      <c r="M88" s="6"/>
      <c r="N88" s="6"/>
      <c r="O88" s="6">
        <f>+E86+0.8+0.616</f>
        <v>5.3239999999999998</v>
      </c>
      <c r="P88" s="6">
        <f>O88*F88</f>
        <v>10.648</v>
      </c>
      <c r="Q88" s="6">
        <f t="shared" si="22"/>
        <v>0</v>
      </c>
      <c r="R88" s="6">
        <f t="shared" si="22"/>
        <v>0</v>
      </c>
      <c r="S88" s="6">
        <f t="shared" si="22"/>
        <v>0</v>
      </c>
      <c r="T88" s="6">
        <f t="shared" si="22"/>
        <v>16.812887771428571</v>
      </c>
      <c r="U88" s="6">
        <f t="shared" si="22"/>
        <v>0</v>
      </c>
      <c r="V88" s="6">
        <f t="shared" si="22"/>
        <v>0</v>
      </c>
      <c r="W88" s="6">
        <f t="shared" si="22"/>
        <v>0</v>
      </c>
      <c r="X88" s="6">
        <f t="shared" si="25"/>
        <v>16.812887771428571</v>
      </c>
      <c r="Y88" s="5"/>
      <c r="Z88" s="5"/>
      <c r="AA88" s="5"/>
      <c r="AB88" s="5"/>
      <c r="AC88" s="5"/>
      <c r="AD88" s="5"/>
    </row>
    <row r="89" spans="1:31" s="3" customFormat="1" ht="20.100000000000001" customHeight="1" x14ac:dyDescent="0.25">
      <c r="A89" s="31"/>
      <c r="B89" s="6" t="s">
        <v>59</v>
      </c>
      <c r="C89" s="32" t="s">
        <v>36</v>
      </c>
      <c r="D89" s="6">
        <v>16</v>
      </c>
      <c r="E89" s="6"/>
      <c r="F89" s="6">
        <v>2</v>
      </c>
      <c r="G89" s="33">
        <f>VLOOKUP(D89,$B$12:$E$18,4,0)</f>
        <v>0.72499999999999998</v>
      </c>
      <c r="H89" s="33"/>
      <c r="I89" s="6"/>
      <c r="J89" s="6"/>
      <c r="K89" s="6"/>
      <c r="L89" s="6"/>
      <c r="M89" s="6"/>
      <c r="N89" s="6"/>
      <c r="O89" s="6">
        <f>+E86+0.8+0.616</f>
        <v>5.3239999999999998</v>
      </c>
      <c r="P89" s="6">
        <f>O89*F89</f>
        <v>10.648</v>
      </c>
      <c r="Q89" s="6">
        <f t="shared" si="22"/>
        <v>0</v>
      </c>
      <c r="R89" s="6">
        <f t="shared" si="22"/>
        <v>0</v>
      </c>
      <c r="S89" s="6">
        <f t="shared" si="22"/>
        <v>0</v>
      </c>
      <c r="T89" s="6">
        <f t="shared" si="22"/>
        <v>16.812887771428571</v>
      </c>
      <c r="U89" s="6">
        <f t="shared" si="22"/>
        <v>0</v>
      </c>
      <c r="V89" s="6">
        <f t="shared" si="22"/>
        <v>0</v>
      </c>
      <c r="W89" s="6">
        <f t="shared" si="22"/>
        <v>0</v>
      </c>
      <c r="X89" s="6">
        <f t="shared" si="25"/>
        <v>16.812887771428571</v>
      </c>
      <c r="Y89" s="5"/>
      <c r="Z89" s="5"/>
      <c r="AA89" s="5"/>
      <c r="AB89" s="5"/>
      <c r="AC89" s="5"/>
      <c r="AD89" s="5"/>
    </row>
    <row r="90" spans="1:31" s="3" customFormat="1" ht="20.100000000000001" customHeight="1" x14ac:dyDescent="0.25">
      <c r="A90" s="31"/>
      <c r="B90" s="6" t="s">
        <v>59</v>
      </c>
      <c r="C90" s="32" t="s">
        <v>36</v>
      </c>
      <c r="D90" s="6">
        <v>16</v>
      </c>
      <c r="E90" s="6"/>
      <c r="F90" s="6">
        <v>2</v>
      </c>
      <c r="G90" s="33">
        <f>VLOOKUP(D90,$B$12:$E$18,4,0)</f>
        <v>0.72499999999999998</v>
      </c>
      <c r="H90" s="6"/>
      <c r="I90" s="6"/>
      <c r="J90" s="6"/>
      <c r="K90" s="6"/>
      <c r="L90" s="6"/>
      <c r="M90" s="6"/>
      <c r="N90" s="6"/>
      <c r="O90" s="6">
        <f>+E86+0.8+0.616</f>
        <v>5.3239999999999998</v>
      </c>
      <c r="P90" s="6">
        <f>O90*F90</f>
        <v>10.648</v>
      </c>
      <c r="Q90" s="6">
        <f t="shared" si="22"/>
        <v>0</v>
      </c>
      <c r="R90" s="6">
        <f t="shared" si="22"/>
        <v>0</v>
      </c>
      <c r="S90" s="6">
        <f t="shared" si="22"/>
        <v>0</v>
      </c>
      <c r="T90" s="6">
        <f t="shared" si="22"/>
        <v>16.812887771428571</v>
      </c>
      <c r="U90" s="6">
        <f t="shared" si="22"/>
        <v>0</v>
      </c>
      <c r="V90" s="6">
        <f t="shared" si="22"/>
        <v>0</v>
      </c>
      <c r="W90" s="6">
        <f t="shared" si="22"/>
        <v>0</v>
      </c>
      <c r="X90" s="6">
        <f t="shared" si="25"/>
        <v>16.812887771428571</v>
      </c>
      <c r="Y90" s="5"/>
      <c r="Z90" s="5"/>
      <c r="AA90" s="5"/>
      <c r="AB90" s="5"/>
      <c r="AC90" s="5"/>
      <c r="AD90" s="5"/>
    </row>
    <row r="91" spans="1:31" s="3" customFormat="1" ht="20.100000000000001" customHeight="1" x14ac:dyDescent="0.25">
      <c r="A91" s="31"/>
      <c r="B91" s="6" t="s">
        <v>59</v>
      </c>
      <c r="C91" s="35" t="s">
        <v>37</v>
      </c>
      <c r="D91" s="6">
        <v>8</v>
      </c>
      <c r="E91" s="6">
        <v>0.1</v>
      </c>
      <c r="F91" s="6">
        <f>+ROUND(E86/E91,0)+1</f>
        <v>40</v>
      </c>
      <c r="G91" s="21"/>
      <c r="H91" s="6"/>
      <c r="I91" s="6"/>
      <c r="J91" s="6"/>
      <c r="K91" s="6"/>
      <c r="L91" s="6"/>
      <c r="M91" s="6"/>
      <c r="N91" s="6"/>
      <c r="O91" s="6">
        <f>(2*((G86-(2*$D$4))+(F86-(2*$D$4)))+((2*10)*D91/1000))*D86</f>
        <v>1.5599999999999998</v>
      </c>
      <c r="P91" s="6">
        <f>O91*F91</f>
        <v>62.399999999999991</v>
      </c>
      <c r="Q91" s="6">
        <f t="shared" si="22"/>
        <v>24.631954285714283</v>
      </c>
      <c r="R91" s="6">
        <f t="shared" si="22"/>
        <v>0</v>
      </c>
      <c r="S91" s="6">
        <f t="shared" si="22"/>
        <v>0</v>
      </c>
      <c r="T91" s="6">
        <f t="shared" si="22"/>
        <v>0</v>
      </c>
      <c r="U91" s="6">
        <f t="shared" si="22"/>
        <v>0</v>
      </c>
      <c r="V91" s="6">
        <f t="shared" si="22"/>
        <v>0</v>
      </c>
      <c r="W91" s="6">
        <f t="shared" si="22"/>
        <v>0</v>
      </c>
      <c r="X91" s="6">
        <f t="shared" si="25"/>
        <v>24.631954285714283</v>
      </c>
      <c r="Y91" s="5"/>
      <c r="Z91" s="5"/>
      <c r="AA91" s="5"/>
      <c r="AB91" s="5"/>
      <c r="AC91" s="5"/>
      <c r="AD91" s="5"/>
    </row>
    <row r="92" spans="1:31" s="3" customFormat="1" ht="20.100000000000001" customHeight="1" x14ac:dyDescent="0.25">
      <c r="A92" s="31"/>
      <c r="B92" s="6" t="s">
        <v>59</v>
      </c>
      <c r="C92" s="32" t="s">
        <v>56</v>
      </c>
      <c r="D92" s="6">
        <v>8</v>
      </c>
      <c r="E92" s="6">
        <v>0.13</v>
      </c>
      <c r="F92" s="6">
        <f>2*2</f>
        <v>4</v>
      </c>
      <c r="G92" s="33">
        <f>VLOOKUP(D92,$B$12:$E$18,4,0)</f>
        <v>0.36499999999999999</v>
      </c>
      <c r="H92" s="6"/>
      <c r="I92" s="6"/>
      <c r="J92" s="6"/>
      <c r="K92" s="6"/>
      <c r="L92" s="6"/>
      <c r="M92" s="6"/>
      <c r="N92" s="6"/>
      <c r="O92" s="6">
        <f>+E86</f>
        <v>3.9079999999999999</v>
      </c>
      <c r="P92" s="6">
        <f t="shared" ref="P92" si="26">O92*F92</f>
        <v>15.632</v>
      </c>
      <c r="Q92" s="6">
        <f t="shared" si="22"/>
        <v>6.1706203428571431</v>
      </c>
      <c r="R92" s="6">
        <f t="shared" si="22"/>
        <v>0</v>
      </c>
      <c r="S92" s="6">
        <f t="shared" si="22"/>
        <v>0</v>
      </c>
      <c r="T92" s="6">
        <f t="shared" si="22"/>
        <v>0</v>
      </c>
      <c r="U92" s="6">
        <f t="shared" si="22"/>
        <v>0</v>
      </c>
      <c r="V92" s="6">
        <f t="shared" si="22"/>
        <v>0</v>
      </c>
      <c r="W92" s="6">
        <f t="shared" si="22"/>
        <v>0</v>
      </c>
      <c r="X92" s="6">
        <f t="shared" si="25"/>
        <v>6.1706203428571431</v>
      </c>
      <c r="Y92" s="5"/>
      <c r="Z92" s="5"/>
      <c r="AA92" s="5"/>
      <c r="AB92" s="5"/>
      <c r="AC92" s="5"/>
      <c r="AD92" s="5"/>
    </row>
    <row r="93" spans="1:31" s="3" customFormat="1" ht="21" customHeight="1" x14ac:dyDescent="0.25">
      <c r="A93" s="6">
        <f>+A86+1</f>
        <v>11</v>
      </c>
      <c r="B93" s="6" t="s">
        <v>59</v>
      </c>
      <c r="C93" s="29" t="s">
        <v>48</v>
      </c>
      <c r="D93" s="29">
        <v>1</v>
      </c>
      <c r="E93" s="29">
        <v>1.952</v>
      </c>
      <c r="F93" s="29">
        <v>0.15</v>
      </c>
      <c r="G93" s="29">
        <v>0.6</v>
      </c>
      <c r="H93" s="6">
        <f>G93-0.15</f>
        <v>0.44999999999999996</v>
      </c>
      <c r="I93" s="6">
        <f>E93*F93*G93*D93</f>
        <v>0.17568</v>
      </c>
      <c r="J93" s="6">
        <f>(2*(E93)*H93*D93)+(E93*F93)</f>
        <v>2.0495999999999999</v>
      </c>
      <c r="K93" s="30">
        <f>IF(E93=0.3,J93,0)</f>
        <v>0</v>
      </c>
      <c r="L93" s="30">
        <f>IF(AND(E93&gt;0.3,E93&lt;=0.75),J93,0)</f>
        <v>0</v>
      </c>
      <c r="M93" s="30">
        <f>IF(AND(E93&gt;0.75,E93&lt;=1.2),J93,0)</f>
        <v>0</v>
      </c>
      <c r="N93" s="30">
        <f>IF(E93&gt;1.2,J93,0)</f>
        <v>2.0495999999999999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5"/>
      <c r="Z93" s="5"/>
      <c r="AA93" s="5"/>
      <c r="AB93" s="5"/>
      <c r="AC93" s="5"/>
      <c r="AD93" s="5"/>
      <c r="AE93" s="5"/>
    </row>
    <row r="94" spans="1:31" s="3" customFormat="1" ht="20.100000000000001" customHeight="1" x14ac:dyDescent="0.25">
      <c r="A94" s="31"/>
      <c r="B94" s="6" t="s">
        <v>59</v>
      </c>
      <c r="C94" s="32" t="s">
        <v>35</v>
      </c>
      <c r="D94" s="6">
        <v>16</v>
      </c>
      <c r="E94" s="6"/>
      <c r="F94" s="6">
        <v>2</v>
      </c>
      <c r="G94" s="33">
        <f>VLOOKUP(D94,$B$12:$E$18,4,0)</f>
        <v>0.72499999999999998</v>
      </c>
      <c r="H94" s="33"/>
      <c r="I94" s="6"/>
      <c r="J94" s="6"/>
      <c r="K94" s="6"/>
      <c r="L94" s="6"/>
      <c r="M94" s="6"/>
      <c r="N94" s="6"/>
      <c r="O94" s="6">
        <f>(E93+2*(G94+(2*D94/1000)))*D93</f>
        <v>3.4660000000000002</v>
      </c>
      <c r="P94" s="6">
        <f>O94*F94</f>
        <v>6.9320000000000004</v>
      </c>
      <c r="Q94" s="6">
        <f t="shared" ref="Q94:W111" si="27">IF($D94=Q$24,$P94*Q$25,0)</f>
        <v>0</v>
      </c>
      <c r="R94" s="6">
        <f t="shared" si="27"/>
        <v>0</v>
      </c>
      <c r="S94" s="6">
        <f t="shared" si="27"/>
        <v>0</v>
      </c>
      <c r="T94" s="6">
        <f t="shared" si="27"/>
        <v>10.945429942857144</v>
      </c>
      <c r="U94" s="6">
        <f t="shared" si="27"/>
        <v>0</v>
      </c>
      <c r="V94" s="6">
        <f t="shared" si="27"/>
        <v>0</v>
      </c>
      <c r="W94" s="6">
        <f t="shared" si="27"/>
        <v>0</v>
      </c>
      <c r="X94" s="6">
        <f t="shared" ref="X94:X96" si="28">SUM(Q94:W94)</f>
        <v>10.945429942857144</v>
      </c>
      <c r="Y94" s="5"/>
      <c r="Z94" s="5"/>
      <c r="AA94" s="5"/>
      <c r="AB94" s="5"/>
      <c r="AC94" s="5"/>
      <c r="AD94" s="5"/>
    </row>
    <row r="95" spans="1:31" s="3" customFormat="1" ht="20.100000000000001" customHeight="1" x14ac:dyDescent="0.25">
      <c r="A95" s="31"/>
      <c r="B95" s="6" t="s">
        <v>59</v>
      </c>
      <c r="C95" s="32" t="s">
        <v>36</v>
      </c>
      <c r="D95" s="6">
        <v>16</v>
      </c>
      <c r="E95" s="6"/>
      <c r="F95" s="6">
        <v>2</v>
      </c>
      <c r="G95" s="33">
        <f>VLOOKUP(D95,$B$12:$E$18,4,0)</f>
        <v>0.72499999999999998</v>
      </c>
      <c r="H95" s="6"/>
      <c r="I95" s="6"/>
      <c r="J95" s="6"/>
      <c r="K95" s="6"/>
      <c r="L95" s="6"/>
      <c r="M95" s="6"/>
      <c r="N95" s="6"/>
      <c r="O95" s="6">
        <f>(E93+2*(G95+(2*D95/1000)))*D93</f>
        <v>3.4660000000000002</v>
      </c>
      <c r="P95" s="6">
        <f>O95*F95</f>
        <v>6.9320000000000004</v>
      </c>
      <c r="Q95" s="6">
        <f t="shared" si="27"/>
        <v>0</v>
      </c>
      <c r="R95" s="6">
        <f t="shared" si="27"/>
        <v>0</v>
      </c>
      <c r="S95" s="6">
        <f t="shared" si="27"/>
        <v>0</v>
      </c>
      <c r="T95" s="6">
        <f t="shared" si="27"/>
        <v>10.945429942857144</v>
      </c>
      <c r="U95" s="6">
        <f t="shared" si="27"/>
        <v>0</v>
      </c>
      <c r="V95" s="6">
        <f t="shared" si="27"/>
        <v>0</v>
      </c>
      <c r="W95" s="6">
        <f t="shared" si="27"/>
        <v>0</v>
      </c>
      <c r="X95" s="6">
        <f t="shared" si="28"/>
        <v>10.945429942857144</v>
      </c>
      <c r="Y95" s="5"/>
      <c r="Z95" s="5"/>
      <c r="AA95" s="5"/>
      <c r="AB95" s="5"/>
      <c r="AC95" s="5"/>
      <c r="AD95" s="5"/>
    </row>
    <row r="96" spans="1:31" s="3" customFormat="1" ht="20.100000000000001" customHeight="1" x14ac:dyDescent="0.25">
      <c r="A96" s="31"/>
      <c r="B96" s="6" t="s">
        <v>59</v>
      </c>
      <c r="C96" s="35" t="s">
        <v>37</v>
      </c>
      <c r="D96" s="6">
        <v>8</v>
      </c>
      <c r="E96" s="6">
        <v>0.1</v>
      </c>
      <c r="F96" s="6">
        <f>+ROUND(E93/E96,0)+1</f>
        <v>21</v>
      </c>
      <c r="G96" s="21"/>
      <c r="H96" s="6"/>
      <c r="I96" s="6"/>
      <c r="J96" s="6"/>
      <c r="K96" s="6"/>
      <c r="L96" s="6"/>
      <c r="M96" s="6"/>
      <c r="N96" s="6"/>
      <c r="O96" s="6">
        <f>(2*((G93-(2*$D$4))+(F93-(2*$D$4)))+((2*10)*D96/1000))*D93</f>
        <v>1.4599999999999997</v>
      </c>
      <c r="P96" s="6">
        <f>O96*F96</f>
        <v>30.659999999999993</v>
      </c>
      <c r="Q96" s="6">
        <f t="shared" si="27"/>
        <v>12.102815999999999</v>
      </c>
      <c r="R96" s="6">
        <f t="shared" si="27"/>
        <v>0</v>
      </c>
      <c r="S96" s="6">
        <f t="shared" si="27"/>
        <v>0</v>
      </c>
      <c r="T96" s="6">
        <f t="shared" si="27"/>
        <v>0</v>
      </c>
      <c r="U96" s="6">
        <f t="shared" si="27"/>
        <v>0</v>
      </c>
      <c r="V96" s="6">
        <f t="shared" si="27"/>
        <v>0</v>
      </c>
      <c r="W96" s="6">
        <f t="shared" si="27"/>
        <v>0</v>
      </c>
      <c r="X96" s="6">
        <f t="shared" si="28"/>
        <v>12.102815999999999</v>
      </c>
      <c r="Y96" s="5"/>
      <c r="Z96" s="5"/>
      <c r="AA96" s="5"/>
      <c r="AB96" s="5"/>
      <c r="AC96" s="5"/>
      <c r="AD96" s="5"/>
    </row>
    <row r="97" spans="1:31" s="3" customFormat="1" ht="21" customHeight="1" x14ac:dyDescent="0.25">
      <c r="A97" s="6">
        <f>+A93+1</f>
        <v>12</v>
      </c>
      <c r="B97" s="6" t="s">
        <v>59</v>
      </c>
      <c r="C97" s="29" t="s">
        <v>49</v>
      </c>
      <c r="D97" s="29">
        <v>1</v>
      </c>
      <c r="E97" s="29">
        <v>6.4749999999999996</v>
      </c>
      <c r="F97" s="29">
        <v>0.2</v>
      </c>
      <c r="G97" s="29">
        <v>0.6</v>
      </c>
      <c r="H97" s="6">
        <f>G97-0.15</f>
        <v>0.44999999999999996</v>
      </c>
      <c r="I97" s="6">
        <f>E97*F97*G97*D97</f>
        <v>0.77699999999999991</v>
      </c>
      <c r="J97" s="6">
        <f>(2*(E97)*H97*D97)+(E97*F97)</f>
        <v>7.1224999999999987</v>
      </c>
      <c r="K97" s="30">
        <f>IF(E97=0.3,J97,0)</f>
        <v>0</v>
      </c>
      <c r="L97" s="30">
        <f>IF(AND(E97&gt;0.3,E97&lt;=0.75),J97,0)</f>
        <v>0</v>
      </c>
      <c r="M97" s="30">
        <f>IF(AND(E97&gt;0.75,E97&lt;=1.2),J97,0)</f>
        <v>0</v>
      </c>
      <c r="N97" s="30">
        <f>IF(E97&gt;1.2,J97,0)</f>
        <v>7.1224999999999987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5"/>
      <c r="Z97" s="5"/>
      <c r="AA97" s="5"/>
      <c r="AB97" s="5"/>
      <c r="AC97" s="5"/>
      <c r="AD97" s="5"/>
      <c r="AE97" s="5"/>
    </row>
    <row r="98" spans="1:31" s="3" customFormat="1" ht="20.100000000000001" customHeight="1" x14ac:dyDescent="0.25">
      <c r="A98" s="31"/>
      <c r="B98" s="6" t="s">
        <v>59</v>
      </c>
      <c r="C98" s="32" t="s">
        <v>35</v>
      </c>
      <c r="D98" s="6">
        <v>16</v>
      </c>
      <c r="E98" s="6"/>
      <c r="F98" s="6">
        <v>2</v>
      </c>
      <c r="G98" s="33">
        <f>VLOOKUP(D98,$B$12:$E$18,4,0)</f>
        <v>0.72499999999999998</v>
      </c>
      <c r="H98" s="33"/>
      <c r="I98" s="6"/>
      <c r="J98" s="6"/>
      <c r="K98" s="6"/>
      <c r="L98" s="6"/>
      <c r="M98" s="6"/>
      <c r="N98" s="6"/>
      <c r="O98" s="6">
        <f>(E97+2*(G98+(2*D98/1000)))*D97</f>
        <v>7.9889999999999999</v>
      </c>
      <c r="P98" s="6">
        <f>O98*F98</f>
        <v>15.978</v>
      </c>
      <c r="Q98" s="6">
        <f t="shared" si="27"/>
        <v>0</v>
      </c>
      <c r="R98" s="6">
        <f t="shared" si="27"/>
        <v>0</v>
      </c>
      <c r="S98" s="6">
        <f t="shared" si="27"/>
        <v>0</v>
      </c>
      <c r="T98" s="6">
        <f t="shared" si="27"/>
        <v>25.228805485714286</v>
      </c>
      <c r="U98" s="6">
        <f t="shared" si="27"/>
        <v>0</v>
      </c>
      <c r="V98" s="6">
        <f t="shared" si="27"/>
        <v>0</v>
      </c>
      <c r="W98" s="6">
        <f t="shared" si="27"/>
        <v>0</v>
      </c>
      <c r="X98" s="6">
        <f t="shared" ref="X98:X101" si="29">SUM(Q98:W98)</f>
        <v>25.228805485714286</v>
      </c>
      <c r="Y98" s="5"/>
      <c r="Z98" s="5"/>
      <c r="AA98" s="5"/>
      <c r="AB98" s="5"/>
      <c r="AC98" s="5"/>
      <c r="AD98" s="5"/>
    </row>
    <row r="99" spans="1:31" s="3" customFormat="1" ht="20.100000000000001" customHeight="1" x14ac:dyDescent="0.25">
      <c r="A99" s="31"/>
      <c r="B99" s="6" t="s">
        <v>59</v>
      </c>
      <c r="C99" s="32" t="s">
        <v>36</v>
      </c>
      <c r="D99" s="6">
        <v>20</v>
      </c>
      <c r="E99" s="6"/>
      <c r="F99" s="6">
        <v>2</v>
      </c>
      <c r="G99" s="33">
        <f>VLOOKUP(D99,$B$12:$E$18,4,0)</f>
        <v>0.91</v>
      </c>
      <c r="H99" s="6"/>
      <c r="I99" s="6"/>
      <c r="J99" s="6"/>
      <c r="K99" s="6"/>
      <c r="L99" s="6"/>
      <c r="M99" s="6"/>
      <c r="N99" s="6"/>
      <c r="O99" s="6">
        <f>(E97+2*(G99+(2*D99/1000)))*D97</f>
        <v>8.375</v>
      </c>
      <c r="P99" s="6">
        <f>O99*F99</f>
        <v>16.75</v>
      </c>
      <c r="Q99" s="6">
        <f t="shared" si="27"/>
        <v>0</v>
      </c>
      <c r="R99" s="6">
        <f t="shared" si="27"/>
        <v>0</v>
      </c>
      <c r="S99" s="6">
        <f t="shared" si="27"/>
        <v>0</v>
      </c>
      <c r="T99" s="6">
        <f t="shared" si="27"/>
        <v>0</v>
      </c>
      <c r="U99" s="6">
        <f t="shared" si="27"/>
        <v>41.324642857142855</v>
      </c>
      <c r="V99" s="6">
        <f t="shared" si="27"/>
        <v>0</v>
      </c>
      <c r="W99" s="6">
        <f t="shared" si="27"/>
        <v>0</v>
      </c>
      <c r="X99" s="6">
        <f t="shared" si="29"/>
        <v>41.324642857142855</v>
      </c>
      <c r="Y99" s="5"/>
      <c r="Z99" s="5"/>
      <c r="AA99" s="5"/>
      <c r="AB99" s="5"/>
      <c r="AC99" s="5"/>
      <c r="AD99" s="5"/>
    </row>
    <row r="100" spans="1:31" s="3" customFormat="1" ht="20.100000000000001" customHeight="1" x14ac:dyDescent="0.25">
      <c r="A100" s="31"/>
      <c r="B100" s="6" t="s">
        <v>59</v>
      </c>
      <c r="C100" s="32" t="s">
        <v>37</v>
      </c>
      <c r="D100" s="6">
        <v>8</v>
      </c>
      <c r="E100" s="6">
        <v>0.1</v>
      </c>
      <c r="F100" s="6">
        <f>ROUND(IF(E97/3&gt;(2*G97),(E97/3)/E100,(2*G97)/E100),0)*2+1</f>
        <v>45</v>
      </c>
      <c r="G100" s="33"/>
      <c r="H100" s="6"/>
      <c r="I100" s="6"/>
      <c r="J100" s="6"/>
      <c r="K100" s="6"/>
      <c r="L100" s="6"/>
      <c r="M100" s="6"/>
      <c r="N100" s="6"/>
      <c r="O100" s="6">
        <f>(2*((G97-(2*$D$4))+(F97-(2*$D$4)))+(2*10*D100/1000))*D97</f>
        <v>1.5599999999999998</v>
      </c>
      <c r="P100" s="6">
        <f t="shared" ref="P100" si="30">O100*F100</f>
        <v>70.199999999999989</v>
      </c>
      <c r="Q100" s="6">
        <f t="shared" si="27"/>
        <v>27.71094857142857</v>
      </c>
      <c r="R100" s="6">
        <f t="shared" si="27"/>
        <v>0</v>
      </c>
      <c r="S100" s="6">
        <f t="shared" si="27"/>
        <v>0</v>
      </c>
      <c r="T100" s="6">
        <f t="shared" si="27"/>
        <v>0</v>
      </c>
      <c r="U100" s="6">
        <f t="shared" si="27"/>
        <v>0</v>
      </c>
      <c r="V100" s="6">
        <f t="shared" si="27"/>
        <v>0</v>
      </c>
      <c r="W100" s="6">
        <f t="shared" si="27"/>
        <v>0</v>
      </c>
      <c r="X100" s="6">
        <f t="shared" si="29"/>
        <v>27.71094857142857</v>
      </c>
      <c r="Y100" s="5"/>
      <c r="Z100" s="5"/>
      <c r="AA100" s="5"/>
      <c r="AB100" s="5"/>
      <c r="AC100" s="5"/>
      <c r="AD100" s="5"/>
    </row>
    <row r="101" spans="1:31" s="4" customFormat="1" ht="20.100000000000001" customHeight="1" x14ac:dyDescent="0.3">
      <c r="A101" s="34"/>
      <c r="B101" s="6" t="s">
        <v>59</v>
      </c>
      <c r="C101" s="32" t="s">
        <v>37</v>
      </c>
      <c r="D101" s="34">
        <v>8</v>
      </c>
      <c r="E101" s="34">
        <v>0.2</v>
      </c>
      <c r="F101" s="34">
        <f>ROUND((E97-(IF(E97/3&gt;2*G97,E97/3*2,G97*2*2)))/E101,0)</f>
        <v>11</v>
      </c>
      <c r="G101" s="34"/>
      <c r="H101" s="34"/>
      <c r="I101" s="34"/>
      <c r="J101" s="34"/>
      <c r="K101" s="34"/>
      <c r="L101" s="34"/>
      <c r="M101" s="34"/>
      <c r="N101" s="34"/>
      <c r="O101" s="6">
        <f>(2*((G97-(2*$D$4))+(F97-(2*$D$4)))+(2*10*D101/1000))*D97</f>
        <v>1.5599999999999998</v>
      </c>
      <c r="P101" s="6">
        <f>O101*F101</f>
        <v>17.159999999999997</v>
      </c>
      <c r="Q101" s="6">
        <f t="shared" si="27"/>
        <v>6.7737874285714277</v>
      </c>
      <c r="R101" s="6">
        <f t="shared" si="27"/>
        <v>0</v>
      </c>
      <c r="S101" s="6">
        <f t="shared" si="27"/>
        <v>0</v>
      </c>
      <c r="T101" s="6">
        <f t="shared" si="27"/>
        <v>0</v>
      </c>
      <c r="U101" s="6">
        <f t="shared" si="27"/>
        <v>0</v>
      </c>
      <c r="V101" s="6">
        <f t="shared" si="27"/>
        <v>0</v>
      </c>
      <c r="W101" s="6">
        <f t="shared" si="27"/>
        <v>0</v>
      </c>
      <c r="X101" s="6">
        <f t="shared" si="29"/>
        <v>6.7737874285714277</v>
      </c>
    </row>
    <row r="102" spans="1:31" s="3" customFormat="1" ht="21" customHeight="1" x14ac:dyDescent="0.25">
      <c r="A102" s="6">
        <f>+A97+1</f>
        <v>13</v>
      </c>
      <c r="B102" s="6" t="s">
        <v>59</v>
      </c>
      <c r="C102" s="29" t="s">
        <v>50</v>
      </c>
      <c r="D102" s="29">
        <v>1</v>
      </c>
      <c r="E102" s="29">
        <v>6.1459999999999999</v>
      </c>
      <c r="F102" s="29">
        <v>0.2</v>
      </c>
      <c r="G102" s="29">
        <v>0.6</v>
      </c>
      <c r="H102" s="6">
        <f>G102-0.15</f>
        <v>0.44999999999999996</v>
      </c>
      <c r="I102" s="6">
        <f>E102*F102*G102*D102</f>
        <v>0.73752000000000006</v>
      </c>
      <c r="J102" s="6">
        <f>(2*(E102)*H102*D102)+(E102*F102)</f>
        <v>6.7606000000000002</v>
      </c>
      <c r="K102" s="30">
        <f>IF(E102=0.3,J102,0)</f>
        <v>0</v>
      </c>
      <c r="L102" s="30">
        <f>IF(AND(E102&gt;0.3,E102&lt;=0.75),J102,0)</f>
        <v>0</v>
      </c>
      <c r="M102" s="30">
        <f>IF(AND(E102&gt;0.75,E102&lt;=1.2),J102,0)</f>
        <v>0</v>
      </c>
      <c r="N102" s="30">
        <f>IF(E102&gt;1.2,J102,0)</f>
        <v>6.7606000000000002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5"/>
      <c r="Z102" s="5"/>
      <c r="AA102" s="5"/>
      <c r="AB102" s="5"/>
      <c r="AC102" s="5"/>
      <c r="AD102" s="5"/>
      <c r="AE102" s="5"/>
    </row>
    <row r="103" spans="1:31" s="3" customFormat="1" ht="20.100000000000001" customHeight="1" x14ac:dyDescent="0.25">
      <c r="A103" s="31"/>
      <c r="B103" s="6" t="s">
        <v>59</v>
      </c>
      <c r="C103" s="32" t="s">
        <v>35</v>
      </c>
      <c r="D103" s="6">
        <v>16</v>
      </c>
      <c r="E103" s="6"/>
      <c r="F103" s="6">
        <v>2</v>
      </c>
      <c r="G103" s="33">
        <f>VLOOKUP(D103,$B$12:$E$18,4,0)</f>
        <v>0.72499999999999998</v>
      </c>
      <c r="H103" s="33"/>
      <c r="I103" s="6"/>
      <c r="J103" s="6"/>
      <c r="K103" s="6"/>
      <c r="L103" s="6"/>
      <c r="M103" s="6"/>
      <c r="N103" s="6"/>
      <c r="O103" s="6">
        <f>(E102+2*(G103+(2*D103/1000)))*D102</f>
        <v>7.66</v>
      </c>
      <c r="P103" s="6">
        <f>O103*F103</f>
        <v>15.32</v>
      </c>
      <c r="Q103" s="6">
        <f t="shared" si="27"/>
        <v>0</v>
      </c>
      <c r="R103" s="6">
        <f t="shared" si="27"/>
        <v>0</v>
      </c>
      <c r="S103" s="6">
        <f t="shared" si="27"/>
        <v>0</v>
      </c>
      <c r="T103" s="6">
        <f t="shared" si="27"/>
        <v>24.189842285714288</v>
      </c>
      <c r="U103" s="6">
        <f t="shared" si="27"/>
        <v>0</v>
      </c>
      <c r="V103" s="6">
        <f t="shared" si="27"/>
        <v>0</v>
      </c>
      <c r="W103" s="6">
        <f t="shared" si="27"/>
        <v>0</v>
      </c>
      <c r="X103" s="6">
        <f t="shared" ref="X103:X106" si="31">SUM(Q103:W103)</f>
        <v>24.189842285714288</v>
      </c>
      <c r="Y103" s="5"/>
      <c r="Z103" s="5"/>
      <c r="AA103" s="5"/>
      <c r="AB103" s="5"/>
      <c r="AC103" s="5"/>
      <c r="AD103" s="5"/>
    </row>
    <row r="104" spans="1:31" s="3" customFormat="1" ht="20.100000000000001" customHeight="1" x14ac:dyDescent="0.25">
      <c r="A104" s="31"/>
      <c r="B104" s="6" t="s">
        <v>59</v>
      </c>
      <c r="C104" s="32" t="s">
        <v>36</v>
      </c>
      <c r="D104" s="6">
        <v>20</v>
      </c>
      <c r="E104" s="6"/>
      <c r="F104" s="6">
        <v>2</v>
      </c>
      <c r="G104" s="33">
        <f>VLOOKUP(D104,$B$12:$E$18,4,0)</f>
        <v>0.91</v>
      </c>
      <c r="H104" s="6"/>
      <c r="I104" s="6"/>
      <c r="J104" s="6"/>
      <c r="K104" s="6"/>
      <c r="L104" s="6"/>
      <c r="M104" s="6"/>
      <c r="N104" s="6"/>
      <c r="O104" s="6">
        <f>(E102+2*(G104+(2*D104/1000)))*D102</f>
        <v>8.0459999999999994</v>
      </c>
      <c r="P104" s="6">
        <f>O104*F104</f>
        <v>16.091999999999999</v>
      </c>
      <c r="Q104" s="6">
        <f t="shared" si="27"/>
        <v>0</v>
      </c>
      <c r="R104" s="6">
        <f t="shared" si="27"/>
        <v>0</v>
      </c>
      <c r="S104" s="6">
        <f t="shared" si="27"/>
        <v>0</v>
      </c>
      <c r="T104" s="6">
        <f t="shared" si="27"/>
        <v>0</v>
      </c>
      <c r="U104" s="6">
        <f t="shared" si="27"/>
        <v>39.701262857142851</v>
      </c>
      <c r="V104" s="6">
        <f t="shared" si="27"/>
        <v>0</v>
      </c>
      <c r="W104" s="6">
        <f t="shared" si="27"/>
        <v>0</v>
      </c>
      <c r="X104" s="6">
        <f t="shared" si="31"/>
        <v>39.701262857142851</v>
      </c>
      <c r="Y104" s="5"/>
      <c r="Z104" s="5"/>
      <c r="AA104" s="5"/>
      <c r="AB104" s="5"/>
      <c r="AC104" s="5"/>
      <c r="AD104" s="5"/>
    </row>
    <row r="105" spans="1:31" s="3" customFormat="1" ht="20.100000000000001" customHeight="1" x14ac:dyDescent="0.25">
      <c r="A105" s="31"/>
      <c r="B105" s="6" t="s">
        <v>59</v>
      </c>
      <c r="C105" s="32" t="s">
        <v>37</v>
      </c>
      <c r="D105" s="6">
        <v>8</v>
      </c>
      <c r="E105" s="6">
        <v>0.1</v>
      </c>
      <c r="F105" s="6">
        <f>ROUND(IF(E102/3&gt;(2*G102),(E102/3)/E105,(2*G102)/E105),0)*2+1</f>
        <v>41</v>
      </c>
      <c r="G105" s="33"/>
      <c r="H105" s="6"/>
      <c r="I105" s="6"/>
      <c r="J105" s="6"/>
      <c r="K105" s="6"/>
      <c r="L105" s="6"/>
      <c r="M105" s="6"/>
      <c r="N105" s="6"/>
      <c r="O105" s="6">
        <f>(2*((G102-(2*$D$4))+(F102-(2*$D$4)))+(2*10*D105/1000))*D102</f>
        <v>1.5599999999999998</v>
      </c>
      <c r="P105" s="6">
        <f t="shared" ref="P105" si="32">O105*F105</f>
        <v>63.959999999999994</v>
      </c>
      <c r="Q105" s="6">
        <f t="shared" si="27"/>
        <v>25.247753142857142</v>
      </c>
      <c r="R105" s="6">
        <f t="shared" si="27"/>
        <v>0</v>
      </c>
      <c r="S105" s="6">
        <f t="shared" si="27"/>
        <v>0</v>
      </c>
      <c r="T105" s="6">
        <f t="shared" si="27"/>
        <v>0</v>
      </c>
      <c r="U105" s="6">
        <f t="shared" si="27"/>
        <v>0</v>
      </c>
      <c r="V105" s="6">
        <f t="shared" si="27"/>
        <v>0</v>
      </c>
      <c r="W105" s="6">
        <f t="shared" si="27"/>
        <v>0</v>
      </c>
      <c r="X105" s="6">
        <f t="shared" si="31"/>
        <v>25.247753142857142</v>
      </c>
      <c r="Y105" s="5"/>
      <c r="Z105" s="5"/>
      <c r="AA105" s="5"/>
      <c r="AB105" s="5"/>
      <c r="AC105" s="5"/>
      <c r="AD105" s="5"/>
    </row>
    <row r="106" spans="1:31" s="4" customFormat="1" ht="20.100000000000001" customHeight="1" x14ac:dyDescent="0.3">
      <c r="A106" s="34"/>
      <c r="B106" s="6" t="s">
        <v>59</v>
      </c>
      <c r="C106" s="32" t="s">
        <v>37</v>
      </c>
      <c r="D106" s="34">
        <v>8</v>
      </c>
      <c r="E106" s="34">
        <v>0.2</v>
      </c>
      <c r="F106" s="34">
        <f>ROUND((E102-(IF(E102/3&gt;2*G102,E102/3*2,G102*2*2)))/E106,0)</f>
        <v>10</v>
      </c>
      <c r="G106" s="34"/>
      <c r="H106" s="34"/>
      <c r="I106" s="34"/>
      <c r="J106" s="34"/>
      <c r="K106" s="34"/>
      <c r="L106" s="34"/>
      <c r="M106" s="34"/>
      <c r="N106" s="34"/>
      <c r="O106" s="6">
        <f>(2*((G102-(2*$D$4))+(F102-(2*$D$4)))+(2*10*D106/1000))*D102</f>
        <v>1.5599999999999998</v>
      </c>
      <c r="P106" s="6">
        <f>O106*F106</f>
        <v>15.599999999999998</v>
      </c>
      <c r="Q106" s="6">
        <f t="shared" si="27"/>
        <v>6.1579885714285707</v>
      </c>
      <c r="R106" s="6">
        <f t="shared" si="27"/>
        <v>0</v>
      </c>
      <c r="S106" s="6">
        <f t="shared" si="27"/>
        <v>0</v>
      </c>
      <c r="T106" s="6">
        <f t="shared" si="27"/>
        <v>0</v>
      </c>
      <c r="U106" s="6">
        <f t="shared" si="27"/>
        <v>0</v>
      </c>
      <c r="V106" s="6">
        <f t="shared" si="27"/>
        <v>0</v>
      </c>
      <c r="W106" s="6">
        <f t="shared" si="27"/>
        <v>0</v>
      </c>
      <c r="X106" s="6">
        <f t="shared" si="31"/>
        <v>6.1579885714285707</v>
      </c>
    </row>
    <row r="107" spans="1:31" s="3" customFormat="1" ht="21" customHeight="1" x14ac:dyDescent="0.25">
      <c r="A107" s="6">
        <f>+A102+1</f>
        <v>14</v>
      </c>
      <c r="B107" s="6" t="s">
        <v>59</v>
      </c>
      <c r="C107" s="29" t="s">
        <v>51</v>
      </c>
      <c r="D107" s="29">
        <v>1</v>
      </c>
      <c r="E107" s="29">
        <v>1.8560000000000001</v>
      </c>
      <c r="F107" s="29">
        <v>0.2</v>
      </c>
      <c r="G107" s="29">
        <v>0.6</v>
      </c>
      <c r="H107" s="6">
        <f>G107-0.15</f>
        <v>0.44999999999999996</v>
      </c>
      <c r="I107" s="6">
        <f>E107*F107*G107*D107</f>
        <v>0.22272</v>
      </c>
      <c r="J107" s="6">
        <f>(2*(E107)*H107*D107)+(E107*F107)</f>
        <v>2.0415999999999999</v>
      </c>
      <c r="K107" s="30">
        <f>IF(E107=0.3,J107,0)</f>
        <v>0</v>
      </c>
      <c r="L107" s="30">
        <f>IF(AND(E107&gt;0.3,E107&lt;=0.75),J107,0)</f>
        <v>0</v>
      </c>
      <c r="M107" s="30">
        <f>IF(AND(E107&gt;0.75,E107&lt;=1.2),J107,0)</f>
        <v>0</v>
      </c>
      <c r="N107" s="30">
        <f>IF(E107&gt;1.2,J107,0)</f>
        <v>2.0415999999999999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5"/>
      <c r="Z107" s="5"/>
      <c r="AA107" s="5"/>
      <c r="AB107" s="5"/>
      <c r="AC107" s="5"/>
      <c r="AD107" s="5"/>
      <c r="AE107" s="5"/>
    </row>
    <row r="108" spans="1:31" s="3" customFormat="1" ht="20.100000000000001" customHeight="1" x14ac:dyDescent="0.25">
      <c r="A108" s="31"/>
      <c r="B108" s="6" t="s">
        <v>59</v>
      </c>
      <c r="C108" s="32" t="s">
        <v>35</v>
      </c>
      <c r="D108" s="6">
        <v>16</v>
      </c>
      <c r="E108" s="6"/>
      <c r="F108" s="6">
        <v>2</v>
      </c>
      <c r="G108" s="33">
        <f>VLOOKUP(D108,$B$12:$E$18,4,0)</f>
        <v>0.72499999999999998</v>
      </c>
      <c r="H108" s="33"/>
      <c r="I108" s="6"/>
      <c r="J108" s="6"/>
      <c r="K108" s="6"/>
      <c r="L108" s="6"/>
      <c r="M108" s="6"/>
      <c r="N108" s="6"/>
      <c r="O108" s="6">
        <f>+E107+0.784+0.962</f>
        <v>3.6020000000000003</v>
      </c>
      <c r="P108" s="6">
        <f>O108*F108</f>
        <v>7.2040000000000006</v>
      </c>
      <c r="Q108" s="6">
        <f t="shared" si="27"/>
        <v>0</v>
      </c>
      <c r="R108" s="6">
        <f t="shared" si="27"/>
        <v>0</v>
      </c>
      <c r="S108" s="6">
        <f t="shared" si="27"/>
        <v>0</v>
      </c>
      <c r="T108" s="6">
        <f t="shared" si="27"/>
        <v>11.374910171428573</v>
      </c>
      <c r="U108" s="6">
        <f t="shared" si="27"/>
        <v>0</v>
      </c>
      <c r="V108" s="6">
        <f t="shared" si="27"/>
        <v>0</v>
      </c>
      <c r="W108" s="6">
        <f t="shared" si="27"/>
        <v>0</v>
      </c>
      <c r="X108" s="6">
        <f t="shared" ref="X108:X113" si="33">SUM(Q108:W108)</f>
        <v>11.374910171428573</v>
      </c>
      <c r="Y108" s="5"/>
      <c r="Z108" s="5"/>
      <c r="AA108" s="5"/>
      <c r="AB108" s="5"/>
      <c r="AC108" s="5"/>
      <c r="AD108" s="5"/>
    </row>
    <row r="109" spans="1:31" s="3" customFormat="1" ht="20.100000000000001" customHeight="1" x14ac:dyDescent="0.25">
      <c r="A109" s="31"/>
      <c r="B109" s="6" t="s">
        <v>59</v>
      </c>
      <c r="C109" s="32" t="s">
        <v>35</v>
      </c>
      <c r="D109" s="6">
        <v>16</v>
      </c>
      <c r="E109" s="6"/>
      <c r="F109" s="6">
        <v>2</v>
      </c>
      <c r="G109" s="33">
        <f>VLOOKUP(D109,$B$12:$E$18,4,0)</f>
        <v>0.72499999999999998</v>
      </c>
      <c r="H109" s="33"/>
      <c r="I109" s="6"/>
      <c r="J109" s="6"/>
      <c r="K109" s="6"/>
      <c r="L109" s="6"/>
      <c r="M109" s="6"/>
      <c r="N109" s="6"/>
      <c r="O109" s="6">
        <f>+E107+0.784+0.962</f>
        <v>3.6020000000000003</v>
      </c>
      <c r="P109" s="6">
        <f>O109*F109</f>
        <v>7.2040000000000006</v>
      </c>
      <c r="Q109" s="6">
        <f t="shared" si="27"/>
        <v>0</v>
      </c>
      <c r="R109" s="6">
        <f t="shared" si="27"/>
        <v>0</v>
      </c>
      <c r="S109" s="6">
        <f t="shared" si="27"/>
        <v>0</v>
      </c>
      <c r="T109" s="6">
        <f t="shared" si="27"/>
        <v>11.374910171428573</v>
      </c>
      <c r="U109" s="6">
        <f t="shared" si="27"/>
        <v>0</v>
      </c>
      <c r="V109" s="6">
        <f t="shared" si="27"/>
        <v>0</v>
      </c>
      <c r="W109" s="6">
        <f t="shared" si="27"/>
        <v>0</v>
      </c>
      <c r="X109" s="6">
        <f t="shared" si="33"/>
        <v>11.374910171428573</v>
      </c>
      <c r="Y109" s="5"/>
      <c r="Z109" s="5"/>
      <c r="AA109" s="5"/>
      <c r="AB109" s="5"/>
      <c r="AC109" s="5"/>
      <c r="AD109" s="5"/>
    </row>
    <row r="110" spans="1:31" s="3" customFormat="1" ht="20.100000000000001" customHeight="1" x14ac:dyDescent="0.25">
      <c r="A110" s="31"/>
      <c r="B110" s="6" t="s">
        <v>59</v>
      </c>
      <c r="C110" s="32" t="s">
        <v>36</v>
      </c>
      <c r="D110" s="6">
        <v>16</v>
      </c>
      <c r="E110" s="6"/>
      <c r="F110" s="6">
        <v>2</v>
      </c>
      <c r="G110" s="33">
        <f>VLOOKUP(D110,$B$12:$E$18,4,0)</f>
        <v>0.72499999999999998</v>
      </c>
      <c r="H110" s="6"/>
      <c r="I110" s="6"/>
      <c r="J110" s="6"/>
      <c r="K110" s="6"/>
      <c r="L110" s="6"/>
      <c r="M110" s="6"/>
      <c r="N110" s="6"/>
      <c r="O110" s="6">
        <f>+E107+0.784+0.962</f>
        <v>3.6020000000000003</v>
      </c>
      <c r="P110" s="6">
        <f>O110*F110</f>
        <v>7.2040000000000006</v>
      </c>
      <c r="Q110" s="6">
        <f t="shared" si="27"/>
        <v>0</v>
      </c>
      <c r="R110" s="6">
        <f t="shared" si="27"/>
        <v>0</v>
      </c>
      <c r="S110" s="6">
        <f t="shared" si="27"/>
        <v>0</v>
      </c>
      <c r="T110" s="6">
        <f t="shared" si="27"/>
        <v>11.374910171428573</v>
      </c>
      <c r="U110" s="6">
        <f t="shared" si="27"/>
        <v>0</v>
      </c>
      <c r="V110" s="6">
        <f t="shared" si="27"/>
        <v>0</v>
      </c>
      <c r="W110" s="6">
        <f t="shared" si="27"/>
        <v>0</v>
      </c>
      <c r="X110" s="6">
        <f t="shared" si="33"/>
        <v>11.374910171428573</v>
      </c>
      <c r="Y110" s="5"/>
      <c r="Z110" s="5"/>
      <c r="AA110" s="5"/>
      <c r="AB110" s="5"/>
      <c r="AC110" s="5"/>
      <c r="AD110" s="5"/>
    </row>
    <row r="111" spans="1:31" s="3" customFormat="1" ht="20.100000000000001" customHeight="1" x14ac:dyDescent="0.25">
      <c r="A111" s="31"/>
      <c r="B111" s="6" t="s">
        <v>59</v>
      </c>
      <c r="C111" s="32" t="s">
        <v>36</v>
      </c>
      <c r="D111" s="6">
        <v>16</v>
      </c>
      <c r="E111" s="6"/>
      <c r="F111" s="6">
        <v>2</v>
      </c>
      <c r="G111" s="33">
        <f>VLOOKUP(D111,$B$12:$E$18,4,0)</f>
        <v>0.72499999999999998</v>
      </c>
      <c r="H111" s="6"/>
      <c r="I111" s="6"/>
      <c r="J111" s="6"/>
      <c r="K111" s="6"/>
      <c r="L111" s="6"/>
      <c r="M111" s="6"/>
      <c r="N111" s="6"/>
      <c r="O111" s="6">
        <f>+E107+0.784+0.962</f>
        <v>3.6020000000000003</v>
      </c>
      <c r="P111" s="6">
        <f>O111*F111</f>
        <v>7.2040000000000006</v>
      </c>
      <c r="Q111" s="6">
        <f t="shared" si="27"/>
        <v>0</v>
      </c>
      <c r="R111" s="6">
        <f t="shared" si="27"/>
        <v>0</v>
      </c>
      <c r="S111" s="6">
        <f t="shared" si="27"/>
        <v>0</v>
      </c>
      <c r="T111" s="6">
        <f t="shared" si="27"/>
        <v>11.374910171428573</v>
      </c>
      <c r="U111" s="6">
        <f t="shared" si="27"/>
        <v>0</v>
      </c>
      <c r="V111" s="6">
        <f t="shared" si="27"/>
        <v>0</v>
      </c>
      <c r="W111" s="6">
        <f t="shared" si="27"/>
        <v>0</v>
      </c>
      <c r="X111" s="6">
        <f t="shared" si="33"/>
        <v>11.374910171428573</v>
      </c>
      <c r="Y111" s="5"/>
      <c r="Z111" s="5"/>
      <c r="AA111" s="5"/>
      <c r="AB111" s="5"/>
      <c r="AC111" s="5"/>
      <c r="AD111" s="5"/>
    </row>
    <row r="112" spans="1:31" s="3" customFormat="1" ht="20.100000000000001" customHeight="1" x14ac:dyDescent="0.25">
      <c r="A112" s="31"/>
      <c r="B112" s="6" t="s">
        <v>59</v>
      </c>
      <c r="C112" s="35" t="s">
        <v>37</v>
      </c>
      <c r="D112" s="6">
        <v>8</v>
      </c>
      <c r="E112" s="6">
        <v>0.1</v>
      </c>
      <c r="F112" s="6">
        <f>+ROUND(E107/E112,0)+1</f>
        <v>20</v>
      </c>
      <c r="G112" s="21"/>
      <c r="H112" s="6"/>
      <c r="I112" s="6"/>
      <c r="J112" s="6"/>
      <c r="K112" s="6"/>
      <c r="L112" s="6"/>
      <c r="M112" s="6"/>
      <c r="N112" s="6"/>
      <c r="O112" s="6">
        <f>(2*((G107-(2*$D$4))+(F107-(2*$D$4)))+((2*10)*D112/1000))*D107</f>
        <v>1.5599999999999998</v>
      </c>
      <c r="P112" s="6">
        <f>O112*F112</f>
        <v>31.199999999999996</v>
      </c>
      <c r="Q112" s="6">
        <f t="shared" ref="Q112:W113" si="34">IF($D112=Q$24,$P112*Q$25,0)</f>
        <v>12.315977142857141</v>
      </c>
      <c r="R112" s="6">
        <f t="shared" si="34"/>
        <v>0</v>
      </c>
      <c r="S112" s="6">
        <f t="shared" si="34"/>
        <v>0</v>
      </c>
      <c r="T112" s="6">
        <f t="shared" si="34"/>
        <v>0</v>
      </c>
      <c r="U112" s="6">
        <f t="shared" si="34"/>
        <v>0</v>
      </c>
      <c r="V112" s="6">
        <f t="shared" si="34"/>
        <v>0</v>
      </c>
      <c r="W112" s="6">
        <f t="shared" si="34"/>
        <v>0</v>
      </c>
      <c r="X112" s="6">
        <f t="shared" si="33"/>
        <v>12.315977142857141</v>
      </c>
      <c r="Y112" s="5"/>
      <c r="Z112" s="5"/>
      <c r="AA112" s="5"/>
      <c r="AB112" s="5"/>
      <c r="AC112" s="5"/>
      <c r="AD112" s="5"/>
    </row>
    <row r="113" spans="1:31" s="3" customFormat="1" ht="20.100000000000001" customHeight="1" x14ac:dyDescent="0.25">
      <c r="A113" s="31"/>
      <c r="B113" s="6" t="s">
        <v>59</v>
      </c>
      <c r="C113" s="32" t="s">
        <v>56</v>
      </c>
      <c r="D113" s="6">
        <v>8</v>
      </c>
      <c r="E113" s="6">
        <v>0.13</v>
      </c>
      <c r="F113" s="6">
        <f>2*2</f>
        <v>4</v>
      </c>
      <c r="G113" s="33">
        <f>VLOOKUP(D113,$B$12:$E$18,4,0)</f>
        <v>0.36499999999999999</v>
      </c>
      <c r="H113" s="6"/>
      <c r="I113" s="6"/>
      <c r="J113" s="6"/>
      <c r="K113" s="6"/>
      <c r="L113" s="6"/>
      <c r="M113" s="6"/>
      <c r="N113" s="6"/>
      <c r="O113" s="6">
        <f>+E107+2*G113</f>
        <v>2.5860000000000003</v>
      </c>
      <c r="P113" s="6">
        <f t="shared" ref="P113" si="35">O113*F113</f>
        <v>10.344000000000001</v>
      </c>
      <c r="Q113" s="6">
        <f t="shared" si="34"/>
        <v>4.083220114285715</v>
      </c>
      <c r="R113" s="6">
        <f t="shared" si="34"/>
        <v>0</v>
      </c>
      <c r="S113" s="6">
        <f t="shared" si="34"/>
        <v>0</v>
      </c>
      <c r="T113" s="6">
        <f t="shared" si="34"/>
        <v>0</v>
      </c>
      <c r="U113" s="6">
        <f t="shared" si="34"/>
        <v>0</v>
      </c>
      <c r="V113" s="6">
        <f t="shared" si="34"/>
        <v>0</v>
      </c>
      <c r="W113" s="6">
        <f t="shared" si="34"/>
        <v>0</v>
      </c>
      <c r="X113" s="6">
        <f t="shared" si="33"/>
        <v>4.083220114285715</v>
      </c>
      <c r="Y113" s="5"/>
      <c r="Z113" s="5"/>
      <c r="AA113" s="5"/>
      <c r="AB113" s="5"/>
      <c r="AC113" s="5"/>
      <c r="AD113" s="5"/>
    </row>
    <row r="114" spans="1:31" s="3" customFormat="1" ht="21" customHeight="1" x14ac:dyDescent="0.25">
      <c r="A114" s="6">
        <f>+A107+1</f>
        <v>15</v>
      </c>
      <c r="B114" s="6" t="s">
        <v>59</v>
      </c>
      <c r="C114" s="29" t="s">
        <v>52</v>
      </c>
      <c r="D114" s="29">
        <v>1</v>
      </c>
      <c r="E114" s="29">
        <v>3.399</v>
      </c>
      <c r="F114" s="29">
        <v>0.2</v>
      </c>
      <c r="G114" s="29">
        <v>0.6</v>
      </c>
      <c r="H114" s="6">
        <f>G114-0.15</f>
        <v>0.44999999999999996</v>
      </c>
      <c r="I114" s="6">
        <f>E114*F114*G114*D114</f>
        <v>0.40788000000000002</v>
      </c>
      <c r="J114" s="6">
        <f>(2*(E114)*H114*D114)+(E114*F114)</f>
        <v>3.7389000000000001</v>
      </c>
      <c r="K114" s="30">
        <f>IF(E114=0.3,J114,0)</f>
        <v>0</v>
      </c>
      <c r="L114" s="30">
        <f>IF(AND(E114&gt;0.3,E114&lt;=0.75),J114,0)</f>
        <v>0</v>
      </c>
      <c r="M114" s="30">
        <f>IF(AND(E114&gt;0.75,E114&lt;=1.2),J114,0)</f>
        <v>0</v>
      </c>
      <c r="N114" s="30">
        <f>IF(E114&gt;1.2,J114,0)</f>
        <v>3.7389000000000001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5"/>
      <c r="Z114" s="5"/>
      <c r="AA114" s="5"/>
      <c r="AB114" s="5"/>
      <c r="AC114" s="5"/>
      <c r="AD114" s="5"/>
      <c r="AE114" s="5"/>
    </row>
    <row r="115" spans="1:31" s="3" customFormat="1" ht="20.100000000000001" customHeight="1" x14ac:dyDescent="0.25">
      <c r="A115" s="31"/>
      <c r="B115" s="6" t="s">
        <v>59</v>
      </c>
      <c r="C115" s="32" t="s">
        <v>35</v>
      </c>
      <c r="D115" s="6">
        <v>16</v>
      </c>
      <c r="E115" s="6"/>
      <c r="F115" s="6">
        <v>2</v>
      </c>
      <c r="G115" s="33">
        <f>VLOOKUP(D115,$B$12:$E$18,4,0)</f>
        <v>0.72499999999999998</v>
      </c>
      <c r="H115" s="33"/>
      <c r="I115" s="6"/>
      <c r="J115" s="6"/>
      <c r="K115" s="6"/>
      <c r="L115" s="6"/>
      <c r="M115" s="6"/>
      <c r="N115" s="6"/>
      <c r="O115" s="6">
        <f>(E114+2*(G115+(2*D115/1000)))*D114</f>
        <v>4.9130000000000003</v>
      </c>
      <c r="P115" s="6">
        <f>O115*F115</f>
        <v>9.8260000000000005</v>
      </c>
      <c r="Q115" s="6">
        <f t="shared" ref="Q115:W129" si="36">IF($D115=Q$24,$P115*Q$25,0)</f>
        <v>0</v>
      </c>
      <c r="R115" s="6">
        <f t="shared" si="36"/>
        <v>0</v>
      </c>
      <c r="S115" s="6">
        <f t="shared" si="36"/>
        <v>0</v>
      </c>
      <c r="T115" s="6">
        <f t="shared" si="36"/>
        <v>15.514973257142859</v>
      </c>
      <c r="U115" s="6">
        <f t="shared" si="36"/>
        <v>0</v>
      </c>
      <c r="V115" s="6">
        <f t="shared" si="36"/>
        <v>0</v>
      </c>
      <c r="W115" s="6">
        <f t="shared" si="36"/>
        <v>0</v>
      </c>
      <c r="X115" s="6">
        <f t="shared" ref="X115:X117" si="37">SUM(Q115:W115)</f>
        <v>15.514973257142859</v>
      </c>
      <c r="Y115" s="5"/>
      <c r="Z115" s="5"/>
      <c r="AA115" s="5"/>
      <c r="AB115" s="5"/>
      <c r="AC115" s="5"/>
      <c r="AD115" s="5"/>
    </row>
    <row r="116" spans="1:31" s="3" customFormat="1" ht="20.100000000000001" customHeight="1" x14ac:dyDescent="0.25">
      <c r="A116" s="31"/>
      <c r="B116" s="6" t="s">
        <v>59</v>
      </c>
      <c r="C116" s="32" t="s">
        <v>36</v>
      </c>
      <c r="D116" s="6">
        <v>16</v>
      </c>
      <c r="E116" s="6"/>
      <c r="F116" s="6">
        <v>2</v>
      </c>
      <c r="G116" s="33">
        <f>VLOOKUP(D116,$B$12:$E$18,4,0)</f>
        <v>0.72499999999999998</v>
      </c>
      <c r="H116" s="6"/>
      <c r="I116" s="6"/>
      <c r="J116" s="6"/>
      <c r="K116" s="6"/>
      <c r="L116" s="6"/>
      <c r="M116" s="6"/>
      <c r="N116" s="6"/>
      <c r="O116" s="6">
        <f>(E114+2*(G116+(2*D116/1000)))*D114</f>
        <v>4.9130000000000003</v>
      </c>
      <c r="P116" s="6">
        <f>O116*F116</f>
        <v>9.8260000000000005</v>
      </c>
      <c r="Q116" s="6">
        <f t="shared" si="36"/>
        <v>0</v>
      </c>
      <c r="R116" s="6">
        <f t="shared" si="36"/>
        <v>0</v>
      </c>
      <c r="S116" s="6">
        <f t="shared" si="36"/>
        <v>0</v>
      </c>
      <c r="T116" s="6">
        <f t="shared" si="36"/>
        <v>15.514973257142859</v>
      </c>
      <c r="U116" s="6">
        <f t="shared" si="36"/>
        <v>0</v>
      </c>
      <c r="V116" s="6">
        <f t="shared" si="36"/>
        <v>0</v>
      </c>
      <c r="W116" s="6">
        <f t="shared" si="36"/>
        <v>0</v>
      </c>
      <c r="X116" s="6">
        <f t="shared" si="37"/>
        <v>15.514973257142859</v>
      </c>
      <c r="Y116" s="5"/>
      <c r="Z116" s="5"/>
      <c r="AA116" s="5"/>
      <c r="AB116" s="5"/>
      <c r="AC116" s="5"/>
      <c r="AD116" s="5"/>
    </row>
    <row r="117" spans="1:31" s="3" customFormat="1" ht="20.100000000000001" customHeight="1" x14ac:dyDescent="0.25">
      <c r="A117" s="31"/>
      <c r="B117" s="6" t="s">
        <v>59</v>
      </c>
      <c r="C117" s="35" t="s">
        <v>37</v>
      </c>
      <c r="D117" s="6">
        <v>8</v>
      </c>
      <c r="E117" s="6">
        <v>0.1</v>
      </c>
      <c r="F117" s="6">
        <f>+ROUND(E114/E117,0)+1</f>
        <v>35</v>
      </c>
      <c r="G117" s="21"/>
      <c r="H117" s="6"/>
      <c r="I117" s="6"/>
      <c r="J117" s="6"/>
      <c r="K117" s="6"/>
      <c r="L117" s="6"/>
      <c r="M117" s="6"/>
      <c r="N117" s="6"/>
      <c r="O117" s="6">
        <f>(2*((G114-(2*$D$4))+(F114-(2*$D$4)))+((2*10)*D117/1000))*D114</f>
        <v>1.5599999999999998</v>
      </c>
      <c r="P117" s="6">
        <f>O117*F117</f>
        <v>54.599999999999994</v>
      </c>
      <c r="Q117" s="6">
        <f t="shared" si="36"/>
        <v>21.552959999999999</v>
      </c>
      <c r="R117" s="6">
        <f t="shared" si="36"/>
        <v>0</v>
      </c>
      <c r="S117" s="6">
        <f t="shared" si="36"/>
        <v>0</v>
      </c>
      <c r="T117" s="6">
        <f t="shared" si="36"/>
        <v>0</v>
      </c>
      <c r="U117" s="6">
        <f t="shared" si="36"/>
        <v>0</v>
      </c>
      <c r="V117" s="6">
        <f t="shared" si="36"/>
        <v>0</v>
      </c>
      <c r="W117" s="6">
        <f t="shared" si="36"/>
        <v>0</v>
      </c>
      <c r="X117" s="6">
        <f t="shared" si="37"/>
        <v>21.552959999999999</v>
      </c>
      <c r="Y117" s="5"/>
      <c r="Z117" s="5"/>
      <c r="AA117" s="5"/>
      <c r="AB117" s="5"/>
      <c r="AC117" s="5"/>
      <c r="AD117" s="5"/>
    </row>
    <row r="118" spans="1:31" s="3" customFormat="1" ht="21" customHeight="1" x14ac:dyDescent="0.25">
      <c r="A118" s="6">
        <f>+A114+1</f>
        <v>16</v>
      </c>
      <c r="B118" s="6" t="s">
        <v>59</v>
      </c>
      <c r="C118" s="29" t="s">
        <v>53</v>
      </c>
      <c r="D118" s="29">
        <v>1</v>
      </c>
      <c r="E118" s="29">
        <v>3.399</v>
      </c>
      <c r="F118" s="29">
        <v>0.2</v>
      </c>
      <c r="G118" s="29">
        <v>0.6</v>
      </c>
      <c r="H118" s="6">
        <f>G118-0.15</f>
        <v>0.44999999999999996</v>
      </c>
      <c r="I118" s="6">
        <f>E118*F118*G118*D118</f>
        <v>0.40788000000000002</v>
      </c>
      <c r="J118" s="6">
        <f>(2*(E118)*H118*D118)+(E118*F118)</f>
        <v>3.7389000000000001</v>
      </c>
      <c r="K118" s="30">
        <f>IF(E118=0.3,J118,0)</f>
        <v>0</v>
      </c>
      <c r="L118" s="30">
        <f>IF(AND(E118&gt;0.3,E118&lt;=0.75),J118,0)</f>
        <v>0</v>
      </c>
      <c r="M118" s="30">
        <f>IF(AND(E118&gt;0.75,E118&lt;=1.2),J118,0)</f>
        <v>0</v>
      </c>
      <c r="N118" s="30">
        <f>IF(E118&gt;1.2,J118,0)</f>
        <v>3.7389000000000001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5"/>
      <c r="Z118" s="5"/>
      <c r="AA118" s="5"/>
      <c r="AB118" s="5"/>
      <c r="AC118" s="5"/>
      <c r="AD118" s="5"/>
      <c r="AE118" s="5"/>
    </row>
    <row r="119" spans="1:31" s="3" customFormat="1" ht="20.100000000000001" customHeight="1" x14ac:dyDescent="0.25">
      <c r="A119" s="31"/>
      <c r="B119" s="6" t="s">
        <v>59</v>
      </c>
      <c r="C119" s="32" t="s">
        <v>35</v>
      </c>
      <c r="D119" s="6">
        <v>16</v>
      </c>
      <c r="E119" s="6"/>
      <c r="F119" s="6">
        <v>2</v>
      </c>
      <c r="G119" s="33">
        <f t="shared" ref="G119:G120" si="38">VLOOKUP(D119,$B$12:$E$18,4,0)</f>
        <v>0.72499999999999998</v>
      </c>
      <c r="H119" s="33"/>
      <c r="I119" s="6"/>
      <c r="J119" s="6"/>
      <c r="K119" s="6"/>
      <c r="L119" s="6"/>
      <c r="M119" s="6"/>
      <c r="N119" s="6"/>
      <c r="O119" s="6">
        <f>(E118+2*(G119+(2*D119/1000)))*D118</f>
        <v>4.9130000000000003</v>
      </c>
      <c r="P119" s="6">
        <f>O119*F119</f>
        <v>9.8260000000000005</v>
      </c>
      <c r="Q119" s="6">
        <f t="shared" si="36"/>
        <v>0</v>
      </c>
      <c r="R119" s="6">
        <f t="shared" si="36"/>
        <v>0</v>
      </c>
      <c r="S119" s="6">
        <f t="shared" si="36"/>
        <v>0</v>
      </c>
      <c r="T119" s="6">
        <f t="shared" si="36"/>
        <v>15.514973257142859</v>
      </c>
      <c r="U119" s="6">
        <f t="shared" si="36"/>
        <v>0</v>
      </c>
      <c r="V119" s="6">
        <f t="shared" si="36"/>
        <v>0</v>
      </c>
      <c r="W119" s="6">
        <f t="shared" si="36"/>
        <v>0</v>
      </c>
      <c r="X119" s="6">
        <f t="shared" ref="X119:X121" si="39">SUM(Q119:W119)</f>
        <v>15.514973257142859</v>
      </c>
      <c r="Y119" s="5"/>
      <c r="Z119" s="5"/>
      <c r="AA119" s="5"/>
      <c r="AB119" s="5"/>
      <c r="AC119" s="5"/>
      <c r="AD119" s="5"/>
    </row>
    <row r="120" spans="1:31" s="3" customFormat="1" ht="20.100000000000001" customHeight="1" x14ac:dyDescent="0.25">
      <c r="A120" s="31"/>
      <c r="B120" s="6" t="s">
        <v>59</v>
      </c>
      <c r="C120" s="32" t="s">
        <v>36</v>
      </c>
      <c r="D120" s="6">
        <v>16</v>
      </c>
      <c r="E120" s="6"/>
      <c r="F120" s="6">
        <v>2</v>
      </c>
      <c r="G120" s="33">
        <f t="shared" si="38"/>
        <v>0.72499999999999998</v>
      </c>
      <c r="H120" s="6"/>
      <c r="I120" s="6"/>
      <c r="J120" s="6"/>
      <c r="K120" s="6"/>
      <c r="L120" s="6"/>
      <c r="M120" s="6"/>
      <c r="N120" s="6"/>
      <c r="O120" s="6">
        <f>(E118+2*(G120+(2*D120/1000)))*D118</f>
        <v>4.9130000000000003</v>
      </c>
      <c r="P120" s="6">
        <f>O120*F120</f>
        <v>9.8260000000000005</v>
      </c>
      <c r="Q120" s="6">
        <f t="shared" si="36"/>
        <v>0</v>
      </c>
      <c r="R120" s="6">
        <f t="shared" si="36"/>
        <v>0</v>
      </c>
      <c r="S120" s="6">
        <f t="shared" si="36"/>
        <v>0</v>
      </c>
      <c r="T120" s="6">
        <f t="shared" si="36"/>
        <v>15.514973257142859</v>
      </c>
      <c r="U120" s="6">
        <f t="shared" si="36"/>
        <v>0</v>
      </c>
      <c r="V120" s="6">
        <f t="shared" si="36"/>
        <v>0</v>
      </c>
      <c r="W120" s="6">
        <f t="shared" si="36"/>
        <v>0</v>
      </c>
      <c r="X120" s="6">
        <f t="shared" si="39"/>
        <v>15.514973257142859</v>
      </c>
      <c r="Y120" s="5"/>
      <c r="Z120" s="5"/>
      <c r="AA120" s="5"/>
      <c r="AB120" s="5"/>
      <c r="AC120" s="5"/>
      <c r="AD120" s="5"/>
    </row>
    <row r="121" spans="1:31" s="3" customFormat="1" ht="20.100000000000001" customHeight="1" x14ac:dyDescent="0.25">
      <c r="A121" s="31"/>
      <c r="B121" s="6" t="s">
        <v>59</v>
      </c>
      <c r="C121" s="35" t="s">
        <v>37</v>
      </c>
      <c r="D121" s="6">
        <v>8</v>
      </c>
      <c r="E121" s="6">
        <v>0.15</v>
      </c>
      <c r="F121" s="6">
        <f>+ROUND(E118/E121,0)+1</f>
        <v>24</v>
      </c>
      <c r="G121" s="21"/>
      <c r="H121" s="6"/>
      <c r="I121" s="6"/>
      <c r="J121" s="6"/>
      <c r="K121" s="6"/>
      <c r="L121" s="6"/>
      <c r="M121" s="6"/>
      <c r="N121" s="6"/>
      <c r="O121" s="6">
        <f>(2*((G118-(2*$D$4))+(F118-(2*$D$4)))+((2*10)*D121/1000))*D118</f>
        <v>1.5599999999999998</v>
      </c>
      <c r="P121" s="6">
        <f>O121*F121</f>
        <v>37.44</v>
      </c>
      <c r="Q121" s="6">
        <f t="shared" si="36"/>
        <v>14.779172571428571</v>
      </c>
      <c r="R121" s="6">
        <f t="shared" si="36"/>
        <v>0</v>
      </c>
      <c r="S121" s="6">
        <f t="shared" si="36"/>
        <v>0</v>
      </c>
      <c r="T121" s="6">
        <f t="shared" si="36"/>
        <v>0</v>
      </c>
      <c r="U121" s="6">
        <f t="shared" si="36"/>
        <v>0</v>
      </c>
      <c r="V121" s="6">
        <f t="shared" si="36"/>
        <v>0</v>
      </c>
      <c r="W121" s="6">
        <f t="shared" si="36"/>
        <v>0</v>
      </c>
      <c r="X121" s="6">
        <f t="shared" si="39"/>
        <v>14.779172571428571</v>
      </c>
      <c r="Y121" s="5"/>
      <c r="Z121" s="5"/>
      <c r="AA121" s="5"/>
      <c r="AB121" s="5"/>
      <c r="AC121" s="5"/>
      <c r="AD121" s="5"/>
    </row>
    <row r="122" spans="1:31" s="3" customFormat="1" ht="21" customHeight="1" x14ac:dyDescent="0.25">
      <c r="A122" s="6">
        <f>+A118+1</f>
        <v>17</v>
      </c>
      <c r="B122" s="6" t="s">
        <v>59</v>
      </c>
      <c r="C122" s="29" t="s">
        <v>54</v>
      </c>
      <c r="D122" s="29">
        <v>1</v>
      </c>
      <c r="E122" s="29">
        <v>1.45</v>
      </c>
      <c r="F122" s="29">
        <v>0.2</v>
      </c>
      <c r="G122" s="29">
        <v>0.6</v>
      </c>
      <c r="H122" s="6">
        <f>G122-0.15</f>
        <v>0.44999999999999996</v>
      </c>
      <c r="I122" s="6">
        <f>E122*F122*G122*D122</f>
        <v>0.17399999999999999</v>
      </c>
      <c r="J122" s="6">
        <f>(2*(E122)*H122*D122)+(E122*F122)</f>
        <v>1.595</v>
      </c>
      <c r="K122" s="30">
        <f>IF(E122=0.3,J122,0)</f>
        <v>0</v>
      </c>
      <c r="L122" s="30">
        <f>IF(AND(E122&gt;0.3,E122&lt;=0.75),J122,0)</f>
        <v>0</v>
      </c>
      <c r="M122" s="30">
        <f>IF(AND(E122&gt;0.75,E122&lt;=1.2),J122,0)</f>
        <v>0</v>
      </c>
      <c r="N122" s="30">
        <f>IF(E122&gt;1.2,J122,0)</f>
        <v>1.595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5"/>
      <c r="Z122" s="5"/>
      <c r="AA122" s="5"/>
      <c r="AB122" s="5"/>
      <c r="AC122" s="5"/>
      <c r="AD122" s="5"/>
      <c r="AE122" s="5"/>
    </row>
    <row r="123" spans="1:31" s="3" customFormat="1" ht="20.100000000000001" customHeight="1" x14ac:dyDescent="0.25">
      <c r="A123" s="31"/>
      <c r="B123" s="6" t="s">
        <v>59</v>
      </c>
      <c r="C123" s="32" t="s">
        <v>35</v>
      </c>
      <c r="D123" s="6">
        <v>20</v>
      </c>
      <c r="E123" s="6"/>
      <c r="F123" s="6">
        <v>2</v>
      </c>
      <c r="G123" s="33">
        <f t="shared" ref="G123:G124" si="40">VLOOKUP(D123,$B$12:$E$18,4,0)</f>
        <v>0.91</v>
      </c>
      <c r="H123" s="33"/>
      <c r="I123" s="6"/>
      <c r="J123" s="6"/>
      <c r="K123" s="6"/>
      <c r="L123" s="6"/>
      <c r="M123" s="6"/>
      <c r="N123" s="6"/>
      <c r="O123" s="6">
        <f>(E122+2*(G123+(2*D123/1000)))*D122</f>
        <v>3.35</v>
      </c>
      <c r="P123" s="6">
        <f>O123*F123</f>
        <v>6.7</v>
      </c>
      <c r="Q123" s="6">
        <f t="shared" si="36"/>
        <v>0</v>
      </c>
      <c r="R123" s="6">
        <f t="shared" si="36"/>
        <v>0</v>
      </c>
      <c r="S123" s="6">
        <f t="shared" si="36"/>
        <v>0</v>
      </c>
      <c r="T123" s="6">
        <f t="shared" si="36"/>
        <v>0</v>
      </c>
      <c r="U123" s="6">
        <f t="shared" si="36"/>
        <v>16.529857142857143</v>
      </c>
      <c r="V123" s="6">
        <f t="shared" si="36"/>
        <v>0</v>
      </c>
      <c r="W123" s="6">
        <f t="shared" si="36"/>
        <v>0</v>
      </c>
      <c r="X123" s="6">
        <f t="shared" ref="X123:X125" si="41">SUM(Q123:W123)</f>
        <v>16.529857142857143</v>
      </c>
      <c r="Y123" s="5"/>
      <c r="Z123" s="5"/>
      <c r="AA123" s="5"/>
      <c r="AB123" s="5"/>
      <c r="AC123" s="5"/>
      <c r="AD123" s="5"/>
    </row>
    <row r="124" spans="1:31" s="3" customFormat="1" ht="20.100000000000001" customHeight="1" x14ac:dyDescent="0.25">
      <c r="A124" s="31"/>
      <c r="B124" s="6" t="s">
        <v>59</v>
      </c>
      <c r="C124" s="32" t="s">
        <v>36</v>
      </c>
      <c r="D124" s="6">
        <v>20</v>
      </c>
      <c r="E124" s="6"/>
      <c r="F124" s="6">
        <v>2</v>
      </c>
      <c r="G124" s="33">
        <f t="shared" si="40"/>
        <v>0.91</v>
      </c>
      <c r="H124" s="6"/>
      <c r="I124" s="6"/>
      <c r="J124" s="6"/>
      <c r="K124" s="6"/>
      <c r="L124" s="6"/>
      <c r="M124" s="6"/>
      <c r="N124" s="6"/>
      <c r="O124" s="6">
        <f>(E122+2*(G124+(2*D124/1000)))*D122</f>
        <v>3.35</v>
      </c>
      <c r="P124" s="6">
        <f>O124*F124</f>
        <v>6.7</v>
      </c>
      <c r="Q124" s="6">
        <f t="shared" si="36"/>
        <v>0</v>
      </c>
      <c r="R124" s="6">
        <f t="shared" si="36"/>
        <v>0</v>
      </c>
      <c r="S124" s="6">
        <f t="shared" si="36"/>
        <v>0</v>
      </c>
      <c r="T124" s="6">
        <f t="shared" si="36"/>
        <v>0</v>
      </c>
      <c r="U124" s="6">
        <f t="shared" si="36"/>
        <v>16.529857142857143</v>
      </c>
      <c r="V124" s="6">
        <f t="shared" si="36"/>
        <v>0</v>
      </c>
      <c r="W124" s="6">
        <f t="shared" si="36"/>
        <v>0</v>
      </c>
      <c r="X124" s="6">
        <f t="shared" si="41"/>
        <v>16.529857142857143</v>
      </c>
      <c r="Y124" s="5"/>
      <c r="Z124" s="5"/>
      <c r="AA124" s="5"/>
      <c r="AB124" s="5"/>
      <c r="AC124" s="5"/>
      <c r="AD124" s="5"/>
    </row>
    <row r="125" spans="1:31" s="3" customFormat="1" ht="20.100000000000001" customHeight="1" x14ac:dyDescent="0.25">
      <c r="A125" s="31"/>
      <c r="B125" s="6" t="s">
        <v>59</v>
      </c>
      <c r="C125" s="35" t="s">
        <v>37</v>
      </c>
      <c r="D125" s="6">
        <v>8</v>
      </c>
      <c r="E125" s="6">
        <v>0.2</v>
      </c>
      <c r="F125" s="6">
        <f>+ROUND(E122/E125,0)+1</f>
        <v>8</v>
      </c>
      <c r="G125" s="21"/>
      <c r="H125" s="6"/>
      <c r="I125" s="6"/>
      <c r="J125" s="6"/>
      <c r="K125" s="6"/>
      <c r="L125" s="6"/>
      <c r="M125" s="6"/>
      <c r="N125" s="6"/>
      <c r="O125" s="6">
        <f>(2*((G122-(2*$D$4))+(F122-(2*$D$4)))+((2*10)*D125/1000))*D122</f>
        <v>1.5599999999999998</v>
      </c>
      <c r="P125" s="6">
        <f>O125*F125</f>
        <v>12.479999999999999</v>
      </c>
      <c r="Q125" s="6">
        <f t="shared" si="36"/>
        <v>4.9263908571428567</v>
      </c>
      <c r="R125" s="6">
        <f t="shared" si="36"/>
        <v>0</v>
      </c>
      <c r="S125" s="6">
        <f t="shared" si="36"/>
        <v>0</v>
      </c>
      <c r="T125" s="6">
        <f t="shared" si="36"/>
        <v>0</v>
      </c>
      <c r="U125" s="6">
        <f t="shared" si="36"/>
        <v>0</v>
      </c>
      <c r="V125" s="6">
        <f t="shared" si="36"/>
        <v>0</v>
      </c>
      <c r="W125" s="6">
        <f t="shared" si="36"/>
        <v>0</v>
      </c>
      <c r="X125" s="6">
        <f t="shared" si="41"/>
        <v>4.9263908571428567</v>
      </c>
      <c r="Y125" s="5"/>
      <c r="Z125" s="5"/>
      <c r="AA125" s="5"/>
      <c r="AB125" s="5"/>
      <c r="AC125" s="5"/>
      <c r="AD125" s="5"/>
    </row>
    <row r="126" spans="1:31" s="3" customFormat="1" ht="21" customHeight="1" x14ac:dyDescent="0.25">
      <c r="A126" s="6">
        <f>+A122+1</f>
        <v>18</v>
      </c>
      <c r="B126" s="6" t="s">
        <v>59</v>
      </c>
      <c r="C126" s="29" t="s">
        <v>55</v>
      </c>
      <c r="D126" s="29">
        <v>1</v>
      </c>
      <c r="E126" s="29">
        <v>3.8029999999999999</v>
      </c>
      <c r="F126" s="29">
        <v>0.2</v>
      </c>
      <c r="G126" s="29">
        <v>0.6</v>
      </c>
      <c r="H126" s="6">
        <f>G126-0.15</f>
        <v>0.44999999999999996</v>
      </c>
      <c r="I126" s="6">
        <f>E126*F126*G126*D126</f>
        <v>0.45635999999999999</v>
      </c>
      <c r="J126" s="6">
        <f>(2*(E126)*H126*D126)+(E126*F126)</f>
        <v>4.1832999999999991</v>
      </c>
      <c r="K126" s="30">
        <f>IF(E126=0.3,J126,0)</f>
        <v>0</v>
      </c>
      <c r="L126" s="30">
        <f>IF(AND(E126&gt;0.3,E126&lt;=0.75),J126,0)</f>
        <v>0</v>
      </c>
      <c r="M126" s="30">
        <f>IF(AND(E126&gt;0.75,E126&lt;=1.2),J126,0)</f>
        <v>0</v>
      </c>
      <c r="N126" s="30">
        <f>IF(E126&gt;1.2,J126,0)</f>
        <v>4.1832999999999991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5"/>
      <c r="Z126" s="5"/>
      <c r="AA126" s="5"/>
      <c r="AB126" s="5"/>
      <c r="AC126" s="5"/>
      <c r="AD126" s="5"/>
      <c r="AE126" s="5"/>
    </row>
    <row r="127" spans="1:31" s="3" customFormat="1" ht="20.100000000000001" customHeight="1" x14ac:dyDescent="0.25">
      <c r="A127" s="31"/>
      <c r="B127" s="6" t="s">
        <v>59</v>
      </c>
      <c r="C127" s="32" t="s">
        <v>35</v>
      </c>
      <c r="D127" s="6">
        <v>20</v>
      </c>
      <c r="E127" s="6"/>
      <c r="F127" s="6">
        <v>2</v>
      </c>
      <c r="G127" s="33">
        <f t="shared" ref="G127:G128" si="42">VLOOKUP(D127,$B$12:$E$18,4,0)</f>
        <v>0.91</v>
      </c>
      <c r="H127" s="33"/>
      <c r="I127" s="6"/>
      <c r="J127" s="6"/>
      <c r="K127" s="6"/>
      <c r="L127" s="6"/>
      <c r="M127" s="6"/>
      <c r="N127" s="6"/>
      <c r="O127" s="6">
        <f>(E126+2*(G127+(2*D127/1000)))*D126</f>
        <v>5.7030000000000003</v>
      </c>
      <c r="P127" s="6">
        <f>O127*F127</f>
        <v>11.406000000000001</v>
      </c>
      <c r="Q127" s="6">
        <f t="shared" si="36"/>
        <v>0</v>
      </c>
      <c r="R127" s="6">
        <f t="shared" si="36"/>
        <v>0</v>
      </c>
      <c r="S127" s="6">
        <f t="shared" si="36"/>
        <v>0</v>
      </c>
      <c r="T127" s="6">
        <f t="shared" si="36"/>
        <v>0</v>
      </c>
      <c r="U127" s="6">
        <f t="shared" si="36"/>
        <v>28.140231428571429</v>
      </c>
      <c r="V127" s="6">
        <f t="shared" si="36"/>
        <v>0</v>
      </c>
      <c r="W127" s="6">
        <f t="shared" si="36"/>
        <v>0</v>
      </c>
      <c r="X127" s="6">
        <f t="shared" ref="X127:X129" si="43">SUM(Q127:W127)</f>
        <v>28.140231428571429</v>
      </c>
      <c r="Y127" s="5"/>
      <c r="Z127" s="5"/>
      <c r="AA127" s="5"/>
      <c r="AB127" s="5"/>
      <c r="AC127" s="5"/>
      <c r="AD127" s="5"/>
    </row>
    <row r="128" spans="1:31" s="3" customFormat="1" ht="20.100000000000001" customHeight="1" x14ac:dyDescent="0.25">
      <c r="A128" s="31"/>
      <c r="B128" s="6" t="s">
        <v>59</v>
      </c>
      <c r="C128" s="32" t="s">
        <v>36</v>
      </c>
      <c r="D128" s="6">
        <v>20</v>
      </c>
      <c r="E128" s="6"/>
      <c r="F128" s="6">
        <v>2</v>
      </c>
      <c r="G128" s="33">
        <f t="shared" si="42"/>
        <v>0.91</v>
      </c>
      <c r="H128" s="6"/>
      <c r="I128" s="6"/>
      <c r="J128" s="6"/>
      <c r="K128" s="6"/>
      <c r="L128" s="6"/>
      <c r="M128" s="6"/>
      <c r="N128" s="6"/>
      <c r="O128" s="6">
        <f>(E126+2*(G128+(2*D128/1000)))*D126</f>
        <v>5.7030000000000003</v>
      </c>
      <c r="P128" s="6">
        <f>O128*F128</f>
        <v>11.406000000000001</v>
      </c>
      <c r="Q128" s="6">
        <f t="shared" si="36"/>
        <v>0</v>
      </c>
      <c r="R128" s="6">
        <f t="shared" si="36"/>
        <v>0</v>
      </c>
      <c r="S128" s="6">
        <f t="shared" si="36"/>
        <v>0</v>
      </c>
      <c r="T128" s="6">
        <f t="shared" si="36"/>
        <v>0</v>
      </c>
      <c r="U128" s="6">
        <f t="shared" si="36"/>
        <v>28.140231428571429</v>
      </c>
      <c r="V128" s="6">
        <f t="shared" si="36"/>
        <v>0</v>
      </c>
      <c r="W128" s="6">
        <f t="shared" si="36"/>
        <v>0</v>
      </c>
      <c r="X128" s="6">
        <f t="shared" si="43"/>
        <v>28.140231428571429</v>
      </c>
      <c r="Y128" s="5"/>
      <c r="Z128" s="5"/>
      <c r="AA128" s="5"/>
      <c r="AB128" s="5"/>
      <c r="AC128" s="5"/>
      <c r="AD128" s="5"/>
    </row>
    <row r="129" spans="1:31" s="3" customFormat="1" ht="20.100000000000001" customHeight="1" x14ac:dyDescent="0.25">
      <c r="A129" s="31"/>
      <c r="B129" s="6" t="s">
        <v>59</v>
      </c>
      <c r="C129" s="35" t="s">
        <v>37</v>
      </c>
      <c r="D129" s="6">
        <v>8</v>
      </c>
      <c r="E129" s="6">
        <v>0.1</v>
      </c>
      <c r="F129" s="6">
        <f>+ROUND(E126/E129,0)+1</f>
        <v>39</v>
      </c>
      <c r="G129" s="21"/>
      <c r="H129" s="6"/>
      <c r="I129" s="6"/>
      <c r="J129" s="6"/>
      <c r="K129" s="6"/>
      <c r="L129" s="6"/>
      <c r="M129" s="6"/>
      <c r="N129" s="6"/>
      <c r="O129" s="6">
        <f>(2*((G126-(2*$D$4))+(F126-(2*$D$4)))+((2*10)*D129/1000))*D126</f>
        <v>1.5599999999999998</v>
      </c>
      <c r="P129" s="6">
        <f>O129*F129</f>
        <v>60.839999999999996</v>
      </c>
      <c r="Q129" s="6">
        <f t="shared" si="36"/>
        <v>24.01615542857143</v>
      </c>
      <c r="R129" s="6">
        <f t="shared" si="36"/>
        <v>0</v>
      </c>
      <c r="S129" s="6">
        <f t="shared" si="36"/>
        <v>0</v>
      </c>
      <c r="T129" s="6">
        <f t="shared" si="36"/>
        <v>0</v>
      </c>
      <c r="U129" s="6">
        <f t="shared" si="36"/>
        <v>0</v>
      </c>
      <c r="V129" s="6">
        <f t="shared" si="36"/>
        <v>0</v>
      </c>
      <c r="W129" s="6">
        <f t="shared" si="36"/>
        <v>0</v>
      </c>
      <c r="X129" s="6">
        <f t="shared" si="43"/>
        <v>24.01615542857143</v>
      </c>
      <c r="Y129" s="5"/>
      <c r="Z129" s="5"/>
      <c r="AA129" s="5"/>
      <c r="AB129" s="5"/>
      <c r="AC129" s="5"/>
      <c r="AD129" s="5"/>
    </row>
    <row r="130" spans="1:31" ht="20.100000000000001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7"/>
      <c r="L130" s="37"/>
      <c r="M130" s="37"/>
      <c r="N130" s="37"/>
      <c r="O130" s="36"/>
      <c r="P130" s="36"/>
      <c r="Q130" s="38">
        <f>SUBTOTAL(9,Q28:Q129)</f>
        <v>401.46769645714284</v>
      </c>
      <c r="R130" s="38">
        <f t="shared" ref="R130:X130" si="44">SUBTOTAL(9,R28:R129)</f>
        <v>12.829142857142855</v>
      </c>
      <c r="S130" s="38">
        <f t="shared" si="44"/>
        <v>18.399359314285718</v>
      </c>
      <c r="T130" s="38">
        <f t="shared" si="44"/>
        <v>494.6664850285714</v>
      </c>
      <c r="U130" s="38">
        <f t="shared" si="44"/>
        <v>479.47441142857144</v>
      </c>
      <c r="V130" s="38">
        <f t="shared" si="44"/>
        <v>16.76886160714286</v>
      </c>
      <c r="W130" s="38">
        <f t="shared" si="44"/>
        <v>0</v>
      </c>
      <c r="X130" s="38">
        <f t="shared" si="44"/>
        <v>1423.6059566928573</v>
      </c>
      <c r="Y130" s="8"/>
      <c r="Z130" s="8"/>
      <c r="AA130" s="8"/>
      <c r="AB130" s="8"/>
      <c r="AC130" s="8"/>
      <c r="AD130" s="8"/>
      <c r="AE130" s="8"/>
    </row>
    <row r="131" spans="1:31" ht="20.100000000000001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7"/>
      <c r="L131" s="37"/>
      <c r="M131" s="37"/>
      <c r="N131" s="37"/>
      <c r="O131" s="36"/>
      <c r="P131" s="36"/>
      <c r="Q131" s="38">
        <f>SUBTOTAL(9,Q36:Q130)/1000</f>
        <v>0.3564196416</v>
      </c>
      <c r="R131" s="38">
        <f t="shared" ref="R131" si="45">SUBTOTAL(9,R36:R130)/1000</f>
        <v>1.2829142857142855E-2</v>
      </c>
      <c r="S131" s="38">
        <f t="shared" ref="S131" si="46">SUBTOTAL(9,S36:S130)/1000</f>
        <v>1.839935931428572E-2</v>
      </c>
      <c r="T131" s="38">
        <f t="shared" ref="T131" si="47">SUBTOTAL(9,T36:T130)/1000</f>
        <v>0.4436151807999999</v>
      </c>
      <c r="U131" s="38">
        <f t="shared" ref="U131" si="48">SUBTOTAL(9,U36:U130)/1000</f>
        <v>0.40654566857142865</v>
      </c>
      <c r="V131" s="38">
        <f t="shared" ref="V131" si="49">SUBTOTAL(9,V36:V130)/1000</f>
        <v>1.676886160714286E-2</v>
      </c>
      <c r="W131" s="38">
        <f t="shared" ref="W131" si="50">SUBTOTAL(9,W36:W130)</f>
        <v>0</v>
      </c>
      <c r="X131" s="38">
        <f t="shared" ref="X131" si="51">SUBTOTAL(9,X36:X130)/1000</f>
        <v>1.2545778547499997</v>
      </c>
      <c r="Y131" s="8"/>
      <c r="Z131" s="8"/>
      <c r="AA131" s="8"/>
      <c r="AB131" s="8"/>
      <c r="AC131" s="8"/>
      <c r="AD131" s="8"/>
      <c r="AE131" s="8"/>
    </row>
    <row r="132" spans="1:31" ht="20.100000000000001" customHeight="1" x14ac:dyDescent="0.25">
      <c r="A132" s="12"/>
      <c r="B132" s="8"/>
      <c r="C132" s="9"/>
      <c r="D132" s="8"/>
      <c r="E132" s="8"/>
      <c r="F132" s="8"/>
      <c r="G132" s="13"/>
      <c r="H132" s="13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1" ht="20.100000000000001" customHeight="1" x14ac:dyDescent="0.25">
      <c r="A133" s="12"/>
      <c r="B133" s="8"/>
      <c r="C133" s="9"/>
      <c r="D133" s="8"/>
      <c r="E133" s="8"/>
      <c r="F133" s="8"/>
      <c r="G133" s="13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1" ht="20.100000000000001" customHeight="1" x14ac:dyDescent="0.25">
      <c r="A134" s="12"/>
      <c r="B134" s="8"/>
      <c r="C134" s="9"/>
      <c r="D134" s="8"/>
      <c r="E134" s="8"/>
      <c r="F134" s="8"/>
      <c r="G134" s="13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1" ht="20.100000000000001" customHeight="1" x14ac:dyDescent="0.25">
      <c r="A135" s="12"/>
      <c r="B135" s="8"/>
      <c r="C135" s="9"/>
      <c r="D135" s="8"/>
      <c r="E135" s="8"/>
      <c r="F135" s="8"/>
      <c r="G135" s="1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1" ht="20.100000000000001" customHeight="1" x14ac:dyDescent="0.25">
      <c r="A136" s="12"/>
      <c r="B136" s="8"/>
      <c r="C136" s="9"/>
      <c r="D136" s="8"/>
      <c r="E136" s="8"/>
      <c r="F136" s="8"/>
      <c r="G136" s="1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1" ht="20.100000000000001" customHeight="1" x14ac:dyDescent="0.25">
      <c r="A137" s="12"/>
      <c r="B137" s="8"/>
      <c r="C137" s="9"/>
      <c r="D137" s="8"/>
      <c r="E137" s="8"/>
      <c r="F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1" s="10" customFormat="1" ht="20.100000000000001" customHeight="1" x14ac:dyDescent="0.3">
      <c r="B138" s="8"/>
      <c r="C138" s="9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31" ht="20.100000000000001" customHeight="1" x14ac:dyDescent="0.25">
      <c r="A139" s="12"/>
      <c r="B139" s="8"/>
      <c r="C139" s="9"/>
      <c r="D139" s="8"/>
      <c r="E139" s="8"/>
      <c r="F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1" ht="20.100000000000001" customHeight="1" x14ac:dyDescent="0.25">
      <c r="B140" s="8"/>
      <c r="C140" s="9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31" ht="20.100000000000001" customHeight="1" x14ac:dyDescent="0.25">
      <c r="A141" s="12"/>
      <c r="B141" s="8"/>
      <c r="C141" s="9"/>
      <c r="D141" s="8"/>
      <c r="E141" s="8"/>
      <c r="F141" s="8"/>
      <c r="G141" s="13"/>
      <c r="H141" s="13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1" ht="20.100000000000001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1"/>
      <c r="L142" s="11"/>
      <c r="M142" s="11"/>
      <c r="N142" s="11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ht="20.100000000000001" customHeight="1" x14ac:dyDescent="0.25">
      <c r="A143" s="12"/>
      <c r="B143" s="8"/>
      <c r="C143" s="9"/>
      <c r="D143" s="8"/>
      <c r="E143" s="8"/>
      <c r="F143" s="8"/>
      <c r="G143" s="13"/>
      <c r="H143" s="13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1" ht="20.100000000000001" customHeight="1" x14ac:dyDescent="0.25">
      <c r="A144" s="12"/>
      <c r="B144" s="8"/>
      <c r="C144" s="9"/>
      <c r="D144" s="8"/>
      <c r="E144" s="8"/>
      <c r="F144" s="8"/>
      <c r="G144" s="1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1" ht="20.100000000000001" customHeight="1" x14ac:dyDescent="0.25">
      <c r="A145" s="12"/>
      <c r="B145" s="8"/>
      <c r="C145" s="9"/>
      <c r="D145" s="8"/>
      <c r="E145" s="8"/>
      <c r="F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1" s="10" customFormat="1" ht="20.100000000000001" customHeight="1" x14ac:dyDescent="0.3">
      <c r="B146" s="8"/>
      <c r="C146" s="9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31" ht="20.100000000000001" customHeight="1" x14ac:dyDescent="0.25">
      <c r="A147" s="14"/>
      <c r="B147" s="8"/>
      <c r="C147" s="8"/>
      <c r="D147" s="8"/>
      <c r="E147" s="8"/>
      <c r="F147" s="8"/>
      <c r="G147" s="8"/>
      <c r="H147" s="8"/>
      <c r="I147" s="8"/>
      <c r="J147" s="8"/>
      <c r="K147" s="11"/>
      <c r="L147" s="11"/>
      <c r="M147" s="11"/>
      <c r="N147" s="11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20.100000000000001" customHeight="1" x14ac:dyDescent="0.25">
      <c r="A148" s="14"/>
      <c r="B148" s="8"/>
      <c r="C148" s="8"/>
      <c r="D148" s="8"/>
      <c r="E148" s="8"/>
      <c r="F148" s="8"/>
      <c r="G148" s="8"/>
      <c r="H148" s="8"/>
      <c r="I148" s="8"/>
      <c r="J148" s="8"/>
      <c r="K148" s="11"/>
      <c r="L148" s="11"/>
      <c r="M148" s="11"/>
      <c r="N148" s="11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20.100000000000001" customHeight="1" x14ac:dyDescent="0.25">
      <c r="A149" s="12"/>
      <c r="B149" s="8"/>
      <c r="C149" s="9"/>
      <c r="D149" s="8"/>
      <c r="E149" s="8"/>
      <c r="F149" s="8"/>
      <c r="G149" s="13"/>
      <c r="H149" s="13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1" ht="20.100000000000001" customHeight="1" x14ac:dyDescent="0.25">
      <c r="A150" s="12"/>
      <c r="B150" s="8"/>
      <c r="C150" s="9"/>
      <c r="D150" s="8"/>
      <c r="E150" s="8"/>
      <c r="F150" s="8"/>
      <c r="G150" s="1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1" ht="20.100000000000001" customHeight="1" x14ac:dyDescent="0.25">
      <c r="A151" s="12"/>
      <c r="B151" s="8"/>
      <c r="C151" s="9"/>
      <c r="D151" s="8"/>
      <c r="E151" s="8"/>
      <c r="F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1" s="10" customFormat="1" ht="20.100000000000001" customHeight="1" x14ac:dyDescent="0.3">
      <c r="B152" s="8"/>
      <c r="C152" s="9"/>
      <c r="F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31" ht="20.100000000000001" customHeight="1" x14ac:dyDescent="0.25">
      <c r="A153" s="14"/>
      <c r="B153" s="8"/>
      <c r="C153" s="8"/>
      <c r="D153" s="8"/>
      <c r="E153" s="8"/>
      <c r="F153" s="8"/>
      <c r="G153" s="8"/>
      <c r="H153" s="8"/>
      <c r="I153" s="8"/>
      <c r="J153" s="8"/>
      <c r="K153" s="11"/>
      <c r="L153" s="11"/>
      <c r="M153" s="11"/>
      <c r="N153" s="11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20.100000000000001" customHeight="1" x14ac:dyDescent="0.25">
      <c r="A154" s="12"/>
      <c r="B154" s="8"/>
      <c r="C154" s="9"/>
      <c r="D154" s="8"/>
      <c r="E154" s="8"/>
      <c r="F154" s="8"/>
      <c r="G154" s="13"/>
      <c r="H154" s="13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1" ht="20.100000000000001" customHeight="1" x14ac:dyDescent="0.25">
      <c r="A155" s="12"/>
      <c r="B155" s="8"/>
      <c r="C155" s="9"/>
      <c r="D155" s="8"/>
      <c r="E155" s="8"/>
      <c r="F155" s="8"/>
      <c r="G155" s="13"/>
      <c r="H155" s="13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1" ht="20.100000000000001" customHeight="1" x14ac:dyDescent="0.25">
      <c r="A156" s="12"/>
      <c r="B156" s="8"/>
      <c r="C156" s="9"/>
      <c r="D156" s="8"/>
      <c r="E156" s="8"/>
      <c r="F156" s="8"/>
      <c r="G156" s="1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1" ht="18.75" customHeight="1" x14ac:dyDescent="0.25">
      <c r="A157" s="12"/>
      <c r="B157" s="8"/>
      <c r="C157" s="9"/>
      <c r="D157" s="8"/>
      <c r="E157" s="8"/>
      <c r="F157" s="8"/>
      <c r="G157" s="13"/>
      <c r="H157" s="13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1" ht="20.100000000000001" customHeight="1" x14ac:dyDescent="0.25">
      <c r="A158" s="12"/>
      <c r="B158" s="8"/>
      <c r="C158" s="9"/>
      <c r="D158" s="8"/>
      <c r="E158" s="8"/>
      <c r="F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1" s="10" customFormat="1" ht="20.100000000000001" customHeight="1" x14ac:dyDescent="0.3">
      <c r="B159" s="8"/>
      <c r="C159" s="9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31" ht="20.100000000000001" customHeight="1" x14ac:dyDescent="0.25">
      <c r="A160" s="12"/>
      <c r="B160" s="8"/>
      <c r="C160" s="9"/>
      <c r="D160" s="8"/>
      <c r="E160" s="8"/>
      <c r="F160" s="8"/>
      <c r="G160" s="13"/>
      <c r="H160" s="13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1" ht="20.100000000000001" customHeight="1" x14ac:dyDescent="0.25">
      <c r="A161" s="14"/>
      <c r="B161" s="8"/>
      <c r="C161" s="8"/>
      <c r="D161" s="8"/>
      <c r="E161" s="8"/>
      <c r="F161" s="8"/>
      <c r="G161" s="8"/>
      <c r="H161" s="8"/>
      <c r="I161" s="8"/>
      <c r="J161" s="8"/>
      <c r="K161" s="11"/>
      <c r="L161" s="11"/>
      <c r="M161" s="11"/>
      <c r="N161" s="11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20.100000000000001" customHeight="1" x14ac:dyDescent="0.25">
      <c r="A162" s="12"/>
      <c r="B162" s="8"/>
      <c r="C162" s="9"/>
      <c r="D162" s="8"/>
      <c r="E162" s="8"/>
      <c r="F162" s="8"/>
      <c r="G162" s="13"/>
      <c r="H162" s="13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1" ht="20.100000000000001" customHeight="1" x14ac:dyDescent="0.25">
      <c r="A163" s="12"/>
      <c r="B163" s="8"/>
      <c r="C163" s="9"/>
      <c r="D163" s="8"/>
      <c r="E163" s="8"/>
      <c r="F163" s="8"/>
      <c r="G163" s="13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1" ht="20.100000000000001" customHeight="1" x14ac:dyDescent="0.25">
      <c r="A164" s="12"/>
      <c r="B164" s="8"/>
      <c r="C164" s="9"/>
      <c r="D164" s="8"/>
      <c r="E164" s="8"/>
      <c r="F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1" s="10" customFormat="1" ht="20.100000000000001" customHeight="1" x14ac:dyDescent="0.3">
      <c r="B165" s="8"/>
      <c r="C165" s="9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31" ht="20.100000000000001" customHeight="1" x14ac:dyDescent="0.25">
      <c r="A166" s="14"/>
      <c r="B166" s="8"/>
      <c r="C166" s="8"/>
      <c r="D166" s="8"/>
      <c r="E166" s="8"/>
      <c r="F166" s="8"/>
      <c r="G166" s="8"/>
      <c r="H166" s="8"/>
      <c r="I166" s="8"/>
      <c r="J166" s="8"/>
      <c r="K166" s="11"/>
      <c r="L166" s="11"/>
      <c r="M166" s="11"/>
      <c r="N166" s="11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20.100000000000001" customHeight="1" x14ac:dyDescent="0.25">
      <c r="A167" s="12"/>
      <c r="B167" s="8"/>
      <c r="C167" s="9"/>
      <c r="D167" s="8"/>
      <c r="E167" s="8"/>
      <c r="F167" s="8"/>
      <c r="G167" s="13"/>
      <c r="H167" s="13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1" ht="20.100000000000001" customHeight="1" x14ac:dyDescent="0.25">
      <c r="A168" s="12"/>
      <c r="B168" s="8"/>
      <c r="C168" s="9"/>
      <c r="D168" s="8"/>
      <c r="E168" s="8"/>
      <c r="F168" s="8"/>
      <c r="G168" s="1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1" ht="20.100000000000001" customHeight="1" x14ac:dyDescent="0.25">
      <c r="A169" s="12"/>
      <c r="B169" s="8"/>
      <c r="C169" s="9"/>
      <c r="D169" s="8"/>
      <c r="E169" s="8"/>
      <c r="F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1" s="10" customFormat="1" ht="20.100000000000001" customHeight="1" x14ac:dyDescent="0.3">
      <c r="B170" s="8"/>
      <c r="C170" s="9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31" ht="20.100000000000001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11"/>
      <c r="L171" s="11"/>
      <c r="M171" s="11"/>
      <c r="N171" s="11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20.100000000000001" customHeight="1" x14ac:dyDescent="0.25">
      <c r="A172" s="12"/>
      <c r="B172" s="8"/>
      <c r="C172" s="9"/>
      <c r="D172" s="8"/>
      <c r="E172" s="8"/>
      <c r="F172" s="8"/>
      <c r="G172" s="13"/>
      <c r="H172" s="13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1" ht="20.100000000000001" customHeight="1" x14ac:dyDescent="0.25">
      <c r="A173" s="12"/>
      <c r="B173" s="8"/>
      <c r="C173" s="9"/>
      <c r="D173" s="8"/>
      <c r="E173" s="8"/>
      <c r="F173" s="8"/>
      <c r="G173" s="13"/>
      <c r="H173" s="13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1" ht="20.100000000000001" customHeight="1" x14ac:dyDescent="0.25">
      <c r="A174" s="12"/>
      <c r="B174" s="8"/>
      <c r="C174" s="9"/>
      <c r="D174" s="8"/>
      <c r="E174" s="8"/>
      <c r="F174" s="8"/>
      <c r="G174" s="1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1" ht="20.100000000000001" customHeight="1" x14ac:dyDescent="0.25">
      <c r="A175" s="12"/>
      <c r="B175" s="8"/>
      <c r="C175" s="9"/>
      <c r="D175" s="8"/>
      <c r="E175" s="8"/>
      <c r="F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1" s="10" customFormat="1" ht="20.100000000000001" customHeight="1" x14ac:dyDescent="0.3">
      <c r="B176" s="8"/>
      <c r="C176" s="9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31" ht="20.100000000000001" customHeight="1" x14ac:dyDescent="0.25">
      <c r="A177" s="12"/>
      <c r="B177" s="8"/>
      <c r="C177" s="9"/>
      <c r="D177" s="8"/>
      <c r="E177" s="8"/>
      <c r="F177" s="8"/>
      <c r="G177" s="13"/>
      <c r="H177" s="13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1" ht="20.100000000000001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11"/>
      <c r="L178" s="11"/>
      <c r="M178" s="11"/>
      <c r="N178" s="11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20.100000000000001" customHeight="1" x14ac:dyDescent="0.25">
      <c r="A179" s="12"/>
      <c r="B179" s="8"/>
      <c r="C179" s="9"/>
      <c r="D179" s="8"/>
      <c r="E179" s="8"/>
      <c r="F179" s="8"/>
      <c r="G179" s="13"/>
      <c r="H179" s="13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1" ht="20.100000000000001" customHeight="1" x14ac:dyDescent="0.25">
      <c r="A180" s="12"/>
      <c r="B180" s="8"/>
      <c r="C180" s="9"/>
      <c r="D180" s="8"/>
      <c r="E180" s="8"/>
      <c r="F180" s="8"/>
      <c r="G180" s="13"/>
      <c r="H180" s="13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1" ht="20.100000000000001" customHeight="1" x14ac:dyDescent="0.25">
      <c r="A181" s="12"/>
      <c r="B181" s="8"/>
      <c r="C181" s="9"/>
      <c r="D181" s="8"/>
      <c r="E181" s="8"/>
      <c r="F181" s="8"/>
      <c r="G181" s="13"/>
      <c r="H181" s="13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1" ht="20.100000000000001" customHeight="1" x14ac:dyDescent="0.25">
      <c r="A182" s="12"/>
      <c r="B182" s="8"/>
      <c r="C182" s="9"/>
      <c r="D182" s="8"/>
      <c r="E182" s="8"/>
      <c r="F182" s="8"/>
      <c r="G182" s="1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1" ht="20.100000000000001" customHeight="1" x14ac:dyDescent="0.25">
      <c r="A183" s="12"/>
      <c r="B183" s="8"/>
      <c r="C183" s="9"/>
      <c r="D183" s="8"/>
      <c r="E183" s="8"/>
      <c r="F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1" s="10" customFormat="1" ht="20.100000000000001" customHeight="1" x14ac:dyDescent="0.3">
      <c r="B184" s="8"/>
      <c r="C184" s="9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31" ht="20.100000000000001" customHeight="1" x14ac:dyDescent="0.25">
      <c r="A185" s="12"/>
      <c r="B185" s="8"/>
      <c r="C185" s="9"/>
      <c r="D185" s="8"/>
      <c r="E185" s="8"/>
      <c r="F185" s="8"/>
      <c r="G185" s="13"/>
      <c r="H185" s="13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1" ht="20.100000000000001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11"/>
      <c r="L186" s="11"/>
      <c r="M186" s="11"/>
      <c r="N186" s="11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20.100000000000001" customHeight="1" x14ac:dyDescent="0.25">
      <c r="A187" s="12"/>
      <c r="B187" s="8"/>
      <c r="C187" s="9"/>
      <c r="D187" s="8"/>
      <c r="E187" s="8"/>
      <c r="F187" s="8"/>
      <c r="G187" s="13"/>
      <c r="H187" s="13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1" ht="20.100000000000001" customHeight="1" x14ac:dyDescent="0.25">
      <c r="A188" s="12"/>
      <c r="B188" s="8"/>
      <c r="C188" s="9"/>
      <c r="D188" s="8"/>
      <c r="E188" s="8"/>
      <c r="F188" s="8"/>
      <c r="G188" s="1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1" ht="20.100000000000001" customHeight="1" x14ac:dyDescent="0.25">
      <c r="A189" s="12"/>
      <c r="B189" s="8"/>
      <c r="C189" s="9"/>
      <c r="D189" s="8"/>
      <c r="E189" s="8"/>
      <c r="F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1" s="10" customFormat="1" ht="20.100000000000001" customHeight="1" x14ac:dyDescent="0.3">
      <c r="B190" s="8"/>
      <c r="C190" s="9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31" s="10" customFormat="1" ht="20.100000000000001" customHeight="1" x14ac:dyDescent="0.3">
      <c r="B191" s="8"/>
      <c r="C191" s="9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31" ht="20.100000000000001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11"/>
      <c r="L192" s="11"/>
      <c r="M192" s="11"/>
      <c r="N192" s="11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ht="18.75" customHeight="1" x14ac:dyDescent="0.25">
      <c r="A193" s="12"/>
      <c r="B193" s="8"/>
      <c r="C193" s="9"/>
      <c r="D193" s="8"/>
      <c r="E193" s="8"/>
      <c r="F193" s="8"/>
      <c r="G193" s="13"/>
      <c r="H193" s="13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1" ht="18.75" customHeight="1" x14ac:dyDescent="0.25">
      <c r="A194" s="12"/>
      <c r="B194" s="8"/>
      <c r="C194" s="9"/>
      <c r="D194" s="8"/>
      <c r="E194" s="8"/>
      <c r="F194" s="8"/>
      <c r="G194" s="13"/>
      <c r="H194" s="13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1" ht="18.75" customHeight="1" x14ac:dyDescent="0.25">
      <c r="A195" s="12"/>
      <c r="B195" s="8"/>
      <c r="C195" s="9"/>
      <c r="D195" s="8"/>
      <c r="E195" s="8"/>
      <c r="F195" s="8"/>
      <c r="G195" s="1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1" ht="20.100000000000001" customHeight="1" x14ac:dyDescent="0.25">
      <c r="A196" s="12"/>
      <c r="B196" s="8"/>
      <c r="C196" s="9"/>
      <c r="D196" s="8"/>
      <c r="E196" s="8"/>
      <c r="F196" s="8"/>
      <c r="G196" s="1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1" ht="20.100000000000001" customHeight="1" x14ac:dyDescent="0.25">
      <c r="A197" s="12"/>
      <c r="B197" s="8"/>
      <c r="C197" s="9"/>
      <c r="D197" s="8"/>
      <c r="E197" s="8"/>
      <c r="F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1" s="10" customFormat="1" ht="20.100000000000001" customHeight="1" x14ac:dyDescent="0.3">
      <c r="B198" s="8"/>
      <c r="C198" s="9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31" ht="20.100000000000001" customHeight="1" x14ac:dyDescent="0.25">
      <c r="A199" s="12"/>
      <c r="B199" s="8"/>
      <c r="C199" s="9"/>
      <c r="D199" s="8"/>
      <c r="E199" s="8"/>
      <c r="F199" s="8"/>
      <c r="G199" s="13"/>
      <c r="H199" s="13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1" ht="20.100000000000001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11"/>
      <c r="L200" s="11"/>
      <c r="M200" s="11"/>
      <c r="N200" s="11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20.100000000000001" customHeight="1" x14ac:dyDescent="0.25">
      <c r="A201" s="12"/>
      <c r="B201" s="8"/>
      <c r="C201" s="9"/>
      <c r="D201" s="8"/>
      <c r="E201" s="8"/>
      <c r="F201" s="8"/>
      <c r="G201" s="13"/>
      <c r="H201" s="13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1" ht="20.100000000000001" customHeight="1" x14ac:dyDescent="0.25">
      <c r="A202" s="12"/>
      <c r="B202" s="8"/>
      <c r="C202" s="9"/>
      <c r="D202" s="8"/>
      <c r="E202" s="8"/>
      <c r="F202" s="8"/>
      <c r="G202" s="13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1" ht="20.100000000000001" customHeight="1" x14ac:dyDescent="0.25">
      <c r="A203" s="12"/>
      <c r="B203" s="8"/>
      <c r="C203" s="9"/>
      <c r="D203" s="8"/>
      <c r="E203" s="8"/>
      <c r="F203" s="8"/>
      <c r="G203" s="1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1" ht="20.100000000000001" customHeight="1" x14ac:dyDescent="0.25">
      <c r="A204" s="12"/>
      <c r="B204" s="8"/>
      <c r="C204" s="9"/>
      <c r="D204" s="8"/>
      <c r="E204" s="8"/>
      <c r="F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1" s="10" customFormat="1" ht="20.100000000000001" customHeight="1" x14ac:dyDescent="0.3">
      <c r="B205" s="8"/>
      <c r="C205" s="9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31" ht="20.100000000000001" customHeight="1" x14ac:dyDescent="0.25">
      <c r="A206" s="12"/>
      <c r="B206" s="8"/>
      <c r="C206" s="9"/>
      <c r="D206" s="8"/>
      <c r="E206" s="8"/>
      <c r="F206" s="8"/>
      <c r="G206" s="13"/>
      <c r="H206" s="13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1" ht="20.100000000000001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11"/>
      <c r="L207" s="11"/>
      <c r="M207" s="11"/>
      <c r="N207" s="11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20.100000000000001" customHeight="1" x14ac:dyDescent="0.25">
      <c r="A208" s="12"/>
      <c r="B208" s="8"/>
      <c r="C208" s="9"/>
      <c r="D208" s="8"/>
      <c r="E208" s="8"/>
      <c r="F208" s="8"/>
      <c r="G208" s="13"/>
      <c r="H208" s="13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1" ht="20.100000000000001" customHeight="1" x14ac:dyDescent="0.25">
      <c r="A209" s="12"/>
      <c r="B209" s="8"/>
      <c r="C209" s="9"/>
      <c r="D209" s="8"/>
      <c r="E209" s="8"/>
      <c r="F209" s="8"/>
      <c r="G209" s="13"/>
      <c r="H209" s="13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1" ht="20.100000000000001" customHeight="1" x14ac:dyDescent="0.25">
      <c r="A210" s="12"/>
      <c r="B210" s="8"/>
      <c r="C210" s="9"/>
      <c r="D210" s="8"/>
      <c r="E210" s="8"/>
      <c r="F210" s="8"/>
      <c r="G210" s="1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1" ht="20.100000000000001" customHeight="1" x14ac:dyDescent="0.25">
      <c r="A211" s="12"/>
      <c r="B211" s="8"/>
      <c r="C211" s="9"/>
      <c r="D211" s="8"/>
      <c r="E211" s="8"/>
      <c r="F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1" s="10" customFormat="1" ht="20.100000000000001" customHeight="1" x14ac:dyDescent="0.3">
      <c r="B212" s="8"/>
      <c r="C212" s="9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31" ht="20.100000000000001" customHeight="1" x14ac:dyDescent="0.25">
      <c r="A213" s="12"/>
      <c r="B213" s="8"/>
      <c r="C213" s="9"/>
      <c r="D213" s="8"/>
      <c r="E213" s="8"/>
      <c r="F213" s="8"/>
      <c r="G213" s="13"/>
      <c r="H213" s="13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1" ht="20.100000000000001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11"/>
      <c r="L214" s="11"/>
      <c r="M214" s="11"/>
      <c r="N214" s="11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20.100000000000001" customHeight="1" x14ac:dyDescent="0.25">
      <c r="A215" s="12"/>
      <c r="B215" s="8"/>
      <c r="C215" s="9"/>
      <c r="D215" s="8"/>
      <c r="E215" s="8"/>
      <c r="F215" s="8"/>
      <c r="G215" s="13"/>
      <c r="H215" s="13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1" ht="20.100000000000001" customHeight="1" x14ac:dyDescent="0.25">
      <c r="A216" s="12"/>
      <c r="B216" s="8"/>
      <c r="C216" s="9"/>
      <c r="D216" s="8"/>
      <c r="E216" s="8"/>
      <c r="F216" s="8"/>
      <c r="G216" s="13"/>
      <c r="H216" s="13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1" ht="20.100000000000001" customHeight="1" x14ac:dyDescent="0.25">
      <c r="A217" s="12"/>
      <c r="B217" s="8"/>
      <c r="C217" s="9"/>
      <c r="D217" s="8"/>
      <c r="E217" s="8"/>
      <c r="F217" s="8"/>
      <c r="G217" s="1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1" ht="20.100000000000001" customHeight="1" x14ac:dyDescent="0.25">
      <c r="A218" s="12"/>
      <c r="B218" s="8"/>
      <c r="C218" s="9"/>
      <c r="D218" s="8"/>
      <c r="E218" s="8"/>
      <c r="F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1" s="10" customFormat="1" ht="20.100000000000001" customHeight="1" x14ac:dyDescent="0.3">
      <c r="B219" s="8"/>
      <c r="C219" s="9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31" ht="20.100000000000001" customHeight="1" x14ac:dyDescent="0.25">
      <c r="A220" s="12"/>
      <c r="B220" s="8"/>
      <c r="C220" s="9"/>
      <c r="D220" s="8"/>
      <c r="E220" s="8"/>
      <c r="F220" s="8"/>
      <c r="G220" s="13"/>
      <c r="H220" s="13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1" ht="20.100000000000001" customHeight="1" x14ac:dyDescent="0.25">
      <c r="A221" s="8"/>
      <c r="B221" s="8"/>
      <c r="C221" s="8"/>
      <c r="D221" s="8"/>
      <c r="E221" s="8"/>
      <c r="F221" s="15"/>
      <c r="G221" s="8"/>
      <c r="H221" s="8"/>
      <c r="I221" s="8"/>
      <c r="J221" s="8"/>
      <c r="K221" s="11"/>
      <c r="L221" s="11"/>
      <c r="M221" s="11"/>
      <c r="N221" s="11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20.100000000000001" customHeight="1" x14ac:dyDescent="0.25">
      <c r="A222" s="12"/>
      <c r="B222" s="8"/>
      <c r="C222" s="9"/>
      <c r="D222" s="8"/>
      <c r="E222" s="8"/>
      <c r="F222" s="8"/>
      <c r="G222" s="13"/>
      <c r="H222" s="13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1" ht="20.100000000000001" customHeight="1" x14ac:dyDescent="0.25">
      <c r="A223" s="12"/>
      <c r="B223" s="8"/>
      <c r="C223" s="9"/>
      <c r="D223" s="8"/>
      <c r="E223" s="8"/>
      <c r="F223" s="8"/>
      <c r="G223" s="13"/>
      <c r="H223" s="13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1" ht="20.100000000000001" customHeight="1" x14ac:dyDescent="0.25">
      <c r="A224" s="12"/>
      <c r="B224" s="8"/>
      <c r="C224" s="9"/>
      <c r="D224" s="8"/>
      <c r="E224" s="8"/>
      <c r="F224" s="8"/>
      <c r="G224" s="1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1" ht="20.100000000000001" customHeight="1" x14ac:dyDescent="0.25">
      <c r="A225" s="12"/>
      <c r="B225" s="8"/>
      <c r="C225" s="9"/>
      <c r="D225" s="8"/>
      <c r="E225" s="8"/>
      <c r="F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1" s="10" customFormat="1" ht="20.100000000000001" customHeight="1" x14ac:dyDescent="0.3">
      <c r="B226" s="8"/>
      <c r="C226" s="9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31" ht="20.100000000000001" customHeight="1" x14ac:dyDescent="0.25">
      <c r="A227" s="12"/>
      <c r="B227" s="8"/>
      <c r="C227" s="9"/>
      <c r="D227" s="8"/>
      <c r="E227" s="8"/>
      <c r="F227" s="8"/>
      <c r="G227" s="13"/>
      <c r="H227" s="13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1" ht="20.100000000000001" customHeight="1" x14ac:dyDescent="0.25">
      <c r="A228" s="8"/>
      <c r="B228" s="8"/>
      <c r="C228" s="8"/>
      <c r="D228" s="8"/>
      <c r="E228" s="8"/>
      <c r="F228" s="15"/>
      <c r="G228" s="8"/>
      <c r="H228" s="8"/>
      <c r="I228" s="8"/>
      <c r="J228" s="8"/>
      <c r="K228" s="11"/>
      <c r="L228" s="11"/>
      <c r="M228" s="11"/>
      <c r="N228" s="11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20.100000000000001" customHeight="1" x14ac:dyDescent="0.25">
      <c r="A229" s="12"/>
      <c r="B229" s="8"/>
      <c r="C229" s="9"/>
      <c r="D229" s="8"/>
      <c r="E229" s="8"/>
      <c r="F229" s="8"/>
      <c r="G229" s="13"/>
      <c r="H229" s="13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1" ht="20.100000000000001" customHeight="1" x14ac:dyDescent="0.25">
      <c r="A230" s="12"/>
      <c r="B230" s="8"/>
      <c r="C230" s="9"/>
      <c r="D230" s="8"/>
      <c r="E230" s="8"/>
      <c r="F230" s="8"/>
      <c r="G230" s="1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1" ht="20.100000000000001" customHeight="1" x14ac:dyDescent="0.25">
      <c r="A231" s="12"/>
      <c r="B231" s="8"/>
      <c r="C231" s="9"/>
      <c r="D231" s="8"/>
      <c r="E231" s="8"/>
      <c r="F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1" s="10" customFormat="1" ht="20.100000000000001" customHeight="1" x14ac:dyDescent="0.3">
      <c r="B232" s="8"/>
      <c r="C232" s="9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31" ht="20.100000000000001" customHeight="1" x14ac:dyDescent="0.25">
      <c r="A233" s="8"/>
      <c r="B233" s="8"/>
      <c r="C233" s="8"/>
      <c r="D233" s="8"/>
      <c r="E233" s="8"/>
      <c r="F233" s="15"/>
      <c r="G233" s="8"/>
      <c r="H233" s="8"/>
      <c r="I233" s="8"/>
      <c r="J233" s="8"/>
      <c r="K233" s="11"/>
      <c r="L233" s="11"/>
      <c r="M233" s="11"/>
      <c r="N233" s="11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20.100000000000001" customHeight="1" x14ac:dyDescent="0.25">
      <c r="A234" s="12"/>
      <c r="B234" s="8"/>
      <c r="C234" s="9"/>
      <c r="D234" s="8"/>
      <c r="E234" s="8"/>
      <c r="F234" s="8"/>
      <c r="G234" s="13"/>
      <c r="H234" s="13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1" ht="20.100000000000001" customHeight="1" x14ac:dyDescent="0.25">
      <c r="A235" s="12"/>
      <c r="B235" s="8"/>
      <c r="C235" s="9"/>
      <c r="D235" s="8"/>
      <c r="E235" s="8"/>
      <c r="F235" s="8"/>
      <c r="G235" s="13"/>
      <c r="H235" s="13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1" ht="20.100000000000001" customHeight="1" x14ac:dyDescent="0.25">
      <c r="A236" s="12"/>
      <c r="B236" s="8"/>
      <c r="C236" s="9"/>
      <c r="D236" s="8"/>
      <c r="E236" s="8"/>
      <c r="F236" s="8"/>
      <c r="G236" s="13"/>
      <c r="H236" s="13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1" ht="20.100000000000001" customHeight="1" x14ac:dyDescent="0.25">
      <c r="A237" s="12"/>
      <c r="B237" s="8"/>
      <c r="C237" s="9"/>
      <c r="D237" s="8"/>
      <c r="E237" s="8"/>
      <c r="F237" s="8"/>
      <c r="G237" s="13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1" ht="20.100000000000001" customHeight="1" x14ac:dyDescent="0.25">
      <c r="A238" s="12"/>
      <c r="B238" s="8"/>
      <c r="C238" s="9"/>
      <c r="D238" s="8"/>
      <c r="E238" s="8"/>
      <c r="F238" s="8"/>
      <c r="G238" s="13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1" ht="20.100000000000001" customHeight="1" x14ac:dyDescent="0.25">
      <c r="A239" s="12"/>
      <c r="B239" s="8"/>
      <c r="C239" s="9"/>
      <c r="D239" s="8"/>
      <c r="E239" s="8"/>
      <c r="F239" s="8"/>
      <c r="G239" s="1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1" ht="20.100000000000001" customHeight="1" x14ac:dyDescent="0.25">
      <c r="A240" s="12"/>
      <c r="B240" s="8"/>
      <c r="C240" s="9"/>
      <c r="D240" s="8"/>
      <c r="E240" s="8"/>
      <c r="F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1" s="10" customFormat="1" ht="20.100000000000001" customHeight="1" x14ac:dyDescent="0.3">
      <c r="B241" s="8"/>
      <c r="C241" s="9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31" ht="20.100000000000001" customHeight="1" x14ac:dyDescent="0.25">
      <c r="A242" s="12"/>
      <c r="B242" s="8"/>
      <c r="C242" s="9"/>
      <c r="D242" s="8"/>
      <c r="E242" s="8"/>
      <c r="F242" s="8"/>
      <c r="G242" s="13"/>
      <c r="H242" s="13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1" ht="20.100000000000001" customHeight="1" x14ac:dyDescent="0.25">
      <c r="A243" s="8"/>
      <c r="B243" s="8"/>
      <c r="C243" s="8"/>
      <c r="D243" s="8"/>
      <c r="E243" s="8"/>
      <c r="F243" s="15"/>
      <c r="G243" s="8"/>
      <c r="H243" s="8"/>
      <c r="I243" s="8"/>
      <c r="J243" s="8"/>
      <c r="K243" s="11"/>
      <c r="L243" s="11"/>
      <c r="M243" s="11"/>
      <c r="N243" s="11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20.100000000000001" customHeight="1" x14ac:dyDescent="0.25">
      <c r="A244" s="12"/>
      <c r="B244" s="8"/>
      <c r="C244" s="9"/>
      <c r="D244" s="8"/>
      <c r="E244" s="8"/>
      <c r="F244" s="8"/>
      <c r="G244" s="13"/>
      <c r="H244" s="13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1" ht="20.100000000000001" customHeight="1" x14ac:dyDescent="0.25">
      <c r="A245" s="12"/>
      <c r="B245" s="8"/>
      <c r="C245" s="9"/>
      <c r="D245" s="8"/>
      <c r="E245" s="8"/>
      <c r="F245" s="8"/>
      <c r="G245" s="13"/>
      <c r="H245" s="13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1" ht="20.100000000000001" customHeight="1" x14ac:dyDescent="0.25">
      <c r="A246" s="12"/>
      <c r="B246" s="8"/>
      <c r="C246" s="9"/>
      <c r="D246" s="8"/>
      <c r="E246" s="8"/>
      <c r="F246" s="8"/>
      <c r="G246" s="13"/>
      <c r="H246" s="13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1" ht="20.100000000000001" customHeight="1" x14ac:dyDescent="0.25">
      <c r="A247" s="12"/>
      <c r="B247" s="8"/>
      <c r="C247" s="9"/>
      <c r="D247" s="8"/>
      <c r="E247" s="8"/>
      <c r="F247" s="8"/>
      <c r="G247" s="13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1" ht="20.100000000000001" customHeight="1" x14ac:dyDescent="0.25">
      <c r="A248" s="12"/>
      <c r="B248" s="8"/>
      <c r="C248" s="9"/>
      <c r="D248" s="8"/>
      <c r="E248" s="8"/>
      <c r="F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1" s="10" customFormat="1" ht="20.100000000000001" customHeight="1" x14ac:dyDescent="0.3">
      <c r="B249" s="8"/>
      <c r="C249" s="9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31" ht="20.100000000000001" customHeight="1" x14ac:dyDescent="0.25">
      <c r="A250" s="12"/>
      <c r="B250" s="8"/>
      <c r="C250" s="9"/>
      <c r="D250" s="8"/>
      <c r="E250" s="8"/>
      <c r="F250" s="8"/>
      <c r="G250" s="13"/>
      <c r="H250" s="13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1" ht="20.100000000000001" customHeight="1" x14ac:dyDescent="0.25">
      <c r="A251" s="8"/>
      <c r="B251" s="8"/>
      <c r="C251" s="8"/>
      <c r="D251" s="8"/>
      <c r="E251" s="8"/>
      <c r="F251" s="15"/>
      <c r="G251" s="8"/>
      <c r="H251" s="8"/>
      <c r="I251" s="8"/>
      <c r="J251" s="8"/>
      <c r="K251" s="11"/>
      <c r="L251" s="11"/>
      <c r="M251" s="11"/>
      <c r="N251" s="11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20.100000000000001" customHeight="1" x14ac:dyDescent="0.25">
      <c r="A252" s="12"/>
      <c r="B252" s="8"/>
      <c r="C252" s="9"/>
      <c r="D252" s="8"/>
      <c r="E252" s="8"/>
      <c r="F252" s="8"/>
      <c r="G252" s="13"/>
      <c r="H252" s="13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1" ht="20.100000000000001" customHeight="1" x14ac:dyDescent="0.25">
      <c r="A253" s="12"/>
      <c r="B253" s="8"/>
      <c r="C253" s="9"/>
      <c r="D253" s="8"/>
      <c r="E253" s="8"/>
      <c r="F253" s="8"/>
      <c r="G253" s="13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1" ht="20.100000000000001" customHeight="1" x14ac:dyDescent="0.25">
      <c r="A254" s="12"/>
      <c r="B254" s="8"/>
      <c r="C254" s="9"/>
      <c r="D254" s="8"/>
      <c r="E254" s="8"/>
      <c r="F254" s="8"/>
      <c r="G254" s="1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1" ht="20.100000000000001" customHeight="1" x14ac:dyDescent="0.25">
      <c r="A255" s="12"/>
      <c r="B255" s="8"/>
      <c r="C255" s="9"/>
      <c r="D255" s="8"/>
      <c r="E255" s="8"/>
      <c r="F255" s="8"/>
      <c r="G255" s="1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1" ht="20.100000000000001" customHeight="1" x14ac:dyDescent="0.25">
      <c r="A256" s="12"/>
      <c r="B256" s="8"/>
      <c r="C256" s="9"/>
      <c r="D256" s="8"/>
      <c r="E256" s="8"/>
      <c r="F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1" s="10" customFormat="1" ht="20.100000000000001" customHeight="1" x14ac:dyDescent="0.3">
      <c r="B257" s="8"/>
      <c r="C257" s="9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31" ht="20.100000000000001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11"/>
      <c r="L258" s="11"/>
      <c r="M258" s="11"/>
      <c r="N258" s="11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20.100000000000001" customHeight="1" x14ac:dyDescent="0.25">
      <c r="A259" s="12"/>
      <c r="B259" s="8"/>
      <c r="C259" s="9"/>
      <c r="D259" s="8"/>
      <c r="E259" s="8"/>
      <c r="F259" s="8"/>
      <c r="G259" s="13"/>
      <c r="H259" s="13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1" ht="20.100000000000001" customHeight="1" x14ac:dyDescent="0.25">
      <c r="A260" s="12"/>
      <c r="B260" s="8"/>
      <c r="C260" s="9"/>
      <c r="D260" s="8"/>
      <c r="E260" s="8"/>
      <c r="F260" s="8"/>
      <c r="G260" s="1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1" ht="20.100000000000001" customHeight="1" x14ac:dyDescent="0.25">
      <c r="A261" s="12"/>
      <c r="B261" s="8"/>
      <c r="C261" s="9"/>
      <c r="D261" s="8"/>
      <c r="E261" s="8"/>
      <c r="F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1" s="10" customFormat="1" ht="20.100000000000001" customHeight="1" x14ac:dyDescent="0.3">
      <c r="B262" s="8"/>
      <c r="C262" s="9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31" ht="20.100000000000001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11"/>
      <c r="L263" s="11"/>
      <c r="M263" s="11"/>
      <c r="N263" s="11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20.100000000000001" customHeight="1" x14ac:dyDescent="0.25">
      <c r="A264" s="12"/>
      <c r="B264" s="8"/>
      <c r="C264" s="9"/>
      <c r="D264" s="8"/>
      <c r="E264" s="8"/>
      <c r="F264" s="8"/>
      <c r="G264" s="13"/>
      <c r="H264" s="13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1" ht="20.100000000000001" customHeight="1" x14ac:dyDescent="0.25">
      <c r="A265" s="12"/>
      <c r="B265" s="8"/>
      <c r="C265" s="9"/>
      <c r="D265" s="8"/>
      <c r="E265" s="8"/>
      <c r="F265" s="8"/>
      <c r="G265" s="1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1" ht="20.100000000000001" customHeight="1" x14ac:dyDescent="0.25">
      <c r="A266" s="12"/>
      <c r="B266" s="8"/>
      <c r="C266" s="9"/>
      <c r="D266" s="8"/>
      <c r="E266" s="8"/>
      <c r="F266" s="8"/>
      <c r="G266" s="1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1" ht="20.100000000000001" customHeight="1" x14ac:dyDescent="0.25">
      <c r="A267" s="12"/>
      <c r="B267" s="8"/>
      <c r="C267" s="9"/>
      <c r="D267" s="8"/>
      <c r="E267" s="8"/>
      <c r="F267" s="8"/>
      <c r="G267" s="13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1" ht="20.100000000000001" customHeight="1" x14ac:dyDescent="0.25">
      <c r="A268" s="12"/>
      <c r="B268" s="8"/>
      <c r="C268" s="9"/>
      <c r="D268" s="8"/>
      <c r="E268" s="8"/>
      <c r="F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1" s="10" customFormat="1" ht="20.100000000000001" customHeight="1" x14ac:dyDescent="0.3">
      <c r="B269" s="8"/>
      <c r="C269" s="9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31" ht="20.100000000000001" customHeight="1" x14ac:dyDescent="0.25">
      <c r="A270" s="12"/>
      <c r="B270" s="8"/>
      <c r="C270" s="9"/>
      <c r="D270" s="8"/>
      <c r="E270" s="8"/>
      <c r="F270" s="8"/>
      <c r="G270" s="13"/>
      <c r="H270" s="13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1" ht="12" customHeight="1" x14ac:dyDescent="0.25"/>
  </sheetData>
  <mergeCells count="23">
    <mergeCell ref="A23:P23"/>
    <mergeCell ref="D10:G10"/>
    <mergeCell ref="X24:X25"/>
    <mergeCell ref="A24:A25"/>
    <mergeCell ref="C24:C25"/>
    <mergeCell ref="D24:D25"/>
    <mergeCell ref="E24:E25"/>
    <mergeCell ref="F24:F25"/>
    <mergeCell ref="A10:C10"/>
    <mergeCell ref="I14:S14"/>
    <mergeCell ref="F4:F6"/>
    <mergeCell ref="J24:J25"/>
    <mergeCell ref="K24:N24"/>
    <mergeCell ref="O24:O25"/>
    <mergeCell ref="P24:P25"/>
    <mergeCell ref="I15:S15"/>
    <mergeCell ref="I16:S16"/>
    <mergeCell ref="I11:S11"/>
    <mergeCell ref="I17:S17"/>
    <mergeCell ref="Q23:W23"/>
    <mergeCell ref="R13:S13"/>
    <mergeCell ref="I13:Q13"/>
    <mergeCell ref="A22:P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- Clubhouse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Hemanth S</dc:creator>
  <cp:keywords/>
  <dc:description/>
  <cp:lastModifiedBy>Nishanth Bilimagga Hanumantha</cp:lastModifiedBy>
  <cp:revision/>
  <dcterms:created xsi:type="dcterms:W3CDTF">2026-06-18T05:28:23Z</dcterms:created>
  <dcterms:modified xsi:type="dcterms:W3CDTF">2026-06-20T04:56:05Z</dcterms:modified>
  <cp:category/>
  <cp:contentStatus/>
</cp:coreProperties>
</file>